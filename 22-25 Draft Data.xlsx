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5a94effdcb5c500/Desktop/New folder (2)/"/>
    </mc:Choice>
  </mc:AlternateContent>
  <xr:revisionPtr revIDLastSave="273" documentId="14_{99EB5A95-254C-41E6-8EB7-B073F62A5433}" xr6:coauthVersionLast="47" xr6:coauthVersionMax="47" xr10:uidLastSave="{8A65708F-0881-48BF-A8F6-165250BFFBE2}"/>
  <bookViews>
    <workbookView xWindow="-120" yWindow="-120" windowWidth="15600" windowHeight="11160" firstSheet="4" activeTab="5" xr2:uid="{11C24605-F1F0-4A9C-A669-1699DB895C97}"/>
  </bookViews>
  <sheets>
    <sheet name="Detail1" sheetId="9" r:id="rId1"/>
    <sheet name="Detail2" sheetId="10" r:id="rId2"/>
    <sheet name="2026 ADP" sheetId="15" r:id="rId3"/>
    <sheet name="Positions By round" sheetId="13" r:id="rId4"/>
    <sheet name="22-25" sheetId="1" r:id="rId5"/>
    <sheet name="Finish Points" sheetId="7" r:id="rId6"/>
    <sheet name="Rookies 22-25" sheetId="5" r:id="rId7"/>
    <sheet name="22 Draft ADP" sheetId="6" r:id="rId8"/>
    <sheet name="23 Draft ADP" sheetId="2" r:id="rId9"/>
    <sheet name="24 Draft ADP" sheetId="3" r:id="rId10"/>
    <sheet name="25 Draft ADP" sheetId="4" r:id="rId11"/>
  </sheets>
  <definedNames>
    <definedName name="_xlnm._FilterDatabase" localSheetId="2" hidden="1">'2026 ADP'!$A$1:$C$479</definedName>
    <definedName name="_xlnm._FilterDatabase" localSheetId="7" hidden="1">'22 Draft ADP'!$A$1:$F$510</definedName>
    <definedName name="_xlnm._FilterDatabase" localSheetId="4" hidden="1">'22-25'!$A$1:$AN$1212</definedName>
    <definedName name="_xlnm._FilterDatabase" localSheetId="8" hidden="1">'23 Draft ADP'!$A$2:$D$323</definedName>
    <definedName name="_xlnm._FilterDatabase" localSheetId="9" hidden="1">'24 Draft ADP'!$A$2:$F$436</definedName>
    <definedName name="_xlnm._FilterDatabase" localSheetId="10" hidden="1">'25 Draft ADP'!$A$2:$G$505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AE922" i="1" l="1"/>
  <c r="AE923" i="1"/>
  <c r="AE924" i="1"/>
  <c r="AE925" i="1"/>
  <c r="AE926" i="1"/>
  <c r="AE927" i="1"/>
  <c r="AE928" i="1"/>
  <c r="AE929" i="1"/>
  <c r="AE930" i="1"/>
  <c r="AE931" i="1"/>
  <c r="AE932" i="1"/>
  <c r="AE933" i="1"/>
  <c r="AE934" i="1"/>
  <c r="AE935" i="1"/>
  <c r="AE936" i="1"/>
  <c r="AE937" i="1"/>
  <c r="AE938" i="1"/>
  <c r="AE939" i="1"/>
  <c r="AE940" i="1"/>
  <c r="AE941" i="1"/>
  <c r="AE942" i="1"/>
  <c r="AE943" i="1"/>
  <c r="AE944" i="1"/>
  <c r="AE945" i="1"/>
  <c r="AE946" i="1"/>
  <c r="AE947" i="1"/>
  <c r="AE948" i="1"/>
  <c r="AE949" i="1"/>
  <c r="AE950" i="1"/>
  <c r="AE951" i="1"/>
  <c r="AE952" i="1"/>
  <c r="AE953" i="1"/>
  <c r="AE954" i="1"/>
  <c r="AE955" i="1"/>
  <c r="AE956" i="1"/>
  <c r="AE957" i="1"/>
  <c r="AE958" i="1"/>
  <c r="AE959" i="1"/>
  <c r="AE960" i="1"/>
  <c r="AE961" i="1"/>
  <c r="AE962" i="1"/>
  <c r="AE963" i="1"/>
  <c r="AE964" i="1"/>
  <c r="AE965" i="1"/>
  <c r="AE966" i="1"/>
  <c r="AE967" i="1"/>
  <c r="AE968" i="1"/>
  <c r="AE969" i="1"/>
  <c r="AE970" i="1"/>
  <c r="AE971" i="1"/>
  <c r="AE972" i="1"/>
  <c r="AE973" i="1"/>
  <c r="AE974" i="1"/>
  <c r="AE975" i="1"/>
  <c r="AE976" i="1"/>
  <c r="AE977" i="1"/>
  <c r="AE978" i="1"/>
  <c r="AE979" i="1"/>
  <c r="AE980" i="1"/>
  <c r="AE981" i="1"/>
  <c r="AE982" i="1"/>
  <c r="AE983" i="1"/>
  <c r="AE984" i="1"/>
  <c r="AE985" i="1"/>
  <c r="AE986" i="1"/>
  <c r="AE987" i="1"/>
  <c r="AE988" i="1"/>
  <c r="AE989" i="1"/>
  <c r="AE990" i="1"/>
  <c r="AE991" i="1"/>
  <c r="AE992" i="1"/>
  <c r="AE993" i="1"/>
  <c r="AE994" i="1"/>
  <c r="AE995" i="1"/>
  <c r="AE996" i="1"/>
  <c r="AE997" i="1"/>
  <c r="AE998" i="1"/>
  <c r="AE999" i="1"/>
  <c r="AE1000" i="1"/>
  <c r="AE1001" i="1"/>
  <c r="AE1002" i="1"/>
  <c r="AE1003" i="1"/>
  <c r="AE1004" i="1"/>
  <c r="AE1005" i="1"/>
  <c r="AE1006" i="1"/>
  <c r="AE1007" i="1"/>
  <c r="AE1008" i="1"/>
  <c r="AE1009" i="1"/>
  <c r="AE1010" i="1"/>
  <c r="AE1011" i="1"/>
  <c r="AE1012" i="1"/>
  <c r="AE1013" i="1"/>
  <c r="AE1014" i="1"/>
  <c r="AE1015" i="1"/>
  <c r="AE1016" i="1"/>
  <c r="AE1017" i="1"/>
  <c r="AE1018" i="1"/>
  <c r="AE1019" i="1"/>
  <c r="AE1020" i="1"/>
  <c r="AE1021" i="1"/>
  <c r="AE1022" i="1"/>
  <c r="AE1023" i="1"/>
  <c r="AE1024" i="1"/>
  <c r="AE1025" i="1"/>
  <c r="AE1026" i="1"/>
  <c r="AE1027" i="1"/>
  <c r="AE1028" i="1"/>
  <c r="AE1029" i="1"/>
  <c r="AE1030" i="1"/>
  <c r="AE1031" i="1"/>
  <c r="AE1032" i="1"/>
  <c r="AE1033" i="1"/>
  <c r="AE1034" i="1"/>
  <c r="AE1035" i="1"/>
  <c r="AE1036" i="1"/>
  <c r="AE1037" i="1"/>
  <c r="AE1038" i="1"/>
  <c r="AE1039" i="1"/>
  <c r="AE1040" i="1"/>
  <c r="AE1041" i="1"/>
  <c r="AE1042" i="1"/>
  <c r="AE1043" i="1"/>
  <c r="AE1044" i="1"/>
  <c r="AE1045" i="1"/>
  <c r="AE1046" i="1"/>
  <c r="AE1047" i="1"/>
  <c r="AE1048" i="1"/>
  <c r="AE1049" i="1"/>
  <c r="AE1050" i="1"/>
  <c r="AE1051" i="1"/>
  <c r="AE1052" i="1"/>
  <c r="AE1053" i="1"/>
  <c r="AE1054" i="1"/>
  <c r="AE1055" i="1"/>
  <c r="AE1056" i="1"/>
  <c r="AE1057" i="1"/>
  <c r="AE1058" i="1"/>
  <c r="AE1059" i="1"/>
  <c r="AE1060" i="1"/>
  <c r="AE1061" i="1"/>
  <c r="AE1062" i="1"/>
  <c r="AE1063" i="1"/>
  <c r="AE1064" i="1"/>
  <c r="AE1065" i="1"/>
  <c r="AE1066" i="1"/>
  <c r="AE1067" i="1"/>
  <c r="AE1068" i="1"/>
  <c r="AE1069" i="1"/>
  <c r="AE1070" i="1"/>
  <c r="AE1071" i="1"/>
  <c r="AE1072" i="1"/>
  <c r="AE1073" i="1"/>
  <c r="AE1074" i="1"/>
  <c r="AE1075" i="1"/>
  <c r="AE1076" i="1"/>
  <c r="AE1077" i="1"/>
  <c r="AE1078" i="1"/>
  <c r="AE1079" i="1"/>
  <c r="AE1080" i="1"/>
  <c r="AE1081" i="1"/>
  <c r="AE1082" i="1"/>
  <c r="AE1083" i="1"/>
  <c r="AE1084" i="1"/>
  <c r="AE1085" i="1"/>
  <c r="AE1086" i="1"/>
  <c r="AE1087" i="1"/>
  <c r="AE1088" i="1"/>
  <c r="AE1089" i="1"/>
  <c r="AE1090" i="1"/>
  <c r="AE1091" i="1"/>
  <c r="AE1092" i="1"/>
  <c r="AE1093" i="1"/>
  <c r="AE1094" i="1"/>
  <c r="AE1095" i="1"/>
  <c r="AE1096" i="1"/>
  <c r="AE1097" i="1"/>
  <c r="AE1098" i="1"/>
  <c r="AE1099" i="1"/>
  <c r="AE1100" i="1"/>
  <c r="AE1101" i="1"/>
  <c r="AE1102" i="1"/>
  <c r="AE1103" i="1"/>
  <c r="AE1104" i="1"/>
  <c r="AE1105" i="1"/>
  <c r="AE1106" i="1"/>
  <c r="AE1107" i="1"/>
  <c r="AE1108" i="1"/>
  <c r="AE1109" i="1"/>
  <c r="AE1110" i="1"/>
  <c r="AE1111" i="1"/>
  <c r="AE1112" i="1"/>
  <c r="AE1113" i="1"/>
  <c r="AE1114" i="1"/>
  <c r="AE1115" i="1"/>
  <c r="AE1116" i="1"/>
  <c r="AE1117" i="1"/>
  <c r="AE1118" i="1"/>
  <c r="AE1119" i="1"/>
  <c r="AE1120" i="1"/>
  <c r="AE1121" i="1"/>
  <c r="AE1122" i="1"/>
  <c r="AE1123" i="1"/>
  <c r="AE1124" i="1"/>
  <c r="AE1125" i="1"/>
  <c r="AE1126" i="1"/>
  <c r="AE1127" i="1"/>
  <c r="AE1128" i="1"/>
  <c r="AE1129" i="1"/>
  <c r="AE1130" i="1"/>
  <c r="AE1131" i="1"/>
  <c r="AE1132" i="1"/>
  <c r="AE1133" i="1"/>
  <c r="AE1134" i="1"/>
  <c r="AE1135" i="1"/>
  <c r="AE1136" i="1"/>
  <c r="AE1137" i="1"/>
  <c r="AE1138" i="1"/>
  <c r="AE1139" i="1"/>
  <c r="AE1140" i="1"/>
  <c r="AE1141" i="1"/>
  <c r="AE1142" i="1"/>
  <c r="AE1143" i="1"/>
  <c r="AE1144" i="1"/>
  <c r="AE1145" i="1"/>
  <c r="AE1146" i="1"/>
  <c r="AE1147" i="1"/>
  <c r="AE1148" i="1"/>
  <c r="AE1149" i="1"/>
  <c r="AE1150" i="1"/>
  <c r="AE1151" i="1"/>
  <c r="AE1152" i="1"/>
  <c r="AE1153" i="1"/>
  <c r="AE1154" i="1"/>
  <c r="AE1155" i="1"/>
  <c r="AE1156" i="1"/>
  <c r="AE1157" i="1"/>
  <c r="AE1158" i="1"/>
  <c r="AE1159" i="1"/>
  <c r="AE1160" i="1"/>
  <c r="AE1161" i="1"/>
  <c r="AE1162" i="1"/>
  <c r="AE1163" i="1"/>
  <c r="AE1164" i="1"/>
  <c r="AE1165" i="1"/>
  <c r="AE1166" i="1"/>
  <c r="AE1167" i="1"/>
  <c r="AE1168" i="1"/>
  <c r="AE1169" i="1"/>
  <c r="AE1170" i="1"/>
  <c r="AE1171" i="1"/>
  <c r="AE1172" i="1"/>
  <c r="AE1173" i="1"/>
  <c r="AE1174" i="1"/>
  <c r="AE1175" i="1"/>
  <c r="AE1176" i="1"/>
  <c r="AE1177" i="1"/>
  <c r="AE1178" i="1"/>
  <c r="AE1179" i="1"/>
  <c r="AE1180" i="1"/>
  <c r="AE1181" i="1"/>
  <c r="AE1182" i="1"/>
  <c r="AE1183" i="1"/>
  <c r="AE1184" i="1"/>
  <c r="AE1185" i="1"/>
  <c r="AE1186" i="1"/>
  <c r="AE1187" i="1"/>
  <c r="AE1188" i="1"/>
  <c r="AE1189" i="1"/>
  <c r="AE1190" i="1"/>
  <c r="AE1191" i="1"/>
  <c r="AE1192" i="1"/>
  <c r="AE1193" i="1"/>
  <c r="AE1194" i="1"/>
  <c r="AE1195" i="1"/>
  <c r="AE1196" i="1"/>
  <c r="AE1197" i="1"/>
  <c r="AE1198" i="1"/>
  <c r="AE1199" i="1"/>
  <c r="AE1200" i="1"/>
  <c r="AE1201" i="1"/>
  <c r="AE1202" i="1"/>
  <c r="AE1203" i="1"/>
  <c r="AE1204" i="1"/>
  <c r="AE1205" i="1"/>
  <c r="AE1206" i="1"/>
  <c r="AE1207" i="1"/>
  <c r="AE1208" i="1"/>
  <c r="AE1209" i="1"/>
  <c r="AE1210" i="1"/>
  <c r="AE1211" i="1"/>
  <c r="AE1212" i="1"/>
  <c r="AE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38" i="1"/>
  <c r="AE239" i="1"/>
  <c r="AE240" i="1"/>
  <c r="AE241" i="1"/>
  <c r="AE242" i="1"/>
  <c r="AE243" i="1"/>
  <c r="AE244" i="1"/>
  <c r="AE245" i="1"/>
  <c r="AE246" i="1"/>
  <c r="AE247" i="1"/>
  <c r="AE248" i="1"/>
  <c r="AE249" i="1"/>
  <c r="AE250" i="1"/>
  <c r="AE251" i="1"/>
  <c r="AE252" i="1"/>
  <c r="AE253" i="1"/>
  <c r="AE254" i="1"/>
  <c r="AE255" i="1"/>
  <c r="AE256" i="1"/>
  <c r="AE257" i="1"/>
  <c r="AE258" i="1"/>
  <c r="AE259" i="1"/>
  <c r="AE260" i="1"/>
  <c r="AE261" i="1"/>
  <c r="AE262" i="1"/>
  <c r="AE263" i="1"/>
  <c r="AE264" i="1"/>
  <c r="AE265" i="1"/>
  <c r="AE266" i="1"/>
  <c r="AE267" i="1"/>
  <c r="AE268" i="1"/>
  <c r="AE269" i="1"/>
  <c r="AE270" i="1"/>
  <c r="AE271" i="1"/>
  <c r="AE272" i="1"/>
  <c r="AE273" i="1"/>
  <c r="AE274" i="1"/>
  <c r="AE275" i="1"/>
  <c r="AE276" i="1"/>
  <c r="AE277" i="1"/>
  <c r="AE278" i="1"/>
  <c r="AE279" i="1"/>
  <c r="AE280" i="1"/>
  <c r="AE281" i="1"/>
  <c r="AE282" i="1"/>
  <c r="AE283" i="1"/>
  <c r="AE284" i="1"/>
  <c r="AE285" i="1"/>
  <c r="AE286" i="1"/>
  <c r="AE287" i="1"/>
  <c r="AE288" i="1"/>
  <c r="AE289" i="1"/>
  <c r="AE290" i="1"/>
  <c r="AE291" i="1"/>
  <c r="AE292" i="1"/>
  <c r="AE293" i="1"/>
  <c r="AE294" i="1"/>
  <c r="AE295" i="1"/>
  <c r="AE296" i="1"/>
  <c r="AE297" i="1"/>
  <c r="AE298" i="1"/>
  <c r="AE299" i="1"/>
  <c r="AE300" i="1"/>
  <c r="AE301" i="1"/>
  <c r="AE302" i="1"/>
  <c r="AE303" i="1"/>
  <c r="AE304" i="1"/>
  <c r="AE305" i="1"/>
  <c r="AE306" i="1"/>
  <c r="AE307" i="1"/>
  <c r="AE308" i="1"/>
  <c r="AE309" i="1"/>
  <c r="AE310" i="1"/>
  <c r="AE311" i="1"/>
  <c r="AE312" i="1"/>
  <c r="AE313" i="1"/>
  <c r="AE314" i="1"/>
  <c r="AE315" i="1"/>
  <c r="AE316" i="1"/>
  <c r="AE317" i="1"/>
  <c r="AE318" i="1"/>
  <c r="AE319" i="1"/>
  <c r="AE320" i="1"/>
  <c r="AE321" i="1"/>
  <c r="AE322" i="1"/>
  <c r="AE323" i="1"/>
  <c r="AE324" i="1"/>
  <c r="AE325" i="1"/>
  <c r="AE326" i="1"/>
  <c r="AE327" i="1"/>
  <c r="AE328" i="1"/>
  <c r="AE329" i="1"/>
  <c r="AE330" i="1"/>
  <c r="AE331" i="1"/>
  <c r="AE332" i="1"/>
  <c r="AE333" i="1"/>
  <c r="AE334" i="1"/>
  <c r="AE335" i="1"/>
  <c r="AE336" i="1"/>
  <c r="AE337" i="1"/>
  <c r="AE338" i="1"/>
  <c r="AE339" i="1"/>
  <c r="AE340" i="1"/>
  <c r="AE341" i="1"/>
  <c r="AE342" i="1"/>
  <c r="AE343" i="1"/>
  <c r="AE344" i="1"/>
  <c r="AE345" i="1"/>
  <c r="AE346" i="1"/>
  <c r="AE347" i="1"/>
  <c r="AE348" i="1"/>
  <c r="AE349" i="1"/>
  <c r="AE350" i="1"/>
  <c r="AE351" i="1"/>
  <c r="AE352" i="1"/>
  <c r="AE353" i="1"/>
  <c r="AE354" i="1"/>
  <c r="AE355" i="1"/>
  <c r="AE356" i="1"/>
  <c r="AE357" i="1"/>
  <c r="AE358" i="1"/>
  <c r="AE359" i="1"/>
  <c r="AE360" i="1"/>
  <c r="AE361" i="1"/>
  <c r="AE362" i="1"/>
  <c r="AE363" i="1"/>
  <c r="AE364" i="1"/>
  <c r="AE365" i="1"/>
  <c r="AE366" i="1"/>
  <c r="AE367" i="1"/>
  <c r="AE368" i="1"/>
  <c r="AE369" i="1"/>
  <c r="AE370" i="1"/>
  <c r="AE371" i="1"/>
  <c r="AE372" i="1"/>
  <c r="AE373" i="1"/>
  <c r="AE374" i="1"/>
  <c r="AE375" i="1"/>
  <c r="AE376" i="1"/>
  <c r="AE377" i="1"/>
  <c r="AE378" i="1"/>
  <c r="AE379" i="1"/>
  <c r="AE380" i="1"/>
  <c r="AE381" i="1"/>
  <c r="AE382" i="1"/>
  <c r="AE383" i="1"/>
  <c r="AE384" i="1"/>
  <c r="AE385" i="1"/>
  <c r="AE386" i="1"/>
  <c r="AE387" i="1"/>
  <c r="AE388" i="1"/>
  <c r="AE389" i="1"/>
  <c r="AE390" i="1"/>
  <c r="AE391" i="1"/>
  <c r="AE392" i="1"/>
  <c r="AE393" i="1"/>
  <c r="AE394" i="1"/>
  <c r="AE395" i="1"/>
  <c r="AE396" i="1"/>
  <c r="AE397" i="1"/>
  <c r="AE398" i="1"/>
  <c r="AE399" i="1"/>
  <c r="AE400" i="1"/>
  <c r="AE401" i="1"/>
  <c r="AE402" i="1"/>
  <c r="AE403" i="1"/>
  <c r="AE404" i="1"/>
  <c r="AE405" i="1"/>
  <c r="AE406" i="1"/>
  <c r="AE407" i="1"/>
  <c r="AE408" i="1"/>
  <c r="AE409" i="1"/>
  <c r="AE410" i="1"/>
  <c r="AE411" i="1"/>
  <c r="AE412" i="1"/>
  <c r="AE413" i="1"/>
  <c r="AE414" i="1"/>
  <c r="AE415" i="1"/>
  <c r="AE416" i="1"/>
  <c r="AE417" i="1"/>
  <c r="AE418" i="1"/>
  <c r="AE419" i="1"/>
  <c r="AE420" i="1"/>
  <c r="AE421" i="1"/>
  <c r="AE422" i="1"/>
  <c r="AE423" i="1"/>
  <c r="AE424" i="1"/>
  <c r="AE425" i="1"/>
  <c r="AE426" i="1"/>
  <c r="AE427" i="1"/>
  <c r="AE428" i="1"/>
  <c r="AE429" i="1"/>
  <c r="AE430" i="1"/>
  <c r="AE431" i="1"/>
  <c r="AE432" i="1"/>
  <c r="AE433" i="1"/>
  <c r="AE434" i="1"/>
  <c r="AE435" i="1"/>
  <c r="AE436" i="1"/>
  <c r="AE437" i="1"/>
  <c r="AE438" i="1"/>
  <c r="AE439" i="1"/>
  <c r="AE440" i="1"/>
  <c r="AE441" i="1"/>
  <c r="AE442" i="1"/>
  <c r="AE443" i="1"/>
  <c r="AE444" i="1"/>
  <c r="AE445" i="1"/>
  <c r="AE446" i="1"/>
  <c r="AE447" i="1"/>
  <c r="AE448" i="1"/>
  <c r="AE449" i="1"/>
  <c r="AE450" i="1"/>
  <c r="AE451" i="1"/>
  <c r="AE452" i="1"/>
  <c r="AE453" i="1"/>
  <c r="AE454" i="1"/>
  <c r="AE455" i="1"/>
  <c r="AE456" i="1"/>
  <c r="AE457" i="1"/>
  <c r="AE458" i="1"/>
  <c r="AE459" i="1"/>
  <c r="AE460" i="1"/>
  <c r="AE461" i="1"/>
  <c r="AE462" i="1"/>
  <c r="AE463" i="1"/>
  <c r="AE464" i="1"/>
  <c r="AE465" i="1"/>
  <c r="AE466" i="1"/>
  <c r="AE467" i="1"/>
  <c r="AE468" i="1"/>
  <c r="AE469" i="1"/>
  <c r="AE470" i="1"/>
  <c r="AE471" i="1"/>
  <c r="AE472" i="1"/>
  <c r="AE473" i="1"/>
  <c r="AE474" i="1"/>
  <c r="AE475" i="1"/>
  <c r="AE476" i="1"/>
  <c r="AE477" i="1"/>
  <c r="AE478" i="1"/>
  <c r="AE479" i="1"/>
  <c r="AE480" i="1"/>
  <c r="AE481" i="1"/>
  <c r="AE482" i="1"/>
  <c r="AE483" i="1"/>
  <c r="AE484" i="1"/>
  <c r="AE485" i="1"/>
  <c r="AE486" i="1"/>
  <c r="AE487" i="1"/>
  <c r="AE488" i="1"/>
  <c r="AE489" i="1"/>
  <c r="AE490" i="1"/>
  <c r="AE491" i="1"/>
  <c r="AE492" i="1"/>
  <c r="AE493" i="1"/>
  <c r="AE494" i="1"/>
  <c r="AE495" i="1"/>
  <c r="AE496" i="1"/>
  <c r="AE497" i="1"/>
  <c r="AE498" i="1"/>
  <c r="AE499" i="1"/>
  <c r="AE500" i="1"/>
  <c r="AE501" i="1"/>
  <c r="AE502" i="1"/>
  <c r="AE503" i="1"/>
  <c r="AE504" i="1"/>
  <c r="AE505" i="1"/>
  <c r="AE506" i="1"/>
  <c r="AE507" i="1"/>
  <c r="AE508" i="1"/>
  <c r="AE509" i="1"/>
  <c r="AE510" i="1"/>
  <c r="AE511" i="1"/>
  <c r="AE512" i="1"/>
  <c r="AE513" i="1"/>
  <c r="AE514" i="1"/>
  <c r="AE515" i="1"/>
  <c r="AE516" i="1"/>
  <c r="AE517" i="1"/>
  <c r="AE518" i="1"/>
  <c r="AE519" i="1"/>
  <c r="AE520" i="1"/>
  <c r="AE521" i="1"/>
  <c r="AE522" i="1"/>
  <c r="AE523" i="1"/>
  <c r="AE524" i="1"/>
  <c r="AE525" i="1"/>
  <c r="AE526" i="1"/>
  <c r="AE527" i="1"/>
  <c r="AE528" i="1"/>
  <c r="AE529" i="1"/>
  <c r="AE530" i="1"/>
  <c r="AE531" i="1"/>
  <c r="AE532" i="1"/>
  <c r="AE533" i="1"/>
  <c r="AE534" i="1"/>
  <c r="AE535" i="1"/>
  <c r="AE536" i="1"/>
  <c r="AE537" i="1"/>
  <c r="AE538" i="1"/>
  <c r="AE539" i="1"/>
  <c r="AE540" i="1"/>
  <c r="AE541" i="1"/>
  <c r="AE542" i="1"/>
  <c r="AE543" i="1"/>
  <c r="AE544" i="1"/>
  <c r="AE545" i="1"/>
  <c r="AE546" i="1"/>
  <c r="AE547" i="1"/>
  <c r="AE548" i="1"/>
  <c r="AE549" i="1"/>
  <c r="AE550" i="1"/>
  <c r="AE551" i="1"/>
  <c r="AE552" i="1"/>
  <c r="AE553" i="1"/>
  <c r="AE554" i="1"/>
  <c r="AE555" i="1"/>
  <c r="AE556" i="1"/>
  <c r="AE557" i="1"/>
  <c r="AE558" i="1"/>
  <c r="AE559" i="1"/>
  <c r="AE560" i="1"/>
  <c r="AE561" i="1"/>
  <c r="AE562" i="1"/>
  <c r="AE563" i="1"/>
  <c r="AE564" i="1"/>
  <c r="AE565" i="1"/>
  <c r="AE566" i="1"/>
  <c r="AE567" i="1"/>
  <c r="AE568" i="1"/>
  <c r="AE569" i="1"/>
  <c r="AE570" i="1"/>
  <c r="AE571" i="1"/>
  <c r="AE572" i="1"/>
  <c r="AE573" i="1"/>
  <c r="AE574" i="1"/>
  <c r="AE575" i="1"/>
  <c r="AE576" i="1"/>
  <c r="AE577" i="1"/>
  <c r="AE578" i="1"/>
  <c r="AE579" i="1"/>
  <c r="AE580" i="1"/>
  <c r="AE581" i="1"/>
  <c r="AE582" i="1"/>
  <c r="AE583" i="1"/>
  <c r="AE584" i="1"/>
  <c r="AE585" i="1"/>
  <c r="AE586" i="1"/>
  <c r="AE587" i="1"/>
  <c r="AE588" i="1"/>
  <c r="AE589" i="1"/>
  <c r="AE590" i="1"/>
  <c r="AE591" i="1"/>
  <c r="AE592" i="1"/>
  <c r="AE593" i="1"/>
  <c r="AE594" i="1"/>
  <c r="AE595" i="1"/>
  <c r="AE596" i="1"/>
  <c r="AE597" i="1"/>
  <c r="AE598" i="1"/>
  <c r="AE599" i="1"/>
  <c r="AE600" i="1"/>
  <c r="AE601" i="1"/>
  <c r="AE602" i="1"/>
  <c r="AE603" i="1"/>
  <c r="AE604" i="1"/>
  <c r="AE605" i="1"/>
  <c r="AE606" i="1"/>
  <c r="AE607" i="1"/>
  <c r="AE608" i="1"/>
  <c r="AE609" i="1"/>
  <c r="AE610" i="1"/>
  <c r="AE611" i="1"/>
  <c r="AE612" i="1"/>
  <c r="AE613" i="1"/>
  <c r="AE614" i="1"/>
  <c r="AE615" i="1"/>
  <c r="AE616" i="1"/>
  <c r="AE617" i="1"/>
  <c r="AE618" i="1"/>
  <c r="AE619" i="1"/>
  <c r="AE620" i="1"/>
  <c r="AE621" i="1"/>
  <c r="AE622" i="1"/>
  <c r="AE623" i="1"/>
  <c r="AE624" i="1"/>
  <c r="AE625" i="1"/>
  <c r="AE626" i="1"/>
  <c r="AE627" i="1"/>
  <c r="AE628" i="1"/>
  <c r="AE629" i="1"/>
  <c r="AE630" i="1"/>
  <c r="AE631" i="1"/>
  <c r="AE632" i="1"/>
  <c r="AE633" i="1"/>
  <c r="AE634" i="1"/>
  <c r="AE635" i="1"/>
  <c r="AE636" i="1"/>
  <c r="AE637" i="1"/>
  <c r="AE638" i="1"/>
  <c r="AE639" i="1"/>
  <c r="AE640" i="1"/>
  <c r="AE641" i="1"/>
  <c r="AE642" i="1"/>
  <c r="AE643" i="1"/>
  <c r="AE644" i="1"/>
  <c r="AE645" i="1"/>
  <c r="AE646" i="1"/>
  <c r="AE647" i="1"/>
  <c r="AE648" i="1"/>
  <c r="AE649" i="1"/>
  <c r="AE650" i="1"/>
  <c r="AE651" i="1"/>
  <c r="AE652" i="1"/>
  <c r="AE653" i="1"/>
  <c r="AE654" i="1"/>
  <c r="AE655" i="1"/>
  <c r="AE656" i="1"/>
  <c r="AE657" i="1"/>
  <c r="AE658" i="1"/>
  <c r="AE659" i="1"/>
  <c r="AE660" i="1"/>
  <c r="AE661" i="1"/>
  <c r="AE662" i="1"/>
  <c r="AE663" i="1"/>
  <c r="AE664" i="1"/>
  <c r="AE665" i="1"/>
  <c r="AE666" i="1"/>
  <c r="AE667" i="1"/>
  <c r="AE668" i="1"/>
  <c r="AE669" i="1"/>
  <c r="AE670" i="1"/>
  <c r="AE671" i="1"/>
  <c r="AE672" i="1"/>
  <c r="AE673" i="1"/>
  <c r="AE674" i="1"/>
  <c r="AE675" i="1"/>
  <c r="AE676" i="1"/>
  <c r="AE677" i="1"/>
  <c r="AE678" i="1"/>
  <c r="AE679" i="1"/>
  <c r="AE680" i="1"/>
  <c r="AE681" i="1"/>
  <c r="AE682" i="1"/>
  <c r="AE683" i="1"/>
  <c r="AE684" i="1"/>
  <c r="AE685" i="1"/>
  <c r="AE686" i="1"/>
  <c r="AE687" i="1"/>
  <c r="AE688" i="1"/>
  <c r="AE689" i="1"/>
  <c r="AE690" i="1"/>
  <c r="AE691" i="1"/>
  <c r="AE692" i="1"/>
  <c r="AE693" i="1"/>
  <c r="AE694" i="1"/>
  <c r="AE695" i="1"/>
  <c r="AE696" i="1"/>
  <c r="AE697" i="1"/>
  <c r="AE698" i="1"/>
  <c r="AE699" i="1"/>
  <c r="AE700" i="1"/>
  <c r="AE701" i="1"/>
  <c r="AE702" i="1"/>
  <c r="AE703" i="1"/>
  <c r="AE704" i="1"/>
  <c r="AE705" i="1"/>
  <c r="AE706" i="1"/>
  <c r="AE707" i="1"/>
  <c r="AE708" i="1"/>
  <c r="AE709" i="1"/>
  <c r="AE710" i="1"/>
  <c r="AE711" i="1"/>
  <c r="AE712" i="1"/>
  <c r="AE713" i="1"/>
  <c r="AE714" i="1"/>
  <c r="AE715" i="1"/>
  <c r="AE716" i="1"/>
  <c r="AE717" i="1"/>
  <c r="AE718" i="1"/>
  <c r="AE719" i="1"/>
  <c r="AE720" i="1"/>
  <c r="AE721" i="1"/>
  <c r="AE722" i="1"/>
  <c r="AE723" i="1"/>
  <c r="AE724" i="1"/>
  <c r="AE725" i="1"/>
  <c r="AE726" i="1"/>
  <c r="AE727" i="1"/>
  <c r="AE728" i="1"/>
  <c r="AE729" i="1"/>
  <c r="AE730" i="1"/>
  <c r="AE731" i="1"/>
  <c r="AE732" i="1"/>
  <c r="AE733" i="1"/>
  <c r="AE734" i="1"/>
  <c r="AE735" i="1"/>
  <c r="AE736" i="1"/>
  <c r="AE737" i="1"/>
  <c r="AE738" i="1"/>
  <c r="AE739" i="1"/>
  <c r="AE740" i="1"/>
  <c r="AE741" i="1"/>
  <c r="AE742" i="1"/>
  <c r="AE743" i="1"/>
  <c r="AE744" i="1"/>
  <c r="AE745" i="1"/>
  <c r="AE746" i="1"/>
  <c r="AE747" i="1"/>
  <c r="AE748" i="1"/>
  <c r="AE749" i="1"/>
  <c r="AE750" i="1"/>
  <c r="AE751" i="1"/>
  <c r="AE752" i="1"/>
  <c r="AE753" i="1"/>
  <c r="AE754" i="1"/>
  <c r="AE755" i="1"/>
  <c r="AE756" i="1"/>
  <c r="AE757" i="1"/>
  <c r="AE758" i="1"/>
  <c r="AE759" i="1"/>
  <c r="AE760" i="1"/>
  <c r="AE761" i="1"/>
  <c r="AE762" i="1"/>
  <c r="AE763" i="1"/>
  <c r="AE764" i="1"/>
  <c r="AE765" i="1"/>
  <c r="AE766" i="1"/>
  <c r="AE767" i="1"/>
  <c r="AE768" i="1"/>
  <c r="AE769" i="1"/>
  <c r="AE770" i="1"/>
  <c r="AE771" i="1"/>
  <c r="AE772" i="1"/>
  <c r="AE773" i="1"/>
  <c r="AE774" i="1"/>
  <c r="AE775" i="1"/>
  <c r="AE776" i="1"/>
  <c r="AE777" i="1"/>
  <c r="AE778" i="1"/>
  <c r="AE779" i="1"/>
  <c r="AE780" i="1"/>
  <c r="AE781" i="1"/>
  <c r="AE782" i="1"/>
  <c r="AE783" i="1"/>
  <c r="AE784" i="1"/>
  <c r="AE785" i="1"/>
  <c r="AE786" i="1"/>
  <c r="AE787" i="1"/>
  <c r="AE788" i="1"/>
  <c r="AE789" i="1"/>
  <c r="AE790" i="1"/>
  <c r="AE791" i="1"/>
  <c r="AE792" i="1"/>
  <c r="AE793" i="1"/>
  <c r="AE794" i="1"/>
  <c r="AE795" i="1"/>
  <c r="AE796" i="1"/>
  <c r="AE797" i="1"/>
  <c r="AE798" i="1"/>
  <c r="AE799" i="1"/>
  <c r="AE800" i="1"/>
  <c r="AE801" i="1"/>
  <c r="AE802" i="1"/>
  <c r="AE803" i="1"/>
  <c r="AE804" i="1"/>
  <c r="AE805" i="1"/>
  <c r="AE806" i="1"/>
  <c r="AE807" i="1"/>
  <c r="AE808" i="1"/>
  <c r="AE809" i="1"/>
  <c r="AE810" i="1"/>
  <c r="AE811" i="1"/>
  <c r="AE812" i="1"/>
  <c r="AE813" i="1"/>
  <c r="AE814" i="1"/>
  <c r="AE815" i="1"/>
  <c r="AE816" i="1"/>
  <c r="AE817" i="1"/>
  <c r="AE818" i="1"/>
  <c r="AE819" i="1"/>
  <c r="AE820" i="1"/>
  <c r="AE821" i="1"/>
  <c r="AE822" i="1"/>
  <c r="AE823" i="1"/>
  <c r="AE824" i="1"/>
  <c r="AE825" i="1"/>
  <c r="AE826" i="1"/>
  <c r="AE827" i="1"/>
  <c r="AE828" i="1"/>
  <c r="AE829" i="1"/>
  <c r="AE830" i="1"/>
  <c r="AE831" i="1"/>
  <c r="AE832" i="1"/>
  <c r="AE833" i="1"/>
  <c r="AE834" i="1"/>
  <c r="AE835" i="1"/>
  <c r="AE836" i="1"/>
  <c r="AE837" i="1"/>
  <c r="AE838" i="1"/>
  <c r="AE839" i="1"/>
  <c r="AE840" i="1"/>
  <c r="AE841" i="1"/>
  <c r="AE842" i="1"/>
  <c r="AE843" i="1"/>
  <c r="AE844" i="1"/>
  <c r="AE845" i="1"/>
  <c r="AE846" i="1"/>
  <c r="AE847" i="1"/>
  <c r="AE848" i="1"/>
  <c r="AE849" i="1"/>
  <c r="AE850" i="1"/>
  <c r="AE851" i="1"/>
  <c r="AE852" i="1"/>
  <c r="AE853" i="1"/>
  <c r="AE854" i="1"/>
  <c r="AE855" i="1"/>
  <c r="AE856" i="1"/>
  <c r="AE857" i="1"/>
  <c r="AE858" i="1"/>
  <c r="AE859" i="1"/>
  <c r="AE860" i="1"/>
  <c r="AE861" i="1"/>
  <c r="AE862" i="1"/>
  <c r="AE863" i="1"/>
  <c r="AE864" i="1"/>
  <c r="AE865" i="1"/>
  <c r="AE866" i="1"/>
  <c r="AE867" i="1"/>
  <c r="AE868" i="1"/>
  <c r="AE869" i="1"/>
  <c r="AE870" i="1"/>
  <c r="AE871" i="1"/>
  <c r="AE872" i="1"/>
  <c r="AE873" i="1"/>
  <c r="AE874" i="1"/>
  <c r="AE875" i="1"/>
  <c r="AE876" i="1"/>
  <c r="AE877" i="1"/>
  <c r="AE878" i="1"/>
  <c r="AE879" i="1"/>
  <c r="AE880" i="1"/>
  <c r="AE881" i="1"/>
  <c r="AE882" i="1"/>
  <c r="AE883" i="1"/>
  <c r="AE884" i="1"/>
  <c r="AE885" i="1"/>
  <c r="AE886" i="1"/>
  <c r="AE887" i="1"/>
  <c r="AE888" i="1"/>
  <c r="AE889" i="1"/>
  <c r="AE890" i="1"/>
  <c r="AE891" i="1"/>
  <c r="AE892" i="1"/>
  <c r="AE893" i="1"/>
  <c r="AE894" i="1"/>
  <c r="AE895" i="1"/>
  <c r="AE896" i="1"/>
  <c r="AE897" i="1"/>
  <c r="AE898" i="1"/>
  <c r="AE899" i="1"/>
  <c r="AE900" i="1"/>
  <c r="AE901" i="1"/>
  <c r="AE902" i="1"/>
  <c r="AE903" i="1"/>
  <c r="AE904" i="1"/>
  <c r="AE905" i="1"/>
  <c r="AE906" i="1"/>
  <c r="AE907" i="1"/>
  <c r="AE908" i="1"/>
  <c r="AE909" i="1"/>
  <c r="AE910" i="1"/>
  <c r="AE911" i="1"/>
  <c r="AE912" i="1"/>
  <c r="AE913" i="1"/>
  <c r="AE914" i="1"/>
  <c r="AE915" i="1"/>
  <c r="AE916" i="1"/>
  <c r="AE917" i="1"/>
  <c r="AE918" i="1"/>
  <c r="AE919" i="1"/>
  <c r="AE920" i="1"/>
  <c r="AE921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51" i="1"/>
  <c r="AB352" i="1"/>
  <c r="AB353" i="1"/>
  <c r="AB354" i="1"/>
  <c r="AB355" i="1"/>
  <c r="AB356" i="1"/>
  <c r="AB357" i="1"/>
  <c r="AB358" i="1"/>
  <c r="AB359" i="1"/>
  <c r="AB360" i="1"/>
  <c r="AB361" i="1"/>
  <c r="AB362" i="1"/>
  <c r="AB363" i="1"/>
  <c r="AB364" i="1"/>
  <c r="AB365" i="1"/>
  <c r="AB366" i="1"/>
  <c r="AB367" i="1"/>
  <c r="AB368" i="1"/>
  <c r="AB369" i="1"/>
  <c r="AB370" i="1"/>
  <c r="AB371" i="1"/>
  <c r="AB372" i="1"/>
  <c r="AB373" i="1"/>
  <c r="AB374" i="1"/>
  <c r="AB375" i="1"/>
  <c r="AB376" i="1"/>
  <c r="AB377" i="1"/>
  <c r="AB378" i="1"/>
  <c r="AB379" i="1"/>
  <c r="AB380" i="1"/>
  <c r="AB381" i="1"/>
  <c r="AB382" i="1"/>
  <c r="AB383" i="1"/>
  <c r="AB384" i="1"/>
  <c r="AB385" i="1"/>
  <c r="AB386" i="1"/>
  <c r="AB387" i="1"/>
  <c r="AB388" i="1"/>
  <c r="AB389" i="1"/>
  <c r="AB390" i="1"/>
  <c r="AB391" i="1"/>
  <c r="AB392" i="1"/>
  <c r="AB393" i="1"/>
  <c r="AB394" i="1"/>
  <c r="AB395" i="1"/>
  <c r="AB396" i="1"/>
  <c r="AB397" i="1"/>
  <c r="AB398" i="1"/>
  <c r="AB399" i="1"/>
  <c r="AB400" i="1"/>
  <c r="AB401" i="1"/>
  <c r="AB402" i="1"/>
  <c r="AB403" i="1"/>
  <c r="AB404" i="1"/>
  <c r="AB405" i="1"/>
  <c r="AB406" i="1"/>
  <c r="AB407" i="1"/>
  <c r="AB408" i="1"/>
  <c r="AB409" i="1"/>
  <c r="AB410" i="1"/>
  <c r="AB411" i="1"/>
  <c r="AB412" i="1"/>
  <c r="AB413" i="1"/>
  <c r="AB414" i="1"/>
  <c r="AB415" i="1"/>
  <c r="AB416" i="1"/>
  <c r="AB417" i="1"/>
  <c r="AB418" i="1"/>
  <c r="AB419" i="1"/>
  <c r="AB420" i="1"/>
  <c r="AB421" i="1"/>
  <c r="AB422" i="1"/>
  <c r="AB423" i="1"/>
  <c r="AB424" i="1"/>
  <c r="AB425" i="1"/>
  <c r="AB426" i="1"/>
  <c r="AB427" i="1"/>
  <c r="AB428" i="1"/>
  <c r="AB429" i="1"/>
  <c r="AB430" i="1"/>
  <c r="AB431" i="1"/>
  <c r="AB432" i="1"/>
  <c r="AB433" i="1"/>
  <c r="AB434" i="1"/>
  <c r="AB435" i="1"/>
  <c r="AB436" i="1"/>
  <c r="AB437" i="1"/>
  <c r="AB438" i="1"/>
  <c r="AB439" i="1"/>
  <c r="AB440" i="1"/>
  <c r="AB441" i="1"/>
  <c r="AB442" i="1"/>
  <c r="AB443" i="1"/>
  <c r="AB444" i="1"/>
  <c r="AB445" i="1"/>
  <c r="AB446" i="1"/>
  <c r="AB447" i="1"/>
  <c r="AB448" i="1"/>
  <c r="AB449" i="1"/>
  <c r="AB450" i="1"/>
  <c r="AB451" i="1"/>
  <c r="AB452" i="1"/>
  <c r="AB453" i="1"/>
  <c r="AB454" i="1"/>
  <c r="AB455" i="1"/>
  <c r="AB456" i="1"/>
  <c r="AB457" i="1"/>
  <c r="AB458" i="1"/>
  <c r="AB459" i="1"/>
  <c r="AB460" i="1"/>
  <c r="AB461" i="1"/>
  <c r="AB462" i="1"/>
  <c r="AB463" i="1"/>
  <c r="AB464" i="1"/>
  <c r="AB465" i="1"/>
  <c r="AB466" i="1"/>
  <c r="AB467" i="1"/>
  <c r="AB468" i="1"/>
  <c r="AB469" i="1"/>
  <c r="AB470" i="1"/>
  <c r="AB471" i="1"/>
  <c r="AB472" i="1"/>
  <c r="AB473" i="1"/>
  <c r="AB474" i="1"/>
  <c r="AB475" i="1"/>
  <c r="AB476" i="1"/>
  <c r="AB477" i="1"/>
  <c r="AB478" i="1"/>
  <c r="AB479" i="1"/>
  <c r="AB480" i="1"/>
  <c r="AB481" i="1"/>
  <c r="AB482" i="1"/>
  <c r="AB483" i="1"/>
  <c r="AB484" i="1"/>
  <c r="AB485" i="1"/>
  <c r="AB486" i="1"/>
  <c r="AB487" i="1"/>
  <c r="AB488" i="1"/>
  <c r="AB489" i="1"/>
  <c r="AB490" i="1"/>
  <c r="AB491" i="1"/>
  <c r="AB492" i="1"/>
  <c r="AB493" i="1"/>
  <c r="AB494" i="1"/>
  <c r="AB495" i="1"/>
  <c r="AB496" i="1"/>
  <c r="AB497" i="1"/>
  <c r="AB498" i="1"/>
  <c r="AB499" i="1"/>
  <c r="AB500" i="1"/>
  <c r="AB501" i="1"/>
  <c r="AB502" i="1"/>
  <c r="AB503" i="1"/>
  <c r="AB504" i="1"/>
  <c r="AB505" i="1"/>
  <c r="AB506" i="1"/>
  <c r="AB507" i="1"/>
  <c r="AB508" i="1"/>
  <c r="AB509" i="1"/>
  <c r="AB510" i="1"/>
  <c r="AB511" i="1"/>
  <c r="AB512" i="1"/>
  <c r="AB513" i="1"/>
  <c r="AB514" i="1"/>
  <c r="AB515" i="1"/>
  <c r="AB516" i="1"/>
  <c r="AB517" i="1"/>
  <c r="AB518" i="1"/>
  <c r="AB519" i="1"/>
  <c r="AB520" i="1"/>
  <c r="AB521" i="1"/>
  <c r="AB522" i="1"/>
  <c r="AB523" i="1"/>
  <c r="AB524" i="1"/>
  <c r="AB525" i="1"/>
  <c r="AB526" i="1"/>
  <c r="AB527" i="1"/>
  <c r="AB528" i="1"/>
  <c r="AB529" i="1"/>
  <c r="AB530" i="1"/>
  <c r="AB531" i="1"/>
  <c r="AB532" i="1"/>
  <c r="AB533" i="1"/>
  <c r="AB534" i="1"/>
  <c r="AB535" i="1"/>
  <c r="AB536" i="1"/>
  <c r="AB537" i="1"/>
  <c r="AB538" i="1"/>
  <c r="AB539" i="1"/>
  <c r="AB540" i="1"/>
  <c r="AB541" i="1"/>
  <c r="AB542" i="1"/>
  <c r="AB543" i="1"/>
  <c r="AB544" i="1"/>
  <c r="AB545" i="1"/>
  <c r="AB546" i="1"/>
  <c r="AB547" i="1"/>
  <c r="AB548" i="1"/>
  <c r="AB549" i="1"/>
  <c r="AB550" i="1"/>
  <c r="AB551" i="1"/>
  <c r="AB552" i="1"/>
  <c r="AB553" i="1"/>
  <c r="AB554" i="1"/>
  <c r="AB555" i="1"/>
  <c r="AB556" i="1"/>
  <c r="AB557" i="1"/>
  <c r="AB558" i="1"/>
  <c r="AB559" i="1"/>
  <c r="AB560" i="1"/>
  <c r="AB561" i="1"/>
  <c r="AB562" i="1"/>
  <c r="AB563" i="1"/>
  <c r="AB564" i="1"/>
  <c r="AB565" i="1"/>
  <c r="AB566" i="1"/>
  <c r="AB567" i="1"/>
  <c r="AB568" i="1"/>
  <c r="AB569" i="1"/>
  <c r="AB570" i="1"/>
  <c r="AB571" i="1"/>
  <c r="AB572" i="1"/>
  <c r="AB573" i="1"/>
  <c r="AB574" i="1"/>
  <c r="AB575" i="1"/>
  <c r="AB576" i="1"/>
  <c r="AB577" i="1"/>
  <c r="AB578" i="1"/>
  <c r="AB579" i="1"/>
  <c r="AB580" i="1"/>
  <c r="AB581" i="1"/>
  <c r="AB582" i="1"/>
  <c r="AB583" i="1"/>
  <c r="AB584" i="1"/>
  <c r="AB585" i="1"/>
  <c r="AB586" i="1"/>
  <c r="AB587" i="1"/>
  <c r="AB588" i="1"/>
  <c r="AB589" i="1"/>
  <c r="AB590" i="1"/>
  <c r="AB591" i="1"/>
  <c r="AB592" i="1"/>
  <c r="AB593" i="1"/>
  <c r="AB594" i="1"/>
  <c r="AB595" i="1"/>
  <c r="AB596" i="1"/>
  <c r="AB597" i="1"/>
  <c r="AB598" i="1"/>
  <c r="AB599" i="1"/>
  <c r="AB600" i="1"/>
  <c r="AB601" i="1"/>
  <c r="AB602" i="1"/>
  <c r="AB603" i="1"/>
  <c r="AB604" i="1"/>
  <c r="AB605" i="1"/>
  <c r="AB606" i="1"/>
  <c r="AB607" i="1"/>
  <c r="AB608" i="1"/>
  <c r="AB609" i="1"/>
  <c r="AB610" i="1"/>
  <c r="AB611" i="1"/>
  <c r="AB612" i="1"/>
  <c r="AB613" i="1"/>
  <c r="AB614" i="1"/>
  <c r="AB615" i="1"/>
  <c r="AB616" i="1"/>
  <c r="AB617" i="1"/>
  <c r="AB618" i="1"/>
  <c r="AB619" i="1"/>
  <c r="AB620" i="1"/>
  <c r="AB621" i="1"/>
  <c r="AB622" i="1"/>
  <c r="AB623" i="1"/>
  <c r="AB624" i="1"/>
  <c r="AB625" i="1"/>
  <c r="AB626" i="1"/>
  <c r="AB627" i="1"/>
  <c r="AB628" i="1"/>
  <c r="AB629" i="1"/>
  <c r="AB630" i="1"/>
  <c r="AB631" i="1"/>
  <c r="AB632" i="1"/>
  <c r="AB633" i="1"/>
  <c r="AB634" i="1"/>
  <c r="AB635" i="1"/>
  <c r="AB636" i="1"/>
  <c r="AB637" i="1"/>
  <c r="AB638" i="1"/>
  <c r="AB639" i="1"/>
  <c r="AB640" i="1"/>
  <c r="AB641" i="1"/>
  <c r="AB642" i="1"/>
  <c r="AB643" i="1"/>
  <c r="AB644" i="1"/>
  <c r="AB645" i="1"/>
  <c r="AB646" i="1"/>
  <c r="AB647" i="1"/>
  <c r="AB648" i="1"/>
  <c r="AB649" i="1"/>
  <c r="AB650" i="1"/>
  <c r="AB651" i="1"/>
  <c r="AB652" i="1"/>
  <c r="AB653" i="1"/>
  <c r="AB654" i="1"/>
  <c r="AB655" i="1"/>
  <c r="AB656" i="1"/>
  <c r="AB657" i="1"/>
  <c r="AB658" i="1"/>
  <c r="AB659" i="1"/>
  <c r="AB660" i="1"/>
  <c r="AB661" i="1"/>
  <c r="AB662" i="1"/>
  <c r="AB663" i="1"/>
  <c r="AB664" i="1"/>
  <c r="AB665" i="1"/>
  <c r="AB666" i="1"/>
  <c r="AB667" i="1"/>
  <c r="AB668" i="1"/>
  <c r="AB669" i="1"/>
  <c r="AB670" i="1"/>
  <c r="AB671" i="1"/>
  <c r="AB672" i="1"/>
  <c r="AB673" i="1"/>
  <c r="AB674" i="1"/>
  <c r="AB675" i="1"/>
  <c r="AB676" i="1"/>
  <c r="AB677" i="1"/>
  <c r="AB678" i="1"/>
  <c r="AB679" i="1"/>
  <c r="AB680" i="1"/>
  <c r="AB681" i="1"/>
  <c r="AB682" i="1"/>
  <c r="AB683" i="1"/>
  <c r="AB684" i="1"/>
  <c r="AB685" i="1"/>
  <c r="AB686" i="1"/>
  <c r="AB687" i="1"/>
  <c r="AB688" i="1"/>
  <c r="AB689" i="1"/>
  <c r="AB690" i="1"/>
  <c r="AB691" i="1"/>
  <c r="AB692" i="1"/>
  <c r="AB693" i="1"/>
  <c r="AB694" i="1"/>
  <c r="AB695" i="1"/>
  <c r="AB696" i="1"/>
  <c r="AB697" i="1"/>
  <c r="AB698" i="1"/>
  <c r="AB699" i="1"/>
  <c r="AB700" i="1"/>
  <c r="AB701" i="1"/>
  <c r="AB702" i="1"/>
  <c r="AB703" i="1"/>
  <c r="AB704" i="1"/>
  <c r="AB705" i="1"/>
  <c r="AB706" i="1"/>
  <c r="AB707" i="1"/>
  <c r="AB708" i="1"/>
  <c r="AB709" i="1"/>
  <c r="AB710" i="1"/>
  <c r="AB711" i="1"/>
  <c r="AB712" i="1"/>
  <c r="AB713" i="1"/>
  <c r="AB714" i="1"/>
  <c r="AB715" i="1"/>
  <c r="AB716" i="1"/>
  <c r="AB717" i="1"/>
  <c r="AB718" i="1"/>
  <c r="AB719" i="1"/>
  <c r="AB720" i="1"/>
  <c r="AB721" i="1"/>
  <c r="AB722" i="1"/>
  <c r="AB723" i="1"/>
  <c r="AB724" i="1"/>
  <c r="AB725" i="1"/>
  <c r="AB726" i="1"/>
  <c r="AB727" i="1"/>
  <c r="AB728" i="1"/>
  <c r="AB729" i="1"/>
  <c r="AB730" i="1"/>
  <c r="AB731" i="1"/>
  <c r="AB732" i="1"/>
  <c r="AB733" i="1"/>
  <c r="AB734" i="1"/>
  <c r="AB735" i="1"/>
  <c r="AB736" i="1"/>
  <c r="AB737" i="1"/>
  <c r="AB738" i="1"/>
  <c r="AB739" i="1"/>
  <c r="AB740" i="1"/>
  <c r="AB741" i="1"/>
  <c r="AB742" i="1"/>
  <c r="AB743" i="1"/>
  <c r="AB744" i="1"/>
  <c r="AB745" i="1"/>
  <c r="AB746" i="1"/>
  <c r="AB747" i="1"/>
  <c r="AB748" i="1"/>
  <c r="AB749" i="1"/>
  <c r="AB750" i="1"/>
  <c r="AB751" i="1"/>
  <c r="AB752" i="1"/>
  <c r="AB753" i="1"/>
  <c r="AB754" i="1"/>
  <c r="AB755" i="1"/>
  <c r="AB756" i="1"/>
  <c r="AB757" i="1"/>
  <c r="AB758" i="1"/>
  <c r="AB759" i="1"/>
  <c r="AB760" i="1"/>
  <c r="AB761" i="1"/>
  <c r="AB762" i="1"/>
  <c r="AB763" i="1"/>
  <c r="AB764" i="1"/>
  <c r="AB765" i="1"/>
  <c r="AB766" i="1"/>
  <c r="AB767" i="1"/>
  <c r="AB768" i="1"/>
  <c r="AB769" i="1"/>
  <c r="AB770" i="1"/>
  <c r="AB771" i="1"/>
  <c r="AB772" i="1"/>
  <c r="AB773" i="1"/>
  <c r="AB774" i="1"/>
  <c r="AB775" i="1"/>
  <c r="AB776" i="1"/>
  <c r="AB777" i="1"/>
  <c r="AB778" i="1"/>
  <c r="AB779" i="1"/>
  <c r="AB780" i="1"/>
  <c r="AB781" i="1"/>
  <c r="AB782" i="1"/>
  <c r="AB783" i="1"/>
  <c r="AB784" i="1"/>
  <c r="AB785" i="1"/>
  <c r="AB786" i="1"/>
  <c r="AB787" i="1"/>
  <c r="AB788" i="1"/>
  <c r="AB789" i="1"/>
  <c r="AB790" i="1"/>
  <c r="AB791" i="1"/>
  <c r="AB792" i="1"/>
  <c r="AB793" i="1"/>
  <c r="AB794" i="1"/>
  <c r="AB795" i="1"/>
  <c r="AB796" i="1"/>
  <c r="AB797" i="1"/>
  <c r="AB798" i="1"/>
  <c r="AB799" i="1"/>
  <c r="AB800" i="1"/>
  <c r="AB801" i="1"/>
  <c r="AB802" i="1"/>
  <c r="AB803" i="1"/>
  <c r="AB804" i="1"/>
  <c r="AB805" i="1"/>
  <c r="AB806" i="1"/>
  <c r="AB807" i="1"/>
  <c r="AB808" i="1"/>
  <c r="AB809" i="1"/>
  <c r="AB810" i="1"/>
  <c r="AB811" i="1"/>
  <c r="AB812" i="1"/>
  <c r="AB813" i="1"/>
  <c r="AB814" i="1"/>
  <c r="AB815" i="1"/>
  <c r="AB816" i="1"/>
  <c r="AB817" i="1"/>
  <c r="AB818" i="1"/>
  <c r="AB819" i="1"/>
  <c r="AB820" i="1"/>
  <c r="AB821" i="1"/>
  <c r="AB822" i="1"/>
  <c r="AB823" i="1"/>
  <c r="AB824" i="1"/>
  <c r="AB825" i="1"/>
  <c r="AB826" i="1"/>
  <c r="AB827" i="1"/>
  <c r="AB828" i="1"/>
  <c r="AB829" i="1"/>
  <c r="AB830" i="1"/>
  <c r="AB831" i="1"/>
  <c r="AB832" i="1"/>
  <c r="AB833" i="1"/>
  <c r="AB834" i="1"/>
  <c r="AB835" i="1"/>
  <c r="AB836" i="1"/>
  <c r="AB837" i="1"/>
  <c r="AB838" i="1"/>
  <c r="AB839" i="1"/>
  <c r="AB840" i="1"/>
  <c r="AB841" i="1"/>
  <c r="AB842" i="1"/>
  <c r="AB843" i="1"/>
  <c r="AB844" i="1"/>
  <c r="AB845" i="1"/>
  <c r="AB846" i="1"/>
  <c r="AB847" i="1"/>
  <c r="AB848" i="1"/>
  <c r="AB849" i="1"/>
  <c r="AB850" i="1"/>
  <c r="AB851" i="1"/>
  <c r="AB852" i="1"/>
  <c r="AB853" i="1"/>
  <c r="AB854" i="1"/>
  <c r="AB855" i="1"/>
  <c r="AB856" i="1"/>
  <c r="AB857" i="1"/>
  <c r="AB858" i="1"/>
  <c r="AB859" i="1"/>
  <c r="AB860" i="1"/>
  <c r="AB861" i="1"/>
  <c r="AB862" i="1"/>
  <c r="AB863" i="1"/>
  <c r="AB864" i="1"/>
  <c r="AB865" i="1"/>
  <c r="AB866" i="1"/>
  <c r="AB867" i="1"/>
  <c r="AB868" i="1"/>
  <c r="AB869" i="1"/>
  <c r="AB870" i="1"/>
  <c r="AB871" i="1"/>
  <c r="AB872" i="1"/>
  <c r="AB873" i="1"/>
  <c r="AB874" i="1"/>
  <c r="AB875" i="1"/>
  <c r="AB876" i="1"/>
  <c r="AB877" i="1"/>
  <c r="AB878" i="1"/>
  <c r="AB879" i="1"/>
  <c r="AB880" i="1"/>
  <c r="AB881" i="1"/>
  <c r="AB882" i="1"/>
  <c r="AB883" i="1"/>
  <c r="AB884" i="1"/>
  <c r="AB885" i="1"/>
  <c r="AB886" i="1"/>
  <c r="AB887" i="1"/>
  <c r="AB888" i="1"/>
  <c r="AB889" i="1"/>
  <c r="AB890" i="1"/>
  <c r="AB891" i="1"/>
  <c r="AB892" i="1"/>
  <c r="AB893" i="1"/>
  <c r="AB894" i="1"/>
  <c r="AB895" i="1"/>
  <c r="AB896" i="1"/>
  <c r="AB897" i="1"/>
  <c r="AB898" i="1"/>
  <c r="AB899" i="1"/>
  <c r="AB900" i="1"/>
  <c r="AB901" i="1"/>
  <c r="AB902" i="1"/>
  <c r="AB903" i="1"/>
  <c r="AB904" i="1"/>
  <c r="AB905" i="1"/>
  <c r="AB906" i="1"/>
  <c r="AB907" i="1"/>
  <c r="AB908" i="1"/>
  <c r="AB909" i="1"/>
  <c r="AB910" i="1"/>
  <c r="AB911" i="1"/>
  <c r="AB912" i="1"/>
  <c r="AB913" i="1"/>
  <c r="AB914" i="1"/>
  <c r="AB915" i="1"/>
  <c r="AB916" i="1"/>
  <c r="AB917" i="1"/>
  <c r="AB918" i="1"/>
  <c r="AB919" i="1"/>
  <c r="AB920" i="1"/>
  <c r="AB921" i="1"/>
  <c r="AB922" i="1"/>
  <c r="AB923" i="1"/>
  <c r="AB924" i="1"/>
  <c r="AB925" i="1"/>
  <c r="AB926" i="1"/>
  <c r="AB927" i="1"/>
  <c r="AB928" i="1"/>
  <c r="AB929" i="1"/>
  <c r="AB930" i="1"/>
  <c r="AB931" i="1"/>
  <c r="AB932" i="1"/>
  <c r="AB933" i="1"/>
  <c r="AB934" i="1"/>
  <c r="AB935" i="1"/>
  <c r="AB936" i="1"/>
  <c r="AB937" i="1"/>
  <c r="AB938" i="1"/>
  <c r="AB939" i="1"/>
  <c r="AB940" i="1"/>
  <c r="AB941" i="1"/>
  <c r="AB942" i="1"/>
  <c r="AB943" i="1"/>
  <c r="AB944" i="1"/>
  <c r="AB945" i="1"/>
  <c r="AB946" i="1"/>
  <c r="AB947" i="1"/>
  <c r="AB948" i="1"/>
  <c r="AB949" i="1"/>
  <c r="AB950" i="1"/>
  <c r="AB951" i="1"/>
  <c r="AB952" i="1"/>
  <c r="AB953" i="1"/>
  <c r="AB954" i="1"/>
  <c r="AB955" i="1"/>
  <c r="AB956" i="1"/>
  <c r="AB957" i="1"/>
  <c r="AB958" i="1"/>
  <c r="AB959" i="1"/>
  <c r="AB960" i="1"/>
  <c r="AB961" i="1"/>
  <c r="AB962" i="1"/>
  <c r="AB963" i="1"/>
  <c r="AB964" i="1"/>
  <c r="AB965" i="1"/>
  <c r="AB966" i="1"/>
  <c r="AB967" i="1"/>
  <c r="AB968" i="1"/>
  <c r="AB969" i="1"/>
  <c r="AB970" i="1"/>
  <c r="AB971" i="1"/>
  <c r="AB972" i="1"/>
  <c r="AB973" i="1"/>
  <c r="AB974" i="1"/>
  <c r="AB975" i="1"/>
  <c r="AB976" i="1"/>
  <c r="AB977" i="1"/>
  <c r="AB978" i="1"/>
  <c r="AB979" i="1"/>
  <c r="AB980" i="1"/>
  <c r="AB981" i="1"/>
  <c r="AB982" i="1"/>
  <c r="AB983" i="1"/>
  <c r="AB984" i="1"/>
  <c r="AB985" i="1"/>
  <c r="AB986" i="1"/>
  <c r="AB987" i="1"/>
  <c r="AB988" i="1"/>
  <c r="AB989" i="1"/>
  <c r="AB990" i="1"/>
  <c r="AB991" i="1"/>
  <c r="AB992" i="1"/>
  <c r="AB993" i="1"/>
  <c r="AB994" i="1"/>
  <c r="AB995" i="1"/>
  <c r="AB996" i="1"/>
  <c r="AB997" i="1"/>
  <c r="AB998" i="1"/>
  <c r="AB999" i="1"/>
  <c r="AB1000" i="1"/>
  <c r="AB1001" i="1"/>
  <c r="AB1002" i="1"/>
  <c r="AB1003" i="1"/>
  <c r="AB1004" i="1"/>
  <c r="AB1005" i="1"/>
  <c r="AB1006" i="1"/>
  <c r="AB1007" i="1"/>
  <c r="AB1008" i="1"/>
  <c r="AB1009" i="1"/>
  <c r="AB1010" i="1"/>
  <c r="AB1011" i="1"/>
  <c r="AB1012" i="1"/>
  <c r="AB1013" i="1"/>
  <c r="AB1014" i="1"/>
  <c r="AB1015" i="1"/>
  <c r="AB1016" i="1"/>
  <c r="AB1017" i="1"/>
  <c r="AB1018" i="1"/>
  <c r="AB1019" i="1"/>
  <c r="AB1020" i="1"/>
  <c r="AB1021" i="1"/>
  <c r="AB1022" i="1"/>
  <c r="AB1023" i="1"/>
  <c r="AB1024" i="1"/>
  <c r="AB1025" i="1"/>
  <c r="AB1026" i="1"/>
  <c r="AB1027" i="1"/>
  <c r="AB1028" i="1"/>
  <c r="AB1029" i="1"/>
  <c r="AB1030" i="1"/>
  <c r="AB1031" i="1"/>
  <c r="AB1032" i="1"/>
  <c r="AB1033" i="1"/>
  <c r="AB1034" i="1"/>
  <c r="AB1035" i="1"/>
  <c r="AB1036" i="1"/>
  <c r="AB1037" i="1"/>
  <c r="AB1038" i="1"/>
  <c r="AB1039" i="1"/>
  <c r="AB1040" i="1"/>
  <c r="AB1041" i="1"/>
  <c r="AB1042" i="1"/>
  <c r="AB1043" i="1"/>
  <c r="AB1044" i="1"/>
  <c r="AB1045" i="1"/>
  <c r="AB1046" i="1"/>
  <c r="AB1047" i="1"/>
  <c r="AB1048" i="1"/>
  <c r="AB1049" i="1"/>
  <c r="AB1050" i="1"/>
  <c r="AB1051" i="1"/>
  <c r="AB1052" i="1"/>
  <c r="AB1053" i="1"/>
  <c r="AB1054" i="1"/>
  <c r="AB1055" i="1"/>
  <c r="AB1056" i="1"/>
  <c r="AB1057" i="1"/>
  <c r="AB1058" i="1"/>
  <c r="AB1059" i="1"/>
  <c r="AB1060" i="1"/>
  <c r="AB1061" i="1"/>
  <c r="AB1062" i="1"/>
  <c r="AB1063" i="1"/>
  <c r="AB1064" i="1"/>
  <c r="AB1065" i="1"/>
  <c r="AB1066" i="1"/>
  <c r="AB1067" i="1"/>
  <c r="AB1068" i="1"/>
  <c r="AB1069" i="1"/>
  <c r="AB1070" i="1"/>
  <c r="AB1071" i="1"/>
  <c r="AB1072" i="1"/>
  <c r="AB1073" i="1"/>
  <c r="AB1074" i="1"/>
  <c r="AB1075" i="1"/>
  <c r="AB1076" i="1"/>
  <c r="AB1077" i="1"/>
  <c r="AB1078" i="1"/>
  <c r="AB1079" i="1"/>
  <c r="AB1080" i="1"/>
  <c r="AB1081" i="1"/>
  <c r="AB1082" i="1"/>
  <c r="AB1083" i="1"/>
  <c r="AB1084" i="1"/>
  <c r="AB1085" i="1"/>
  <c r="AB1086" i="1"/>
  <c r="AB1087" i="1"/>
  <c r="AB1088" i="1"/>
  <c r="AB1089" i="1"/>
  <c r="AB1090" i="1"/>
  <c r="AB1091" i="1"/>
  <c r="AB1092" i="1"/>
  <c r="AB1093" i="1"/>
  <c r="AB1094" i="1"/>
  <c r="AB1095" i="1"/>
  <c r="AB1096" i="1"/>
  <c r="AB1097" i="1"/>
  <c r="AB1098" i="1"/>
  <c r="AB1099" i="1"/>
  <c r="AB1100" i="1"/>
  <c r="AB1101" i="1"/>
  <c r="AB1102" i="1"/>
  <c r="AB1103" i="1"/>
  <c r="AB1104" i="1"/>
  <c r="AB1105" i="1"/>
  <c r="AB1106" i="1"/>
  <c r="AB1107" i="1"/>
  <c r="AB1108" i="1"/>
  <c r="AB1109" i="1"/>
  <c r="AB1110" i="1"/>
  <c r="AB1111" i="1"/>
  <c r="AB1112" i="1"/>
  <c r="AB1113" i="1"/>
  <c r="AB1114" i="1"/>
  <c r="AB1115" i="1"/>
  <c r="AB1116" i="1"/>
  <c r="AB1117" i="1"/>
  <c r="AB1118" i="1"/>
  <c r="AB1119" i="1"/>
  <c r="AB1120" i="1"/>
  <c r="AB1121" i="1"/>
  <c r="AB1122" i="1"/>
  <c r="AB1123" i="1"/>
  <c r="AB1124" i="1"/>
  <c r="AB1125" i="1"/>
  <c r="AB1126" i="1"/>
  <c r="AB1127" i="1"/>
  <c r="AB1128" i="1"/>
  <c r="AB1129" i="1"/>
  <c r="AB1130" i="1"/>
  <c r="AB1131" i="1"/>
  <c r="AB1132" i="1"/>
  <c r="AB1133" i="1"/>
  <c r="AB1134" i="1"/>
  <c r="AB1135" i="1"/>
  <c r="AB1136" i="1"/>
  <c r="AB1137" i="1"/>
  <c r="AB1138" i="1"/>
  <c r="AB1139" i="1"/>
  <c r="AB1140" i="1"/>
  <c r="AB1141" i="1"/>
  <c r="AB1142" i="1"/>
  <c r="AB1143" i="1"/>
  <c r="AB1144" i="1"/>
  <c r="AB1145" i="1"/>
  <c r="AB1146" i="1"/>
  <c r="AB1147" i="1"/>
  <c r="AB1148" i="1"/>
  <c r="AB1149" i="1"/>
  <c r="AB1150" i="1"/>
  <c r="AB1151" i="1"/>
  <c r="AB1152" i="1"/>
  <c r="AB1153" i="1"/>
  <c r="AB1154" i="1"/>
  <c r="AB1155" i="1"/>
  <c r="AB1156" i="1"/>
  <c r="AB1157" i="1"/>
  <c r="AB1158" i="1"/>
  <c r="AB1159" i="1"/>
  <c r="AB1160" i="1"/>
  <c r="AB1161" i="1"/>
  <c r="AB1162" i="1"/>
  <c r="AB1163" i="1"/>
  <c r="AB1164" i="1"/>
  <c r="AB1165" i="1"/>
  <c r="AB1166" i="1"/>
  <c r="AB1167" i="1"/>
  <c r="AB1168" i="1"/>
  <c r="AB1169" i="1"/>
  <c r="AB1170" i="1"/>
  <c r="AB1171" i="1"/>
  <c r="AB1172" i="1"/>
  <c r="AB1173" i="1"/>
  <c r="AB1174" i="1"/>
  <c r="AB1175" i="1"/>
  <c r="AB1176" i="1"/>
  <c r="AB1177" i="1"/>
  <c r="AB1178" i="1"/>
  <c r="AB1179" i="1"/>
  <c r="AB1180" i="1"/>
  <c r="AB1181" i="1"/>
  <c r="AB1182" i="1"/>
  <c r="AB1183" i="1"/>
  <c r="AB1184" i="1"/>
  <c r="AB1185" i="1"/>
  <c r="AB1186" i="1"/>
  <c r="AB1187" i="1"/>
  <c r="AB1188" i="1"/>
  <c r="AB1189" i="1"/>
  <c r="AB1190" i="1"/>
  <c r="AB1191" i="1"/>
  <c r="AB1192" i="1"/>
  <c r="AB1193" i="1"/>
  <c r="AB1194" i="1"/>
  <c r="AB1195" i="1"/>
  <c r="AB1196" i="1"/>
  <c r="AB1197" i="1"/>
  <c r="AB1198" i="1"/>
  <c r="AB1199" i="1"/>
  <c r="AB1200" i="1"/>
  <c r="AB1201" i="1"/>
  <c r="AB1202" i="1"/>
  <c r="AB1203" i="1"/>
  <c r="AB1204" i="1"/>
  <c r="AB1205" i="1"/>
  <c r="AB1206" i="1"/>
  <c r="AB1207" i="1"/>
  <c r="AB1208" i="1"/>
  <c r="AB1209" i="1"/>
  <c r="AB1210" i="1"/>
  <c r="AB1211" i="1"/>
  <c r="AB1212" i="1"/>
  <c r="AB2" i="1"/>
  <c r="AE2" i="1"/>
  <c r="G974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2" i="1"/>
  <c r="G973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6" i="1"/>
  <c r="G997" i="1"/>
  <c r="G998" i="1"/>
  <c r="G999" i="1"/>
  <c r="G1000" i="1"/>
  <c r="G1001" i="1"/>
  <c r="G1002" i="1"/>
  <c r="G1003" i="1"/>
  <c r="G1004" i="1"/>
  <c r="G1005" i="1"/>
  <c r="G1006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8" i="1"/>
  <c r="G1089" i="1"/>
  <c r="G1090" i="1"/>
  <c r="G1091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60" i="1"/>
  <c r="G1161" i="1"/>
  <c r="G1162" i="1"/>
  <c r="G1163" i="1"/>
  <c r="G1165" i="1"/>
  <c r="G1166" i="1"/>
  <c r="G1167" i="1"/>
  <c r="G1168" i="1"/>
  <c r="G1169" i="1"/>
  <c r="G1170" i="1"/>
  <c r="G1171" i="1"/>
  <c r="G1172" i="1"/>
  <c r="G1173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6" i="1"/>
  <c r="G1207" i="1"/>
  <c r="G1209" i="1"/>
  <c r="G1210" i="1"/>
  <c r="G1211" i="1"/>
  <c r="G1212" i="1"/>
  <c r="G922" i="1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349" i="6"/>
  <c r="E350" i="6"/>
  <c r="E351" i="6"/>
  <c r="E352" i="6"/>
  <c r="E353" i="6"/>
  <c r="E354" i="6"/>
  <c r="E355" i="6"/>
  <c r="E356" i="6"/>
  <c r="E357" i="6"/>
  <c r="E358" i="6"/>
  <c r="E359" i="6"/>
  <c r="E360" i="6"/>
  <c r="E361" i="6"/>
  <c r="E362" i="6"/>
  <c r="E363" i="6"/>
  <c r="E364" i="6"/>
  <c r="E365" i="6"/>
  <c r="E366" i="6"/>
  <c r="E367" i="6"/>
  <c r="E368" i="6"/>
  <c r="E369" i="6"/>
  <c r="E370" i="6"/>
  <c r="E371" i="6"/>
  <c r="E372" i="6"/>
  <c r="E373" i="6"/>
  <c r="E374" i="6"/>
  <c r="E375" i="6"/>
  <c r="E376" i="6"/>
  <c r="E377" i="6"/>
  <c r="E378" i="6"/>
  <c r="E379" i="6"/>
  <c r="E380" i="6"/>
  <c r="E381" i="6"/>
  <c r="E382" i="6"/>
  <c r="E383" i="6"/>
  <c r="E384" i="6"/>
  <c r="E385" i="6"/>
  <c r="E386" i="6"/>
  <c r="E387" i="6"/>
  <c r="E388" i="6"/>
  <c r="E389" i="6"/>
  <c r="E390" i="6"/>
  <c r="E391" i="6"/>
  <c r="E392" i="6"/>
  <c r="E393" i="6"/>
  <c r="E394" i="6"/>
  <c r="E395" i="6"/>
  <c r="E396" i="6"/>
  <c r="E397" i="6"/>
  <c r="E398" i="6"/>
  <c r="E399" i="6"/>
  <c r="E400" i="6"/>
  <c r="E401" i="6"/>
  <c r="E402" i="6"/>
  <c r="E403" i="6"/>
  <c r="E404" i="6"/>
  <c r="E405" i="6"/>
  <c r="E406" i="6"/>
  <c r="E407" i="6"/>
  <c r="E408" i="6"/>
  <c r="E409" i="6"/>
  <c r="E410" i="6"/>
  <c r="E411" i="6"/>
  <c r="E412" i="6"/>
  <c r="E413" i="6"/>
  <c r="E414" i="6"/>
  <c r="E415" i="6"/>
  <c r="E416" i="6"/>
  <c r="E417" i="6"/>
  <c r="E418" i="6"/>
  <c r="E419" i="6"/>
  <c r="E420" i="6"/>
  <c r="E421" i="6"/>
  <c r="E422" i="6"/>
  <c r="E423" i="6"/>
  <c r="E424" i="6"/>
  <c r="E425" i="6"/>
  <c r="E426" i="6"/>
  <c r="E427" i="6"/>
  <c r="E428" i="6"/>
  <c r="E429" i="6"/>
  <c r="E430" i="6"/>
  <c r="E431" i="6"/>
  <c r="E432" i="6"/>
  <c r="E433" i="6"/>
  <c r="E434" i="6"/>
  <c r="E435" i="6"/>
  <c r="E436" i="6"/>
  <c r="E437" i="6"/>
  <c r="E438" i="6"/>
  <c r="E439" i="6"/>
  <c r="E440" i="6"/>
  <c r="E441" i="6"/>
  <c r="E442" i="6"/>
  <c r="E443" i="6"/>
  <c r="E444" i="6"/>
  <c r="E445" i="6"/>
  <c r="E446" i="6"/>
  <c r="E447" i="6"/>
  <c r="E448" i="6"/>
  <c r="E449" i="6"/>
  <c r="E450" i="6"/>
  <c r="E451" i="6"/>
  <c r="E452" i="6"/>
  <c r="E453" i="6"/>
  <c r="E454" i="6"/>
  <c r="E455" i="6"/>
  <c r="E456" i="6"/>
  <c r="E457" i="6"/>
  <c r="E458" i="6"/>
  <c r="E459" i="6"/>
  <c r="E460" i="6"/>
  <c r="E461" i="6"/>
  <c r="E462" i="6"/>
  <c r="E463" i="6"/>
  <c r="E464" i="6"/>
  <c r="E465" i="6"/>
  <c r="E466" i="6"/>
  <c r="E467" i="6"/>
  <c r="E468" i="6"/>
  <c r="E469" i="6"/>
  <c r="E470" i="6"/>
  <c r="E471" i="6"/>
  <c r="E472" i="6"/>
  <c r="E473" i="6"/>
  <c r="E474" i="6"/>
  <c r="E475" i="6"/>
  <c r="E476" i="6"/>
  <c r="E477" i="6"/>
  <c r="E478" i="6"/>
  <c r="E479" i="6"/>
  <c r="E480" i="6"/>
  <c r="E481" i="6"/>
  <c r="E482" i="6"/>
  <c r="E483" i="6"/>
  <c r="E484" i="6"/>
  <c r="E485" i="6"/>
  <c r="E486" i="6"/>
  <c r="E487" i="6"/>
  <c r="E488" i="6"/>
  <c r="E489" i="6"/>
  <c r="E490" i="6"/>
  <c r="E491" i="6"/>
  <c r="E492" i="6"/>
  <c r="E493" i="6"/>
  <c r="E494" i="6"/>
  <c r="E495" i="6"/>
  <c r="E496" i="6"/>
  <c r="E497" i="6"/>
  <c r="E498" i="6"/>
  <c r="E499" i="6"/>
  <c r="E500" i="6"/>
  <c r="E501" i="6"/>
  <c r="E502" i="6"/>
  <c r="E503" i="6"/>
  <c r="E504" i="6"/>
  <c r="E505" i="6"/>
  <c r="E506" i="6"/>
  <c r="E507" i="6"/>
  <c r="E508" i="6"/>
  <c r="E509" i="6"/>
  <c r="E510" i="6"/>
  <c r="F2" i="6"/>
  <c r="E2" i="6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922" i="1"/>
  <c r="C921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6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322" i="1"/>
  <c r="C320" i="1"/>
  <c r="C321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2" i="1"/>
  <c r="F3" i="5" a="1"/>
  <c r="F3" i="5" s="1"/>
  <c r="F4" i="5" a="1"/>
  <c r="F4" i="5" s="1"/>
  <c r="F5" i="5" a="1"/>
  <c r="F5" i="5" s="1"/>
  <c r="F6" i="5" a="1"/>
  <c r="F6" i="5" s="1"/>
  <c r="F7" i="5" a="1"/>
  <c r="F7" i="5" s="1"/>
  <c r="F8" i="5" a="1"/>
  <c r="F8" i="5" s="1"/>
  <c r="F9" i="5" a="1"/>
  <c r="F9" i="5" s="1"/>
  <c r="F10" i="5" a="1"/>
  <c r="F10" i="5" s="1"/>
  <c r="F11" i="5" a="1"/>
  <c r="F11" i="5" s="1"/>
  <c r="F12" i="5" a="1"/>
  <c r="F12" i="5" s="1"/>
  <c r="F13" i="5" a="1"/>
  <c r="F13" i="5" s="1"/>
  <c r="F14" i="5" a="1"/>
  <c r="F14" i="5" s="1"/>
  <c r="F15" i="5" a="1"/>
  <c r="F15" i="5" s="1"/>
  <c r="F16" i="5" a="1"/>
  <c r="F16" i="5" s="1"/>
  <c r="F17" i="5" a="1"/>
  <c r="F17" i="5" s="1"/>
  <c r="F18" i="5" a="1"/>
  <c r="F18" i="5"/>
  <c r="F19" i="5" a="1"/>
  <c r="F19" i="5" s="1"/>
  <c r="F20" i="5" a="1"/>
  <c r="F20" i="5" s="1"/>
  <c r="F21" i="5" a="1"/>
  <c r="F21" i="5" s="1"/>
  <c r="F22" i="5" a="1"/>
  <c r="F22" i="5" s="1"/>
  <c r="F23" i="5" a="1"/>
  <c r="F23" i="5" s="1"/>
  <c r="F24" i="5" a="1"/>
  <c r="F24" i="5" s="1"/>
  <c r="F25" i="5" a="1"/>
  <c r="F25" i="5" s="1"/>
  <c r="F26" i="5" a="1"/>
  <c r="F26" i="5" s="1"/>
  <c r="F27" i="5" a="1"/>
  <c r="F27" i="5" s="1"/>
  <c r="F28" i="5" a="1"/>
  <c r="F28" i="5" s="1"/>
  <c r="F29" i="5" a="1"/>
  <c r="F29" i="5" s="1"/>
  <c r="F30" i="5" a="1"/>
  <c r="F30" i="5" s="1"/>
  <c r="F31" i="5" a="1"/>
  <c r="F31" i="5" s="1"/>
  <c r="F32" i="5" a="1"/>
  <c r="F32" i="5" s="1"/>
  <c r="F33" i="5" a="1"/>
  <c r="F33" i="5" s="1"/>
  <c r="F34" i="5" a="1"/>
  <c r="F34" i="5"/>
  <c r="F35" i="5" a="1"/>
  <c r="F35" i="5" s="1"/>
  <c r="F36" i="5" a="1"/>
  <c r="F36" i="5" s="1"/>
  <c r="F37" i="5" a="1"/>
  <c r="F37" i="5" s="1"/>
  <c r="F38" i="5" a="1"/>
  <c r="F38" i="5" s="1"/>
  <c r="F39" i="5" a="1"/>
  <c r="F39" i="5" s="1"/>
  <c r="F40" i="5" a="1"/>
  <c r="F40" i="5" s="1"/>
  <c r="F41" i="5" a="1"/>
  <c r="F41" i="5" s="1"/>
  <c r="F42" i="5" a="1"/>
  <c r="F42" i="5" s="1"/>
  <c r="F43" i="5" a="1"/>
  <c r="F43" i="5" s="1"/>
  <c r="F44" i="5" a="1"/>
  <c r="F44" i="5" s="1"/>
  <c r="F45" i="5" a="1"/>
  <c r="F45" i="5" s="1"/>
  <c r="F46" i="5" a="1"/>
  <c r="F46" i="5" s="1"/>
  <c r="F47" i="5" a="1"/>
  <c r="F47" i="5" s="1"/>
  <c r="F48" i="5" a="1"/>
  <c r="F48" i="5" s="1"/>
  <c r="F49" i="5" a="1"/>
  <c r="F49" i="5" s="1"/>
  <c r="F50" i="5" a="1"/>
  <c r="F50" i="5"/>
  <c r="F51" i="5" a="1"/>
  <c r="F51" i="5" s="1"/>
  <c r="F52" i="5" a="1"/>
  <c r="F52" i="5" s="1"/>
  <c r="F53" i="5" a="1"/>
  <c r="F53" i="5" s="1"/>
  <c r="F54" i="5" a="1"/>
  <c r="F54" i="5" s="1"/>
  <c r="F55" i="5" a="1"/>
  <c r="F55" i="5" s="1"/>
  <c r="F56" i="5" a="1"/>
  <c r="F56" i="5" s="1"/>
  <c r="F57" i="5" a="1"/>
  <c r="F57" i="5" s="1"/>
  <c r="F58" i="5" a="1"/>
  <c r="F58" i="5" s="1"/>
  <c r="F59" i="5" a="1"/>
  <c r="F59" i="5" s="1"/>
  <c r="F60" i="5" a="1"/>
  <c r="F60" i="5" s="1"/>
  <c r="F61" i="5" a="1"/>
  <c r="F61" i="5" s="1"/>
  <c r="F62" i="5" a="1"/>
  <c r="F62" i="5" s="1"/>
  <c r="F63" i="5" a="1"/>
  <c r="F63" i="5" s="1"/>
  <c r="F64" i="5" a="1"/>
  <c r="F64" i="5" s="1"/>
  <c r="F65" i="5" a="1"/>
  <c r="F65" i="5" s="1"/>
  <c r="F66" i="5" a="1"/>
  <c r="F66" i="5"/>
  <c r="F67" i="5" a="1"/>
  <c r="F67" i="5" s="1"/>
  <c r="F68" i="5" a="1"/>
  <c r="F68" i="5" s="1"/>
  <c r="F69" i="5" a="1"/>
  <c r="F69" i="5" s="1"/>
  <c r="F70" i="5" a="1"/>
  <c r="F70" i="5" s="1"/>
  <c r="F71" i="5" a="1"/>
  <c r="F71" i="5" s="1"/>
  <c r="F72" i="5" a="1"/>
  <c r="F72" i="5" s="1"/>
  <c r="F73" i="5" a="1"/>
  <c r="F73" i="5" s="1"/>
  <c r="F74" i="5" a="1"/>
  <c r="F74" i="5" s="1"/>
  <c r="F75" i="5" a="1"/>
  <c r="F75" i="5" s="1"/>
  <c r="F76" i="5" a="1"/>
  <c r="F76" i="5" s="1"/>
  <c r="F77" i="5" a="1"/>
  <c r="F77" i="5" s="1"/>
  <c r="F78" i="5" a="1"/>
  <c r="F78" i="5" s="1"/>
  <c r="F79" i="5" a="1"/>
  <c r="F79" i="5" s="1"/>
  <c r="F80" i="5" a="1"/>
  <c r="F80" i="5" s="1"/>
  <c r="F81" i="5" a="1"/>
  <c r="F81" i="5" s="1"/>
  <c r="F82" i="5" a="1"/>
  <c r="F82" i="5"/>
  <c r="F83" i="5" a="1"/>
  <c r="F83" i="5" s="1"/>
  <c r="F84" i="5" a="1"/>
  <c r="F84" i="5" s="1"/>
  <c r="F85" i="5" a="1"/>
  <c r="F85" i="5" s="1"/>
  <c r="F86" i="5" a="1"/>
  <c r="F86" i="5" s="1"/>
  <c r="F87" i="5" a="1"/>
  <c r="F87" i="5" s="1"/>
  <c r="F88" i="5" a="1"/>
  <c r="F88" i="5" s="1"/>
  <c r="F89" i="5" a="1"/>
  <c r="F89" i="5" s="1"/>
  <c r="F90" i="5" a="1"/>
  <c r="F90" i="5" s="1"/>
  <c r="F91" i="5" a="1"/>
  <c r="F91" i="5" s="1"/>
  <c r="F92" i="5" a="1"/>
  <c r="F92" i="5" s="1"/>
  <c r="F93" i="5" a="1"/>
  <c r="F93" i="5" s="1"/>
  <c r="F94" i="5" a="1"/>
  <c r="F94" i="5" s="1"/>
  <c r="F95" i="5" a="1"/>
  <c r="F95" i="5" s="1"/>
  <c r="F96" i="5" a="1"/>
  <c r="F96" i="5" s="1"/>
  <c r="F97" i="5" a="1"/>
  <c r="F97" i="5" s="1"/>
  <c r="F98" i="5" a="1"/>
  <c r="F98" i="5"/>
  <c r="F99" i="5" a="1"/>
  <c r="F99" i="5" s="1"/>
  <c r="F100" i="5" a="1"/>
  <c r="F100" i="5" s="1"/>
  <c r="F101" i="5" a="1"/>
  <c r="F101" i="5" s="1"/>
  <c r="F102" i="5" a="1"/>
  <c r="F102" i="5" s="1"/>
  <c r="F103" i="5" a="1"/>
  <c r="F103" i="5" s="1"/>
  <c r="F104" i="5" a="1"/>
  <c r="F104" i="5" s="1"/>
  <c r="F105" i="5" a="1"/>
  <c r="F105" i="5" s="1"/>
  <c r="F106" i="5" a="1"/>
  <c r="F106" i="5" s="1"/>
  <c r="F107" i="5" a="1"/>
  <c r="F107" i="5" s="1"/>
  <c r="F108" i="5" a="1"/>
  <c r="F108" i="5" s="1"/>
  <c r="F109" i="5" a="1"/>
  <c r="F109" i="5" s="1"/>
  <c r="F110" i="5" a="1"/>
  <c r="F110" i="5" s="1"/>
  <c r="F111" i="5" a="1"/>
  <c r="F111" i="5" s="1"/>
  <c r="F112" i="5" a="1"/>
  <c r="F112" i="5" s="1"/>
  <c r="F113" i="5" a="1"/>
  <c r="F113" i="5" s="1"/>
  <c r="F114" i="5" a="1"/>
  <c r="F114" i="5"/>
  <c r="F115" i="5" a="1"/>
  <c r="F115" i="5" s="1"/>
  <c r="F116" i="5" a="1"/>
  <c r="F116" i="5" s="1"/>
  <c r="F117" i="5" a="1"/>
  <c r="F117" i="5" s="1"/>
  <c r="F118" i="5" a="1"/>
  <c r="F118" i="5" s="1"/>
  <c r="F119" i="5" a="1"/>
  <c r="F119" i="5" s="1"/>
  <c r="F120" i="5" a="1"/>
  <c r="F120" i="5" s="1"/>
  <c r="F121" i="5" a="1"/>
  <c r="F121" i="5" s="1"/>
  <c r="F122" i="5" a="1"/>
  <c r="F122" i="5" s="1"/>
  <c r="F123" i="5" a="1"/>
  <c r="F123" i="5" s="1"/>
  <c r="F124" i="5" a="1"/>
  <c r="F124" i="5" s="1"/>
  <c r="F125" i="5" a="1"/>
  <c r="F125" i="5" s="1"/>
  <c r="F126" i="5" a="1"/>
  <c r="F126" i="5" s="1"/>
  <c r="F127" i="5" a="1"/>
  <c r="F127" i="5" s="1"/>
  <c r="F128" i="5" a="1"/>
  <c r="F128" i="5" s="1"/>
  <c r="F129" i="5" a="1"/>
  <c r="F129" i="5" s="1"/>
  <c r="F130" i="5" a="1"/>
  <c r="F130" i="5"/>
  <c r="F131" i="5" a="1"/>
  <c r="F131" i="5" s="1"/>
  <c r="F132" i="5" a="1"/>
  <c r="F132" i="5" s="1"/>
  <c r="F133" i="5" a="1"/>
  <c r="F133" i="5" s="1"/>
  <c r="F134" i="5" a="1"/>
  <c r="F134" i="5" s="1"/>
  <c r="F135" i="5" a="1"/>
  <c r="F135" i="5" s="1"/>
  <c r="F136" i="5" a="1"/>
  <c r="F136" i="5" s="1"/>
  <c r="F137" i="5" a="1"/>
  <c r="F137" i="5" s="1"/>
  <c r="F138" i="5" a="1"/>
  <c r="F138" i="5" s="1"/>
  <c r="F139" i="5" a="1"/>
  <c r="F139" i="5" s="1"/>
  <c r="F140" i="5" a="1"/>
  <c r="F140" i="5" s="1"/>
  <c r="F141" i="5" a="1"/>
  <c r="F141" i="5" s="1"/>
  <c r="F142" i="5" a="1"/>
  <c r="F142" i="5" s="1"/>
  <c r="F143" i="5" a="1"/>
  <c r="F143" i="5" s="1"/>
  <c r="F144" i="5" a="1"/>
  <c r="F144" i="5" s="1"/>
  <c r="F145" i="5" a="1"/>
  <c r="F145" i="5" s="1"/>
  <c r="F146" i="5" a="1"/>
  <c r="F146" i="5"/>
  <c r="F147" i="5" a="1"/>
  <c r="F147" i="5" s="1"/>
  <c r="F148" i="5" a="1"/>
  <c r="F148" i="5" s="1"/>
  <c r="F149" i="5" a="1"/>
  <c r="F149" i="5" s="1"/>
  <c r="F150" i="5" a="1"/>
  <c r="F150" i="5" s="1"/>
  <c r="F151" i="5" a="1"/>
  <c r="F151" i="5" s="1"/>
  <c r="F152" i="5" a="1"/>
  <c r="F152" i="5" s="1"/>
  <c r="F153" i="5" a="1"/>
  <c r="F153" i="5" s="1"/>
  <c r="F154" i="5" a="1"/>
  <c r="F154" i="5" s="1"/>
  <c r="F155" i="5" a="1"/>
  <c r="F155" i="5" s="1"/>
  <c r="F156" i="5" a="1"/>
  <c r="F156" i="5" s="1"/>
  <c r="F157" i="5" a="1"/>
  <c r="F157" i="5" s="1"/>
  <c r="F158" i="5" a="1"/>
  <c r="F158" i="5" s="1"/>
  <c r="F159" i="5" a="1"/>
  <c r="F159" i="5" s="1"/>
  <c r="F160" i="5" a="1"/>
  <c r="F160" i="5" s="1"/>
  <c r="F161" i="5" a="1"/>
  <c r="F161" i="5" s="1"/>
  <c r="F162" i="5" a="1"/>
  <c r="F162" i="5" s="1"/>
  <c r="F163" i="5" a="1"/>
  <c r="F163" i="5" s="1"/>
  <c r="F164" i="5" a="1"/>
  <c r="F164" i="5" s="1"/>
  <c r="F165" i="5" a="1"/>
  <c r="F165" i="5" s="1"/>
  <c r="F166" i="5" a="1"/>
  <c r="F166" i="5" s="1"/>
  <c r="F167" i="5" a="1"/>
  <c r="F167" i="5" s="1"/>
  <c r="F168" i="5" a="1"/>
  <c r="F168" i="5" s="1"/>
  <c r="F169" i="5" a="1"/>
  <c r="F169" i="5" s="1"/>
  <c r="F170" i="5" a="1"/>
  <c r="F170" i="5"/>
  <c r="F171" i="5" a="1"/>
  <c r="F171" i="5" s="1"/>
  <c r="F172" i="5" a="1"/>
  <c r="F172" i="5" s="1"/>
  <c r="F173" i="5" a="1"/>
  <c r="F173" i="5" s="1"/>
  <c r="F174" i="5" a="1"/>
  <c r="F174" i="5" s="1"/>
  <c r="F175" i="5" a="1"/>
  <c r="F175" i="5" s="1"/>
  <c r="F176" i="5" a="1"/>
  <c r="F176" i="5" s="1"/>
  <c r="F177" i="5" a="1"/>
  <c r="F177" i="5" s="1"/>
  <c r="F178" i="5" a="1"/>
  <c r="F178" i="5" s="1"/>
  <c r="F179" i="5" a="1"/>
  <c r="F179" i="5" s="1"/>
  <c r="F180" i="5" a="1"/>
  <c r="F180" i="5" s="1"/>
  <c r="F181" i="5" a="1"/>
  <c r="F181" i="5" s="1"/>
  <c r="F182" i="5" a="1"/>
  <c r="F182" i="5" s="1"/>
  <c r="F183" i="5" a="1"/>
  <c r="F183" i="5"/>
  <c r="F184" i="5" a="1"/>
  <c r="F184" i="5" s="1"/>
  <c r="F185" i="5" a="1"/>
  <c r="F185" i="5" s="1"/>
  <c r="F186" i="5" a="1"/>
  <c r="F186" i="5" s="1"/>
  <c r="F187" i="5" a="1"/>
  <c r="F187" i="5" s="1"/>
  <c r="F188" i="5" a="1"/>
  <c r="F188" i="5" s="1"/>
  <c r="F189" i="5" a="1"/>
  <c r="F189" i="5" s="1"/>
  <c r="F190" i="5" a="1"/>
  <c r="F190" i="5" s="1"/>
  <c r="F191" i="5" a="1"/>
  <c r="F191" i="5" s="1"/>
  <c r="F192" i="5" a="1"/>
  <c r="F192" i="5" s="1"/>
  <c r="F193" i="5" a="1"/>
  <c r="F193" i="5" s="1"/>
  <c r="F194" i="5" a="1"/>
  <c r="F194" i="5" s="1"/>
  <c r="F195" i="5" a="1"/>
  <c r="F195" i="5" s="1"/>
  <c r="F196" i="5" a="1"/>
  <c r="F196" i="5" s="1"/>
  <c r="F197" i="5" a="1"/>
  <c r="F197" i="5" s="1"/>
  <c r="F198" i="5" a="1"/>
  <c r="F198" i="5" s="1"/>
  <c r="F199" i="5" a="1"/>
  <c r="F199" i="5"/>
  <c r="F200" i="5" a="1"/>
  <c r="F200" i="5" s="1"/>
  <c r="F201" i="5" a="1"/>
  <c r="F201" i="5" s="1"/>
  <c r="F202" i="5" a="1"/>
  <c r="F202" i="5" s="1"/>
  <c r="F203" i="5" a="1"/>
  <c r="F203" i="5" s="1"/>
  <c r="F204" i="5" a="1"/>
  <c r="F204" i="5" s="1"/>
  <c r="F205" i="5" a="1"/>
  <c r="F205" i="5" s="1"/>
  <c r="F206" i="5" a="1"/>
  <c r="F206" i="5" s="1"/>
  <c r="F207" i="5" a="1"/>
  <c r="F207" i="5" s="1"/>
  <c r="F208" i="5" a="1"/>
  <c r="F208" i="5" s="1"/>
  <c r="F209" i="5" a="1"/>
  <c r="F209" i="5" s="1"/>
  <c r="F210" i="5" a="1"/>
  <c r="F210" i="5" s="1"/>
  <c r="F211" i="5" a="1"/>
  <c r="F211" i="5" s="1"/>
  <c r="F212" i="5" a="1"/>
  <c r="F212" i="5" s="1"/>
  <c r="F213" i="5" a="1"/>
  <c r="F213" i="5" s="1"/>
  <c r="F214" i="5" a="1"/>
  <c r="F214" i="5" s="1"/>
  <c r="F215" i="5" a="1"/>
  <c r="F215" i="5"/>
  <c r="F216" i="5" a="1"/>
  <c r="F216" i="5" s="1"/>
  <c r="F217" i="5" a="1"/>
  <c r="F217" i="5" s="1"/>
  <c r="F218" i="5" a="1"/>
  <c r="F218" i="5" s="1"/>
  <c r="F219" i="5" a="1"/>
  <c r="F219" i="5" s="1"/>
  <c r="F220" i="5" a="1"/>
  <c r="F220" i="5" s="1"/>
  <c r="F221" i="5" a="1"/>
  <c r="F221" i="5" s="1"/>
  <c r="F222" i="5" a="1"/>
  <c r="F222" i="5" s="1"/>
  <c r="F223" i="5" a="1"/>
  <c r="F223" i="5" s="1"/>
  <c r="F224" i="5" a="1"/>
  <c r="F224" i="5" s="1"/>
  <c r="F225" i="5" a="1"/>
  <c r="F225" i="5" s="1"/>
  <c r="F226" i="5" a="1"/>
  <c r="F226" i="5" s="1"/>
  <c r="F227" i="5" a="1"/>
  <c r="F227" i="5" s="1"/>
  <c r="F228" i="5" a="1"/>
  <c r="F228" i="5" s="1"/>
  <c r="F229" i="5" a="1"/>
  <c r="F229" i="5" s="1"/>
  <c r="F230" i="5" a="1"/>
  <c r="F230" i="5" s="1"/>
  <c r="F231" i="5" a="1"/>
  <c r="F231" i="5"/>
  <c r="F232" i="5" a="1"/>
  <c r="F232" i="5" s="1"/>
  <c r="F233" i="5" a="1"/>
  <c r="F233" i="5" s="1"/>
  <c r="F234" i="5" a="1"/>
  <c r="F234" i="5" s="1"/>
  <c r="F235" i="5" a="1"/>
  <c r="F235" i="5" s="1"/>
  <c r="F236" i="5" a="1"/>
  <c r="F236" i="5" s="1"/>
  <c r="F237" i="5" a="1"/>
  <c r="F237" i="5" s="1"/>
  <c r="F238" i="5" a="1"/>
  <c r="F238" i="5" s="1"/>
  <c r="F239" i="5" a="1"/>
  <c r="F239" i="5" s="1"/>
  <c r="F240" i="5" a="1"/>
  <c r="F240" i="5" s="1"/>
  <c r="F241" i="5" a="1"/>
  <c r="F241" i="5" s="1"/>
  <c r="F242" i="5" a="1"/>
  <c r="F242" i="5" s="1"/>
  <c r="F243" i="5" a="1"/>
  <c r="F243" i="5" s="1"/>
  <c r="F244" i="5" a="1"/>
  <c r="F244" i="5" s="1"/>
  <c r="F245" i="5" a="1"/>
  <c r="F245" i="5" s="1"/>
  <c r="F246" i="5" a="1"/>
  <c r="F246" i="5" s="1"/>
  <c r="F247" i="5" a="1"/>
  <c r="F247" i="5"/>
  <c r="F248" i="5" a="1"/>
  <c r="F248" i="5" s="1"/>
  <c r="F249" i="5" a="1"/>
  <c r="F249" i="5" s="1"/>
  <c r="F250" i="5" a="1"/>
  <c r="F250" i="5" s="1"/>
  <c r="F251" i="5" a="1"/>
  <c r="F251" i="5" s="1"/>
  <c r="F252" i="5" a="1"/>
  <c r="F252" i="5" s="1"/>
  <c r="F253" i="5" a="1"/>
  <c r="F253" i="5" s="1"/>
  <c r="F254" i="5" a="1"/>
  <c r="F254" i="5" s="1"/>
  <c r="F255" i="5" a="1"/>
  <c r="F255" i="5" s="1"/>
  <c r="F256" i="5" a="1"/>
  <c r="F256" i="5" s="1"/>
  <c r="F257" i="5" a="1"/>
  <c r="F257" i="5" s="1"/>
  <c r="F258" i="5" a="1"/>
  <c r="F258" i="5" s="1"/>
  <c r="F259" i="5" a="1"/>
  <c r="F259" i="5" s="1"/>
  <c r="F260" i="5" a="1"/>
  <c r="F260" i="5" s="1"/>
  <c r="F261" i="5" a="1"/>
  <c r="F261" i="5" s="1"/>
  <c r="F262" i="5" a="1"/>
  <c r="F262" i="5" s="1"/>
  <c r="F263" i="5" a="1"/>
  <c r="F263" i="5"/>
  <c r="F264" i="5" a="1"/>
  <c r="F264" i="5" s="1"/>
  <c r="F265" i="5" a="1"/>
  <c r="F265" i="5" s="1"/>
  <c r="F266" i="5" a="1"/>
  <c r="F266" i="5" s="1"/>
  <c r="F267" i="5" a="1"/>
  <c r="F267" i="5" s="1"/>
  <c r="F268" i="5" a="1"/>
  <c r="F268" i="5" s="1"/>
  <c r="F269" i="5" a="1"/>
  <c r="F269" i="5" s="1"/>
  <c r="F270" i="5" a="1"/>
  <c r="F270" i="5" s="1"/>
  <c r="F271" i="5" a="1"/>
  <c r="F271" i="5" s="1"/>
  <c r="F272" i="5" a="1"/>
  <c r="F272" i="5" s="1"/>
  <c r="F273" i="5" a="1"/>
  <c r="F273" i="5" s="1"/>
  <c r="F274" i="5" a="1"/>
  <c r="F274" i="5" s="1"/>
  <c r="F275" i="5" a="1"/>
  <c r="F275" i="5" s="1"/>
  <c r="F276" i="5" a="1"/>
  <c r="F276" i="5" s="1"/>
  <c r="F277" i="5" a="1"/>
  <c r="F277" i="5" s="1"/>
  <c r="F278" i="5" a="1"/>
  <c r="F278" i="5" s="1"/>
  <c r="F279" i="5" a="1"/>
  <c r="F279" i="5"/>
  <c r="F280" i="5" a="1"/>
  <c r="F280" i="5" s="1"/>
  <c r="F281" i="5" a="1"/>
  <c r="F281" i="5" s="1"/>
  <c r="F282" i="5" a="1"/>
  <c r="F282" i="5" s="1"/>
  <c r="F283" i="5" a="1"/>
  <c r="F283" i="5" s="1"/>
  <c r="F284" i="5" a="1"/>
  <c r="F284" i="5" s="1"/>
  <c r="F285" i="5" a="1"/>
  <c r="F285" i="5" s="1"/>
  <c r="F286" i="5" a="1"/>
  <c r="F286" i="5" s="1"/>
  <c r="F287" i="5" a="1"/>
  <c r="F287" i="5" s="1"/>
  <c r="F288" i="5" a="1"/>
  <c r="F288" i="5" s="1"/>
  <c r="F289" i="5" a="1"/>
  <c r="F289" i="5" s="1"/>
  <c r="F290" i="5" a="1"/>
  <c r="F290" i="5" s="1"/>
  <c r="F291" i="5" a="1"/>
  <c r="F291" i="5" s="1"/>
  <c r="F292" i="5" a="1"/>
  <c r="F292" i="5" s="1"/>
  <c r="F293" i="5" a="1"/>
  <c r="F293" i="5" s="1"/>
  <c r="F294" i="5" a="1"/>
  <c r="F294" i="5" s="1"/>
  <c r="F295" i="5" a="1"/>
  <c r="F295" i="5"/>
  <c r="F296" i="5" a="1"/>
  <c r="F296" i="5" s="1"/>
  <c r="F297" i="5" a="1"/>
  <c r="F297" i="5" s="1"/>
  <c r="F298" i="5" a="1"/>
  <c r="F298" i="5" s="1"/>
  <c r="F299" i="5" a="1"/>
  <c r="F299" i="5" s="1"/>
  <c r="F300" i="5" a="1"/>
  <c r="F300" i="5" s="1"/>
  <c r="F301" i="5" a="1"/>
  <c r="F301" i="5" s="1"/>
  <c r="F302" i="5" a="1"/>
  <c r="F302" i="5" s="1"/>
  <c r="F303" i="5" a="1"/>
  <c r="F303" i="5" s="1"/>
  <c r="F304" i="5" a="1"/>
  <c r="F304" i="5"/>
  <c r="F305" i="5" a="1"/>
  <c r="F305" i="5" s="1"/>
  <c r="F306" i="5" a="1"/>
  <c r="F306" i="5" s="1"/>
  <c r="F307" i="5" a="1"/>
  <c r="F307" i="5" s="1"/>
  <c r="F308" i="5" a="1"/>
  <c r="F308" i="5"/>
  <c r="F309" i="5" a="1"/>
  <c r="F309" i="5" s="1"/>
  <c r="F310" i="5" a="1"/>
  <c r="F310" i="5" s="1"/>
  <c r="F311" i="5" a="1"/>
  <c r="F311" i="5" s="1"/>
  <c r="F312" i="5" a="1"/>
  <c r="F312" i="5"/>
  <c r="F313" i="5" a="1"/>
  <c r="F313" i="5" s="1"/>
  <c r="F314" i="5" a="1"/>
  <c r="F314" i="5" s="1"/>
  <c r="F315" i="5" a="1"/>
  <c r="F315" i="5" s="1"/>
  <c r="F316" i="5" a="1"/>
  <c r="F316" i="5"/>
  <c r="F317" i="5" a="1"/>
  <c r="F317" i="5" s="1"/>
  <c r="F318" i="5" a="1"/>
  <c r="F318" i="5" s="1"/>
  <c r="F319" i="5" a="1"/>
  <c r="F319" i="5" s="1"/>
  <c r="F320" i="5" a="1"/>
  <c r="F320" i="5"/>
  <c r="F321" i="5" a="1"/>
  <c r="F321" i="5" s="1"/>
  <c r="F322" i="5" a="1"/>
  <c r="F322" i="5" s="1"/>
  <c r="F323" i="5" a="1"/>
  <c r="F323" i="5" s="1"/>
  <c r="F324" i="5" a="1"/>
  <c r="F324" i="5" s="1"/>
  <c r="F325" i="5" a="1"/>
  <c r="F325" i="5" s="1"/>
  <c r="F326" i="5" a="1"/>
  <c r="F326" i="5" s="1"/>
  <c r="F327" i="5" a="1"/>
  <c r="F327" i="5" s="1"/>
  <c r="F328" i="5" a="1"/>
  <c r="F328" i="5"/>
  <c r="F329" i="5" a="1"/>
  <c r="F329" i="5" s="1"/>
  <c r="F330" i="5" a="1"/>
  <c r="F330" i="5" s="1"/>
  <c r="F331" i="5" a="1"/>
  <c r="F331" i="5" s="1"/>
  <c r="F332" i="5" a="1"/>
  <c r="F332" i="5" s="1"/>
  <c r="F333" i="5" a="1"/>
  <c r="F333" i="5" s="1"/>
  <c r="F334" i="5" a="1"/>
  <c r="F334" i="5" s="1"/>
  <c r="F335" i="5" a="1"/>
  <c r="F335" i="5" s="1"/>
  <c r="F336" i="5" a="1"/>
  <c r="F336" i="5" s="1"/>
  <c r="F337" i="5" a="1"/>
  <c r="F337" i="5" s="1"/>
  <c r="F338" i="5" a="1"/>
  <c r="F338" i="5" s="1"/>
  <c r="F339" i="5" a="1"/>
  <c r="F339" i="5" s="1"/>
  <c r="F340" i="5" a="1"/>
  <c r="F340" i="5" s="1"/>
  <c r="F341" i="5" a="1"/>
  <c r="F341" i="5" s="1"/>
  <c r="F342" i="5" a="1"/>
  <c r="F342" i="5" s="1"/>
  <c r="F343" i="5" a="1"/>
  <c r="F343" i="5" s="1"/>
  <c r="F344" i="5" a="1"/>
  <c r="F344" i="5" s="1"/>
  <c r="F345" i="5" a="1"/>
  <c r="F345" i="5" s="1"/>
  <c r="F346" i="5" a="1"/>
  <c r="F346" i="5" s="1"/>
  <c r="F347" i="5" a="1"/>
  <c r="F347" i="5" s="1"/>
  <c r="F348" i="5" a="1"/>
  <c r="F348" i="5" s="1"/>
  <c r="F349" i="5" a="1"/>
  <c r="F349" i="5" s="1"/>
  <c r="F2" i="5" a="1"/>
  <c r="F2" i="5" s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9" i="1"/>
  <c r="G140" i="1"/>
  <c r="G141" i="1"/>
  <c r="G142" i="1"/>
  <c r="G144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40" i="1"/>
  <c r="G241" i="1"/>
  <c r="G243" i="1"/>
  <c r="G244" i="1"/>
  <c r="G245" i="1"/>
  <c r="G246" i="1"/>
  <c r="G247" i="1"/>
  <c r="G248" i="1"/>
  <c r="G250" i="1"/>
  <c r="G251" i="1"/>
  <c r="G253" i="1"/>
  <c r="G254" i="1"/>
  <c r="G255" i="1"/>
  <c r="G256" i="1"/>
  <c r="G257" i="1"/>
  <c r="G258" i="1"/>
  <c r="G259" i="1"/>
  <c r="G260" i="1"/>
  <c r="G264" i="1"/>
  <c r="G268" i="1"/>
  <c r="G269" i="1"/>
  <c r="G270" i="1"/>
  <c r="G271" i="1"/>
  <c r="G272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4" i="4" a="1"/>
  <c r="G4" i="4" s="1"/>
  <c r="G5" i="4" a="1"/>
  <c r="G5" i="4" s="1"/>
  <c r="G6" i="4" a="1"/>
  <c r="G6" i="4" s="1"/>
  <c r="G7" i="4" a="1"/>
  <c r="G7" i="4" s="1"/>
  <c r="G8" i="4" a="1"/>
  <c r="G8" i="4" s="1"/>
  <c r="G9" i="4" a="1"/>
  <c r="G9" i="4" s="1"/>
  <c r="G10" i="4" a="1"/>
  <c r="G10" i="4" s="1"/>
  <c r="G11" i="4" a="1"/>
  <c r="G11" i="4" s="1"/>
  <c r="G12" i="4" a="1"/>
  <c r="G12" i="4" s="1"/>
  <c r="G13" i="4" a="1"/>
  <c r="G13" i="4" s="1"/>
  <c r="G14" i="4" a="1"/>
  <c r="G14" i="4" s="1"/>
  <c r="G15" i="4" a="1"/>
  <c r="G15" i="4" s="1"/>
  <c r="G16" i="4" a="1"/>
  <c r="G16" i="4" s="1"/>
  <c r="G17" i="4" a="1"/>
  <c r="G17" i="4" s="1"/>
  <c r="G18" i="4" a="1"/>
  <c r="G18" i="4" s="1"/>
  <c r="G19" i="4" a="1"/>
  <c r="G19" i="4" s="1"/>
  <c r="G20" i="4" a="1"/>
  <c r="G20" i="4" s="1"/>
  <c r="G21" i="4" a="1"/>
  <c r="G21" i="4" s="1"/>
  <c r="G22" i="4" a="1"/>
  <c r="G22" i="4" s="1"/>
  <c r="G23" i="4" a="1"/>
  <c r="G23" i="4" s="1"/>
  <c r="G24" i="4" a="1"/>
  <c r="G24" i="4" s="1"/>
  <c r="G25" i="4" a="1"/>
  <c r="G25" i="4" s="1"/>
  <c r="G26" i="4" a="1"/>
  <c r="G26" i="4" s="1"/>
  <c r="G27" i="4" a="1"/>
  <c r="G27" i="4" s="1"/>
  <c r="G28" i="4" a="1"/>
  <c r="G28" i="4" s="1"/>
  <c r="G29" i="4" a="1"/>
  <c r="G29" i="4" s="1"/>
  <c r="G30" i="4" a="1"/>
  <c r="G30" i="4" s="1"/>
  <c r="G31" i="4" a="1"/>
  <c r="G31" i="4" s="1"/>
  <c r="G32" i="4" a="1"/>
  <c r="G32" i="4" s="1"/>
  <c r="G33" i="4" a="1"/>
  <c r="G33" i="4" s="1"/>
  <c r="G34" i="4" a="1"/>
  <c r="G34" i="4" s="1"/>
  <c r="G35" i="4" a="1"/>
  <c r="G35" i="4" s="1"/>
  <c r="G36" i="4" a="1"/>
  <c r="G36" i="4" s="1"/>
  <c r="G37" i="4" a="1"/>
  <c r="G37" i="4" s="1"/>
  <c r="G38" i="4" a="1"/>
  <c r="G38" i="4" s="1"/>
  <c r="G39" i="4" a="1"/>
  <c r="G39" i="4" s="1"/>
  <c r="G40" i="4" a="1"/>
  <c r="G40" i="4" s="1"/>
  <c r="G41" i="4" a="1"/>
  <c r="G41" i="4" s="1"/>
  <c r="G42" i="4" a="1"/>
  <c r="G42" i="4" s="1"/>
  <c r="G43" i="4" a="1"/>
  <c r="G43" i="4" s="1"/>
  <c r="G44" i="4" a="1"/>
  <c r="G44" i="4" s="1"/>
  <c r="G45" i="4" a="1"/>
  <c r="G45" i="4" s="1"/>
  <c r="G46" i="4" a="1"/>
  <c r="G46" i="4" s="1"/>
  <c r="G47" i="4" a="1"/>
  <c r="G47" i="4" s="1"/>
  <c r="G48" i="4" a="1"/>
  <c r="G48" i="4" s="1"/>
  <c r="G49" i="4" a="1"/>
  <c r="G49" i="4" s="1"/>
  <c r="G50" i="4" a="1"/>
  <c r="G50" i="4" s="1"/>
  <c r="G51" i="4" a="1"/>
  <c r="G51" i="4" s="1"/>
  <c r="G52" i="4" a="1"/>
  <c r="G52" i="4" s="1"/>
  <c r="G53" i="4" a="1"/>
  <c r="G53" i="4" s="1"/>
  <c r="G54" i="4" a="1"/>
  <c r="G54" i="4" s="1"/>
  <c r="G55" i="4" a="1"/>
  <c r="G55" i="4" s="1"/>
  <c r="G56" i="4" a="1"/>
  <c r="G56" i="4" s="1"/>
  <c r="G57" i="4" a="1"/>
  <c r="G57" i="4" s="1"/>
  <c r="G58" i="4" a="1"/>
  <c r="G58" i="4" s="1"/>
  <c r="G59" i="4" a="1"/>
  <c r="G59" i="4" s="1"/>
  <c r="G60" i="4" a="1"/>
  <c r="G60" i="4" s="1"/>
  <c r="G61" i="4" a="1"/>
  <c r="G61" i="4" s="1"/>
  <c r="G62" i="4" a="1"/>
  <c r="G62" i="4" s="1"/>
  <c r="G63" i="4" a="1"/>
  <c r="G63" i="4" s="1"/>
  <c r="G64" i="4" a="1"/>
  <c r="G64" i="4" s="1"/>
  <c r="G65" i="4" a="1"/>
  <c r="G65" i="4" s="1"/>
  <c r="G66" i="4" a="1"/>
  <c r="G66" i="4" s="1"/>
  <c r="G67" i="4" a="1"/>
  <c r="G67" i="4" s="1"/>
  <c r="G68" i="4" a="1"/>
  <c r="G68" i="4" s="1"/>
  <c r="G69" i="4" a="1"/>
  <c r="G69" i="4" s="1"/>
  <c r="G70" i="4" a="1"/>
  <c r="G70" i="4" s="1"/>
  <c r="G71" i="4" a="1"/>
  <c r="G71" i="4" s="1"/>
  <c r="G72" i="4" a="1"/>
  <c r="G72" i="4" s="1"/>
  <c r="G73" i="4" a="1"/>
  <c r="G73" i="4" s="1"/>
  <c r="G74" i="4" a="1"/>
  <c r="G74" i="4" s="1"/>
  <c r="G75" i="4" a="1"/>
  <c r="G75" i="4" s="1"/>
  <c r="G76" i="4" a="1"/>
  <c r="G76" i="4" s="1"/>
  <c r="G77" i="4" a="1"/>
  <c r="G77" i="4" s="1"/>
  <c r="G78" i="4" a="1"/>
  <c r="G78" i="4" s="1"/>
  <c r="G79" i="4" a="1"/>
  <c r="G79" i="4" s="1"/>
  <c r="G80" i="4" a="1"/>
  <c r="G80" i="4" s="1"/>
  <c r="G81" i="4" a="1"/>
  <c r="G81" i="4" s="1"/>
  <c r="G82" i="4" a="1"/>
  <c r="G82" i="4" s="1"/>
  <c r="G83" i="4" a="1"/>
  <c r="G83" i="4" s="1"/>
  <c r="G84" i="4" a="1"/>
  <c r="G84" i="4" s="1"/>
  <c r="G85" i="4" a="1"/>
  <c r="G85" i="4" s="1"/>
  <c r="G86" i="4" a="1"/>
  <c r="G86" i="4" s="1"/>
  <c r="G87" i="4" a="1"/>
  <c r="G87" i="4" s="1"/>
  <c r="G88" i="4" a="1"/>
  <c r="G88" i="4" s="1"/>
  <c r="G89" i="4" a="1"/>
  <c r="G89" i="4" s="1"/>
  <c r="G90" i="4" a="1"/>
  <c r="G90" i="4" s="1"/>
  <c r="G91" i="4" a="1"/>
  <c r="G91" i="4" s="1"/>
  <c r="G92" i="4" a="1"/>
  <c r="G92" i="4" s="1"/>
  <c r="G93" i="4" a="1"/>
  <c r="G93" i="4" s="1"/>
  <c r="G94" i="4" a="1"/>
  <c r="G94" i="4" s="1"/>
  <c r="G95" i="4" a="1"/>
  <c r="G95" i="4" s="1"/>
  <c r="G96" i="4" a="1"/>
  <c r="G96" i="4" s="1"/>
  <c r="G97" i="4" a="1"/>
  <c r="G97" i="4" s="1"/>
  <c r="G98" i="4" a="1"/>
  <c r="G98" i="4" s="1"/>
  <c r="G99" i="4" a="1"/>
  <c r="G99" i="4" s="1"/>
  <c r="G100" i="4" a="1"/>
  <c r="G100" i="4" s="1"/>
  <c r="G101" i="4" a="1"/>
  <c r="G101" i="4" s="1"/>
  <c r="G102" i="4" a="1"/>
  <c r="G102" i="4" s="1"/>
  <c r="G103" i="4" a="1"/>
  <c r="G103" i="4" s="1"/>
  <c r="G104" i="4" a="1"/>
  <c r="G104" i="4" s="1"/>
  <c r="G105" i="4" a="1"/>
  <c r="G105" i="4" s="1"/>
  <c r="G106" i="4" a="1"/>
  <c r="G106" i="4" s="1"/>
  <c r="G107" i="4" a="1"/>
  <c r="G107" i="4" s="1"/>
  <c r="G108" i="4" a="1"/>
  <c r="G108" i="4" s="1"/>
  <c r="G109" i="4" a="1"/>
  <c r="G109" i="4" s="1"/>
  <c r="G110" i="4" a="1"/>
  <c r="G110" i="4" s="1"/>
  <c r="G111" i="4" a="1"/>
  <c r="G111" i="4" s="1"/>
  <c r="G112" i="4" a="1"/>
  <c r="G112" i="4" s="1"/>
  <c r="G113" i="4" a="1"/>
  <c r="G113" i="4" s="1"/>
  <c r="G114" i="4" a="1"/>
  <c r="G114" i="4" s="1"/>
  <c r="G115" i="4" a="1"/>
  <c r="G115" i="4" s="1"/>
  <c r="G116" i="4" a="1"/>
  <c r="G116" i="4" s="1"/>
  <c r="G117" i="4" a="1"/>
  <c r="G117" i="4" s="1"/>
  <c r="G118" i="4" a="1"/>
  <c r="G118" i="4" s="1"/>
  <c r="G119" i="4" a="1"/>
  <c r="G119" i="4" s="1"/>
  <c r="G120" i="4" a="1"/>
  <c r="G120" i="4" s="1"/>
  <c r="G121" i="4" a="1"/>
  <c r="G121" i="4" s="1"/>
  <c r="G122" i="4" a="1"/>
  <c r="G122" i="4" s="1"/>
  <c r="G123" i="4" a="1"/>
  <c r="G123" i="4" s="1"/>
  <c r="G124" i="4" a="1"/>
  <c r="G124" i="4" s="1"/>
  <c r="G125" i="4" a="1"/>
  <c r="G125" i="4" s="1"/>
  <c r="G126" i="4" a="1"/>
  <c r="G126" i="4" s="1"/>
  <c r="G127" i="4" a="1"/>
  <c r="G127" i="4" s="1"/>
  <c r="G128" i="4" a="1"/>
  <c r="G128" i="4" s="1"/>
  <c r="G129" i="4" a="1"/>
  <c r="G129" i="4" s="1"/>
  <c r="G130" i="4" a="1"/>
  <c r="G130" i="4" s="1"/>
  <c r="G131" i="4" a="1"/>
  <c r="G131" i="4" s="1"/>
  <c r="G132" i="4" a="1"/>
  <c r="G132" i="4" s="1"/>
  <c r="G133" i="4" a="1"/>
  <c r="G133" i="4" s="1"/>
  <c r="G134" i="4" a="1"/>
  <c r="G134" i="4" s="1"/>
  <c r="G135" i="4" a="1"/>
  <c r="G135" i="4" s="1"/>
  <c r="G136" i="4" a="1"/>
  <c r="G136" i="4" s="1"/>
  <c r="G137" i="4" a="1"/>
  <c r="G137" i="4" s="1"/>
  <c r="G138" i="4" a="1"/>
  <c r="G138" i="4" s="1"/>
  <c r="G139" i="4" a="1"/>
  <c r="G139" i="4" s="1"/>
  <c r="G140" i="4" a="1"/>
  <c r="G140" i="4" s="1"/>
  <c r="G141" i="4" a="1"/>
  <c r="G141" i="4" s="1"/>
  <c r="G142" i="4" a="1"/>
  <c r="G142" i="4" s="1"/>
  <c r="G143" i="4" a="1"/>
  <c r="G143" i="4" s="1"/>
  <c r="G144" i="4" a="1"/>
  <c r="G144" i="4" s="1"/>
  <c r="G145" i="4" a="1"/>
  <c r="G145" i="4" s="1"/>
  <c r="G146" i="4" a="1"/>
  <c r="G146" i="4" s="1"/>
  <c r="G147" i="4" a="1"/>
  <c r="G147" i="4" s="1"/>
  <c r="G148" i="4" a="1"/>
  <c r="G148" i="4" s="1"/>
  <c r="G149" i="4" a="1"/>
  <c r="G149" i="4" s="1"/>
  <c r="G150" i="4" a="1"/>
  <c r="G150" i="4" s="1"/>
  <c r="G151" i="4" a="1"/>
  <c r="G151" i="4" s="1"/>
  <c r="G152" i="4" a="1"/>
  <c r="G152" i="4" s="1"/>
  <c r="G153" i="4" a="1"/>
  <c r="G153" i="4" s="1"/>
  <c r="G154" i="4" a="1"/>
  <c r="G154" i="4" s="1"/>
  <c r="G155" i="4" a="1"/>
  <c r="G155" i="4" s="1"/>
  <c r="G156" i="4" a="1"/>
  <c r="G156" i="4" s="1"/>
  <c r="G157" i="4" a="1"/>
  <c r="G157" i="4" s="1"/>
  <c r="G158" i="4" a="1"/>
  <c r="G158" i="4" s="1"/>
  <c r="G159" i="4" a="1"/>
  <c r="G159" i="4" s="1"/>
  <c r="G160" i="4" a="1"/>
  <c r="G160" i="4" s="1"/>
  <c r="G161" i="4" a="1"/>
  <c r="G161" i="4" s="1"/>
  <c r="G162" i="4" a="1"/>
  <c r="G162" i="4" s="1"/>
  <c r="G163" i="4" a="1"/>
  <c r="G163" i="4" s="1"/>
  <c r="G164" i="4" a="1"/>
  <c r="G164" i="4" s="1"/>
  <c r="G165" i="4" a="1"/>
  <c r="G165" i="4" s="1"/>
  <c r="G166" i="4" a="1"/>
  <c r="G166" i="4" s="1"/>
  <c r="G167" i="4" a="1"/>
  <c r="G167" i="4" s="1"/>
  <c r="G168" i="4" a="1"/>
  <c r="G168" i="4" s="1"/>
  <c r="G169" i="4" a="1"/>
  <c r="G169" i="4" s="1"/>
  <c r="G170" i="4" a="1"/>
  <c r="G170" i="4" s="1"/>
  <c r="G171" i="4" a="1"/>
  <c r="G171" i="4" s="1"/>
  <c r="G172" i="4" a="1"/>
  <c r="G172" i="4" s="1"/>
  <c r="G173" i="4" a="1"/>
  <c r="G173" i="4" s="1"/>
  <c r="G174" i="4" a="1"/>
  <c r="G174" i="4" s="1"/>
  <c r="G175" i="4" a="1"/>
  <c r="G175" i="4" s="1"/>
  <c r="G176" i="4" a="1"/>
  <c r="G176" i="4" s="1"/>
  <c r="G177" i="4" a="1"/>
  <c r="G177" i="4" s="1"/>
  <c r="G178" i="4" a="1"/>
  <c r="G178" i="4" s="1"/>
  <c r="G179" i="4" a="1"/>
  <c r="G179" i="4" s="1"/>
  <c r="G180" i="4" a="1"/>
  <c r="G180" i="4" s="1"/>
  <c r="G181" i="4" a="1"/>
  <c r="G181" i="4" s="1"/>
  <c r="G182" i="4" a="1"/>
  <c r="G182" i="4" s="1"/>
  <c r="G183" i="4" a="1"/>
  <c r="G183" i="4" s="1"/>
  <c r="G184" i="4" a="1"/>
  <c r="G184" i="4" s="1"/>
  <c r="G185" i="4" a="1"/>
  <c r="G185" i="4" s="1"/>
  <c r="G186" i="4" a="1"/>
  <c r="G186" i="4" s="1"/>
  <c r="G187" i="4" a="1"/>
  <c r="G187" i="4" s="1"/>
  <c r="G188" i="4" a="1"/>
  <c r="G188" i="4" s="1"/>
  <c r="G189" i="4" a="1"/>
  <c r="G189" i="4" s="1"/>
  <c r="G190" i="4" a="1"/>
  <c r="G190" i="4" s="1"/>
  <c r="G191" i="4" a="1"/>
  <c r="G191" i="4" s="1"/>
  <c r="G192" i="4" a="1"/>
  <c r="G192" i="4" s="1"/>
  <c r="G193" i="4" a="1"/>
  <c r="G193" i="4" s="1"/>
  <c r="G194" i="4" a="1"/>
  <c r="G194" i="4" s="1"/>
  <c r="G195" i="4" a="1"/>
  <c r="G195" i="4" s="1"/>
  <c r="G196" i="4" a="1"/>
  <c r="G196" i="4" s="1"/>
  <c r="G197" i="4" a="1"/>
  <c r="G197" i="4" s="1"/>
  <c r="G198" i="4" a="1"/>
  <c r="G198" i="4" s="1"/>
  <c r="G199" i="4" a="1"/>
  <c r="G199" i="4" s="1"/>
  <c r="G200" i="4" a="1"/>
  <c r="G200" i="4" s="1"/>
  <c r="G201" i="4" a="1"/>
  <c r="G201" i="4" s="1"/>
  <c r="G202" i="4" a="1"/>
  <c r="G202" i="4" s="1"/>
  <c r="G203" i="4" a="1"/>
  <c r="G203" i="4" s="1"/>
  <c r="G204" i="4" a="1"/>
  <c r="G204" i="4" s="1"/>
  <c r="G205" i="4" a="1"/>
  <c r="G205" i="4" s="1"/>
  <c r="G206" i="4" a="1"/>
  <c r="G206" i="4" s="1"/>
  <c r="G207" i="4" a="1"/>
  <c r="G207" i="4" s="1"/>
  <c r="G208" i="4" a="1"/>
  <c r="G208" i="4" s="1"/>
  <c r="G209" i="4" a="1"/>
  <c r="G209" i="4" s="1"/>
  <c r="G210" i="4" a="1"/>
  <c r="G210" i="4" s="1"/>
  <c r="G211" i="4" a="1"/>
  <c r="G211" i="4" s="1"/>
  <c r="G212" i="4" a="1"/>
  <c r="G212" i="4" s="1"/>
  <c r="G213" i="4" a="1"/>
  <c r="G213" i="4" s="1"/>
  <c r="G214" i="4" a="1"/>
  <c r="G214" i="4" s="1"/>
  <c r="G215" i="4" a="1"/>
  <c r="G215" i="4" s="1"/>
  <c r="G216" i="4" a="1"/>
  <c r="G216" i="4" s="1"/>
  <c r="G217" i="4" a="1"/>
  <c r="G217" i="4" s="1"/>
  <c r="G218" i="4" a="1"/>
  <c r="G218" i="4" s="1"/>
  <c r="G219" i="4" a="1"/>
  <c r="G219" i="4" s="1"/>
  <c r="G220" i="4" a="1"/>
  <c r="G220" i="4" s="1"/>
  <c r="G221" i="4" a="1"/>
  <c r="G221" i="4" s="1"/>
  <c r="G222" i="4" a="1"/>
  <c r="G222" i="4" s="1"/>
  <c r="G223" i="4" a="1"/>
  <c r="G223" i="4" s="1"/>
  <c r="G224" i="4" a="1"/>
  <c r="G224" i="4" s="1"/>
  <c r="G225" i="4" a="1"/>
  <c r="G225" i="4" s="1"/>
  <c r="G226" i="4" a="1"/>
  <c r="G226" i="4" s="1"/>
  <c r="G227" i="4" a="1"/>
  <c r="G227" i="4" s="1"/>
  <c r="G228" i="4" a="1"/>
  <c r="G228" i="4" s="1"/>
  <c r="G229" i="4" a="1"/>
  <c r="G229" i="4" s="1"/>
  <c r="G230" i="4" a="1"/>
  <c r="G230" i="4" s="1"/>
  <c r="G231" i="4" a="1"/>
  <c r="G231" i="4" s="1"/>
  <c r="G232" i="4" a="1"/>
  <c r="G232" i="4" s="1"/>
  <c r="G233" i="4" a="1"/>
  <c r="G233" i="4" s="1"/>
  <c r="G234" i="4" a="1"/>
  <c r="G234" i="4" s="1"/>
  <c r="G235" i="4" a="1"/>
  <c r="G235" i="4" s="1"/>
  <c r="G236" i="4" a="1"/>
  <c r="G236" i="4" s="1"/>
  <c r="G237" i="4" a="1"/>
  <c r="G237" i="4" s="1"/>
  <c r="G238" i="4" a="1"/>
  <c r="G238" i="4" s="1"/>
  <c r="G239" i="4" a="1"/>
  <c r="G239" i="4" s="1"/>
  <c r="G240" i="4" a="1"/>
  <c r="G240" i="4" s="1"/>
  <c r="G241" i="4" a="1"/>
  <c r="G241" i="4" s="1"/>
  <c r="G242" i="4" a="1"/>
  <c r="G242" i="4" s="1"/>
  <c r="G243" i="4" a="1"/>
  <c r="G243" i="4" s="1"/>
  <c r="G244" i="4" a="1"/>
  <c r="G244" i="4" s="1"/>
  <c r="G245" i="4" a="1"/>
  <c r="G245" i="4" s="1"/>
  <c r="G246" i="4" a="1"/>
  <c r="G246" i="4" s="1"/>
  <c r="G247" i="4" a="1"/>
  <c r="G247" i="4" s="1"/>
  <c r="G248" i="4" a="1"/>
  <c r="G248" i="4" s="1"/>
  <c r="G249" i="4" a="1"/>
  <c r="G249" i="4" s="1"/>
  <c r="G250" i="4" a="1"/>
  <c r="G250" i="4" s="1"/>
  <c r="G251" i="4" a="1"/>
  <c r="G251" i="4" s="1"/>
  <c r="G252" i="4" a="1"/>
  <c r="G252" i="4" s="1"/>
  <c r="G253" i="4" a="1"/>
  <c r="G253" i="4" s="1"/>
  <c r="G254" i="4" a="1"/>
  <c r="G254" i="4" s="1"/>
  <c r="G255" i="4" a="1"/>
  <c r="G255" i="4" s="1"/>
  <c r="G256" i="4" a="1"/>
  <c r="G256" i="4" s="1"/>
  <c r="G257" i="4" a="1"/>
  <c r="G257" i="4" s="1"/>
  <c r="G258" i="4" a="1"/>
  <c r="G258" i="4" s="1"/>
  <c r="G259" i="4" a="1"/>
  <c r="G259" i="4" s="1"/>
  <c r="G260" i="4" a="1"/>
  <c r="G260" i="4" s="1"/>
  <c r="G261" i="4" a="1"/>
  <c r="G261" i="4" s="1"/>
  <c r="G262" i="4" a="1"/>
  <c r="G262" i="4" s="1"/>
  <c r="G263" i="4" a="1"/>
  <c r="G263" i="4" s="1"/>
  <c r="G264" i="4" a="1"/>
  <c r="G264" i="4" s="1"/>
  <c r="G265" i="4" a="1"/>
  <c r="G265" i="4" s="1"/>
  <c r="G266" i="4" a="1"/>
  <c r="G266" i="4" s="1"/>
  <c r="G267" i="4" a="1"/>
  <c r="G267" i="4" s="1"/>
  <c r="G268" i="4" a="1"/>
  <c r="G268" i="4" s="1"/>
  <c r="G269" i="4" a="1"/>
  <c r="G269" i="4" s="1"/>
  <c r="G270" i="4" a="1"/>
  <c r="G270" i="4" s="1"/>
  <c r="G271" i="4" a="1"/>
  <c r="G271" i="4" s="1"/>
  <c r="G272" i="4" a="1"/>
  <c r="G272" i="4" s="1"/>
  <c r="G273" i="4" a="1"/>
  <c r="G273" i="4" s="1"/>
  <c r="G274" i="4" a="1"/>
  <c r="G274" i="4" s="1"/>
  <c r="G275" i="4" a="1"/>
  <c r="G275" i="4" s="1"/>
  <c r="G276" i="4" a="1"/>
  <c r="G276" i="4" s="1"/>
  <c r="G277" i="4" a="1"/>
  <c r="G277" i="4" s="1"/>
  <c r="G278" i="4" a="1"/>
  <c r="G278" i="4" s="1"/>
  <c r="G279" i="4" a="1"/>
  <c r="G279" i="4" s="1"/>
  <c r="G280" i="4" a="1"/>
  <c r="G280" i="4" s="1"/>
  <c r="G281" i="4" a="1"/>
  <c r="G281" i="4" s="1"/>
  <c r="G282" i="4" a="1"/>
  <c r="G282" i="4" s="1"/>
  <c r="G283" i="4" a="1"/>
  <c r="G283" i="4" s="1"/>
  <c r="G284" i="4" a="1"/>
  <c r="G284" i="4" s="1"/>
  <c r="G285" i="4" a="1"/>
  <c r="G285" i="4" s="1"/>
  <c r="G286" i="4" a="1"/>
  <c r="G286" i="4" s="1"/>
  <c r="G287" i="4" a="1"/>
  <c r="G287" i="4" s="1"/>
  <c r="G288" i="4" a="1"/>
  <c r="G288" i="4" s="1"/>
  <c r="G289" i="4" a="1"/>
  <c r="G289" i="4" s="1"/>
  <c r="G290" i="4" a="1"/>
  <c r="G290" i="4" s="1"/>
  <c r="G291" i="4" a="1"/>
  <c r="G291" i="4" s="1"/>
  <c r="G292" i="4" a="1"/>
  <c r="G292" i="4" s="1"/>
  <c r="G293" i="4" a="1"/>
  <c r="G293" i="4" s="1"/>
  <c r="G294" i="4" a="1"/>
  <c r="G294" i="4" s="1"/>
  <c r="G295" i="4" a="1"/>
  <c r="G295" i="4" s="1"/>
  <c r="G296" i="4" a="1"/>
  <c r="G296" i="4" s="1"/>
  <c r="G297" i="4" a="1"/>
  <c r="G297" i="4" s="1"/>
  <c r="G298" i="4" a="1"/>
  <c r="G298" i="4" s="1"/>
  <c r="G299" i="4" a="1"/>
  <c r="G299" i="4" s="1"/>
  <c r="G300" i="4" a="1"/>
  <c r="G300" i="4" s="1"/>
  <c r="G301" i="4" a="1"/>
  <c r="G301" i="4" s="1"/>
  <c r="G302" i="4" a="1"/>
  <c r="G302" i="4" s="1"/>
  <c r="G303" i="4" a="1"/>
  <c r="G303" i="4" s="1"/>
  <c r="G304" i="4" a="1"/>
  <c r="G304" i="4" s="1"/>
  <c r="G305" i="4" a="1"/>
  <c r="G305" i="4" s="1"/>
  <c r="G306" i="4" a="1"/>
  <c r="G306" i="4" s="1"/>
  <c r="G307" i="4" a="1"/>
  <c r="G307" i="4" s="1"/>
  <c r="G308" i="4" a="1"/>
  <c r="G308" i="4" s="1"/>
  <c r="G309" i="4" a="1"/>
  <c r="G309" i="4" s="1"/>
  <c r="G310" i="4" a="1"/>
  <c r="G310" i="4" s="1"/>
  <c r="G311" i="4" a="1"/>
  <c r="G311" i="4" s="1"/>
  <c r="G312" i="4" a="1"/>
  <c r="G312" i="4" s="1"/>
  <c r="G313" i="4" a="1"/>
  <c r="G313" i="4" s="1"/>
  <c r="G314" i="4" a="1"/>
  <c r="G314" i="4" s="1"/>
  <c r="G315" i="4" a="1"/>
  <c r="G315" i="4" s="1"/>
  <c r="G316" i="4" a="1"/>
  <c r="G316" i="4" s="1"/>
  <c r="G317" i="4" a="1"/>
  <c r="G317" i="4" s="1"/>
  <c r="G318" i="4" a="1"/>
  <c r="G318" i="4" s="1"/>
  <c r="G319" i="4" a="1"/>
  <c r="G319" i="4" s="1"/>
  <c r="G320" i="4" a="1"/>
  <c r="G320" i="4" s="1"/>
  <c r="G321" i="4" a="1"/>
  <c r="G321" i="4" s="1"/>
  <c r="G322" i="4" a="1"/>
  <c r="G322" i="4" s="1"/>
  <c r="G323" i="4" a="1"/>
  <c r="G323" i="4" s="1"/>
  <c r="G324" i="4" a="1"/>
  <c r="G324" i="4" s="1"/>
  <c r="G325" i="4" a="1"/>
  <c r="G325" i="4" s="1"/>
  <c r="G326" i="4" a="1"/>
  <c r="G326" i="4" s="1"/>
  <c r="G327" i="4" a="1"/>
  <c r="G327" i="4" s="1"/>
  <c r="G328" i="4" a="1"/>
  <c r="G328" i="4" s="1"/>
  <c r="G329" i="4" a="1"/>
  <c r="G329" i="4" s="1"/>
  <c r="G330" i="4" a="1"/>
  <c r="G330" i="4" s="1"/>
  <c r="G331" i="4" a="1"/>
  <c r="G331" i="4" s="1"/>
  <c r="G332" i="4" a="1"/>
  <c r="G332" i="4" s="1"/>
  <c r="G333" i="4" a="1"/>
  <c r="G333" i="4" s="1"/>
  <c r="G334" i="4" a="1"/>
  <c r="G334" i="4" s="1"/>
  <c r="G335" i="4" a="1"/>
  <c r="G335" i="4" s="1"/>
  <c r="G336" i="4" a="1"/>
  <c r="G336" i="4" s="1"/>
  <c r="G337" i="4" a="1"/>
  <c r="G337" i="4" s="1"/>
  <c r="G338" i="4" a="1"/>
  <c r="G338" i="4" s="1"/>
  <c r="G339" i="4" a="1"/>
  <c r="G339" i="4" s="1"/>
  <c r="G340" i="4" a="1"/>
  <c r="G340" i="4" s="1"/>
  <c r="G341" i="4" a="1"/>
  <c r="G341" i="4" s="1"/>
  <c r="G342" i="4" a="1"/>
  <c r="G342" i="4" s="1"/>
  <c r="G343" i="4" a="1"/>
  <c r="G343" i="4" s="1"/>
  <c r="G344" i="4" a="1"/>
  <c r="G344" i="4" s="1"/>
  <c r="G345" i="4" a="1"/>
  <c r="G345" i="4" s="1"/>
  <c r="G346" i="4" a="1"/>
  <c r="G346" i="4" s="1"/>
  <c r="G347" i="4" a="1"/>
  <c r="G347" i="4" s="1"/>
  <c r="G348" i="4" a="1"/>
  <c r="G348" i="4" s="1"/>
  <c r="G349" i="4" a="1"/>
  <c r="G349" i="4" s="1"/>
  <c r="G350" i="4" a="1"/>
  <c r="G350" i="4" s="1"/>
  <c r="G351" i="4" a="1"/>
  <c r="G351" i="4" s="1"/>
  <c r="G352" i="4" a="1"/>
  <c r="G352" i="4" s="1"/>
  <c r="G353" i="4" a="1"/>
  <c r="G353" i="4" s="1"/>
  <c r="G354" i="4" a="1"/>
  <c r="G354" i="4" s="1"/>
  <c r="G355" i="4" a="1"/>
  <c r="G355" i="4" s="1"/>
  <c r="G356" i="4" a="1"/>
  <c r="G356" i="4" s="1"/>
  <c r="G357" i="4" a="1"/>
  <c r="G357" i="4" s="1"/>
  <c r="G358" i="4" a="1"/>
  <c r="G358" i="4" s="1"/>
  <c r="G359" i="4" a="1"/>
  <c r="G359" i="4" s="1"/>
  <c r="G360" i="4" a="1"/>
  <c r="G360" i="4" s="1"/>
  <c r="G361" i="4" a="1"/>
  <c r="G361" i="4" s="1"/>
  <c r="G362" i="4" a="1"/>
  <c r="G362" i="4" s="1"/>
  <c r="G363" i="4" a="1"/>
  <c r="G363" i="4" s="1"/>
  <c r="G364" i="4" a="1"/>
  <c r="G364" i="4" s="1"/>
  <c r="G365" i="4" a="1"/>
  <c r="G365" i="4" s="1"/>
  <c r="G366" i="4" a="1"/>
  <c r="G366" i="4" s="1"/>
  <c r="G367" i="4" a="1"/>
  <c r="G367" i="4" s="1"/>
  <c r="G368" i="4" a="1"/>
  <c r="G368" i="4" s="1"/>
  <c r="G369" i="4" a="1"/>
  <c r="G369" i="4" s="1"/>
  <c r="G370" i="4" a="1"/>
  <c r="G370" i="4" s="1"/>
  <c r="G371" i="4" a="1"/>
  <c r="G371" i="4" s="1"/>
  <c r="G372" i="4" a="1"/>
  <c r="G372" i="4" s="1"/>
  <c r="G373" i="4" a="1"/>
  <c r="G373" i="4" s="1"/>
  <c r="G374" i="4" a="1"/>
  <c r="G374" i="4" s="1"/>
  <c r="G375" i="4" a="1"/>
  <c r="G375" i="4" s="1"/>
  <c r="G376" i="4" a="1"/>
  <c r="G376" i="4" s="1"/>
  <c r="G377" i="4" a="1"/>
  <c r="G377" i="4" s="1"/>
  <c r="G378" i="4" a="1"/>
  <c r="G378" i="4" s="1"/>
  <c r="G379" i="4" a="1"/>
  <c r="G379" i="4" s="1"/>
  <c r="G380" i="4" a="1"/>
  <c r="G380" i="4" s="1"/>
  <c r="G381" i="4" a="1"/>
  <c r="G381" i="4" s="1"/>
  <c r="G382" i="4" a="1"/>
  <c r="G382" i="4" s="1"/>
  <c r="G383" i="4" a="1"/>
  <c r="G383" i="4" s="1"/>
  <c r="G384" i="4" a="1"/>
  <c r="G384" i="4" s="1"/>
  <c r="G385" i="4" a="1"/>
  <c r="G385" i="4" s="1"/>
  <c r="G386" i="4" a="1"/>
  <c r="G386" i="4" s="1"/>
  <c r="G387" i="4" a="1"/>
  <c r="G387" i="4" s="1"/>
  <c r="G388" i="4" a="1"/>
  <c r="G388" i="4" s="1"/>
  <c r="G389" i="4" a="1"/>
  <c r="G389" i="4" s="1"/>
  <c r="G390" i="4" a="1"/>
  <c r="G390" i="4" s="1"/>
  <c r="G391" i="4" a="1"/>
  <c r="G391" i="4" s="1"/>
  <c r="G392" i="4" a="1"/>
  <c r="G392" i="4" s="1"/>
  <c r="G393" i="4" a="1"/>
  <c r="G393" i="4" s="1"/>
  <c r="G394" i="4" a="1"/>
  <c r="G394" i="4" s="1"/>
  <c r="G395" i="4" a="1"/>
  <c r="G395" i="4" s="1"/>
  <c r="G396" i="4" a="1"/>
  <c r="G396" i="4" s="1"/>
  <c r="G397" i="4" a="1"/>
  <c r="G397" i="4" s="1"/>
  <c r="G398" i="4" a="1"/>
  <c r="G398" i="4" s="1"/>
  <c r="G399" i="4" a="1"/>
  <c r="G399" i="4" s="1"/>
  <c r="G400" i="4" a="1"/>
  <c r="G400" i="4" s="1"/>
  <c r="G401" i="4" a="1"/>
  <c r="G401" i="4" s="1"/>
  <c r="G402" i="4" a="1"/>
  <c r="G402" i="4" s="1"/>
  <c r="G403" i="4" a="1"/>
  <c r="G403" i="4" s="1"/>
  <c r="G404" i="4" a="1"/>
  <c r="G404" i="4" s="1"/>
  <c r="G405" i="4" a="1"/>
  <c r="G405" i="4" s="1"/>
  <c r="G406" i="4" a="1"/>
  <c r="G406" i="4" s="1"/>
  <c r="G407" i="4" a="1"/>
  <c r="G407" i="4" s="1"/>
  <c r="G408" i="4" a="1"/>
  <c r="G408" i="4" s="1"/>
  <c r="G409" i="4" a="1"/>
  <c r="G409" i="4" s="1"/>
  <c r="G410" i="4" a="1"/>
  <c r="G410" i="4" s="1"/>
  <c r="G411" i="4" a="1"/>
  <c r="G411" i="4" s="1"/>
  <c r="G412" i="4" a="1"/>
  <c r="G412" i="4" s="1"/>
  <c r="G413" i="4" a="1"/>
  <c r="G413" i="4" s="1"/>
  <c r="G414" i="4" a="1"/>
  <c r="G414" i="4" s="1"/>
  <c r="G415" i="4" a="1"/>
  <c r="G415" i="4" s="1"/>
  <c r="G416" i="4" a="1"/>
  <c r="G416" i="4" s="1"/>
  <c r="G417" i="4" a="1"/>
  <c r="G417" i="4" s="1"/>
  <c r="G418" i="4" a="1"/>
  <c r="G418" i="4" s="1"/>
  <c r="G419" i="4" a="1"/>
  <c r="G419" i="4" s="1"/>
  <c r="G420" i="4" a="1"/>
  <c r="G420" i="4" s="1"/>
  <c r="G421" i="4" a="1"/>
  <c r="G421" i="4" s="1"/>
  <c r="G422" i="4" a="1"/>
  <c r="G422" i="4" s="1"/>
  <c r="G423" i="4" a="1"/>
  <c r="G423" i="4" s="1"/>
  <c r="G424" i="4" a="1"/>
  <c r="G424" i="4" s="1"/>
  <c r="G425" i="4" a="1"/>
  <c r="G425" i="4" s="1"/>
  <c r="G426" i="4" a="1"/>
  <c r="G426" i="4" s="1"/>
  <c r="G427" i="4" a="1"/>
  <c r="G427" i="4" s="1"/>
  <c r="G428" i="4" a="1"/>
  <c r="G428" i="4" s="1"/>
  <c r="G429" i="4" a="1"/>
  <c r="G429" i="4" s="1"/>
  <c r="G430" i="4" a="1"/>
  <c r="G430" i="4" s="1"/>
  <c r="G431" i="4" a="1"/>
  <c r="G431" i="4" s="1"/>
  <c r="G432" i="4" a="1"/>
  <c r="G432" i="4" s="1"/>
  <c r="G433" i="4" a="1"/>
  <c r="G433" i="4" s="1"/>
  <c r="G434" i="4" a="1"/>
  <c r="G434" i="4" s="1"/>
  <c r="G435" i="4" a="1"/>
  <c r="G435" i="4" s="1"/>
  <c r="G436" i="4" a="1"/>
  <c r="G436" i="4" s="1"/>
  <c r="G437" i="4" a="1"/>
  <c r="G437" i="4" s="1"/>
  <c r="G438" i="4" a="1"/>
  <c r="G438" i="4" s="1"/>
  <c r="G439" i="4" a="1"/>
  <c r="G439" i="4" s="1"/>
  <c r="G440" i="4" a="1"/>
  <c r="G440" i="4" s="1"/>
  <c r="G441" i="4" a="1"/>
  <c r="G441" i="4" s="1"/>
  <c r="G442" i="4" a="1"/>
  <c r="G442" i="4" s="1"/>
  <c r="G443" i="4" a="1"/>
  <c r="G443" i="4" s="1"/>
  <c r="G444" i="4" a="1"/>
  <c r="G444" i="4" s="1"/>
  <c r="G445" i="4" a="1"/>
  <c r="G445" i="4" s="1"/>
  <c r="G446" i="4" a="1"/>
  <c r="G446" i="4" s="1"/>
  <c r="G447" i="4" a="1"/>
  <c r="G447" i="4" s="1"/>
  <c r="G448" i="4" a="1"/>
  <c r="G448" i="4" s="1"/>
  <c r="G449" i="4" a="1"/>
  <c r="G449" i="4" s="1"/>
  <c r="G450" i="4" a="1"/>
  <c r="G450" i="4" s="1"/>
  <c r="G451" i="4" a="1"/>
  <c r="G451" i="4" s="1"/>
  <c r="G452" i="4" a="1"/>
  <c r="G452" i="4" s="1"/>
  <c r="G453" i="4" a="1"/>
  <c r="G453" i="4" s="1"/>
  <c r="G454" i="4" a="1"/>
  <c r="G454" i="4" s="1"/>
  <c r="G455" i="4" a="1"/>
  <c r="G455" i="4" s="1"/>
  <c r="G456" i="4" a="1"/>
  <c r="G456" i="4" s="1"/>
  <c r="G457" i="4" a="1"/>
  <c r="G457" i="4" s="1"/>
  <c r="G458" i="4" a="1"/>
  <c r="G458" i="4" s="1"/>
  <c r="G459" i="4" a="1"/>
  <c r="G459" i="4" s="1"/>
  <c r="G460" i="4" a="1"/>
  <c r="G460" i="4" s="1"/>
  <c r="G461" i="4" a="1"/>
  <c r="G461" i="4" s="1"/>
  <c r="G462" i="4" a="1"/>
  <c r="G462" i="4" s="1"/>
  <c r="G463" i="4" a="1"/>
  <c r="G463" i="4" s="1"/>
  <c r="G464" i="4" a="1"/>
  <c r="G464" i="4" s="1"/>
  <c r="G465" i="4" a="1"/>
  <c r="G465" i="4" s="1"/>
  <c r="G466" i="4" a="1"/>
  <c r="G466" i="4" s="1"/>
  <c r="G467" i="4" a="1"/>
  <c r="G467" i="4" s="1"/>
  <c r="G468" i="4" a="1"/>
  <c r="G468" i="4" s="1"/>
  <c r="G469" i="4" a="1"/>
  <c r="G469" i="4" s="1"/>
  <c r="G470" i="4" a="1"/>
  <c r="G470" i="4" s="1"/>
  <c r="G471" i="4" a="1"/>
  <c r="G471" i="4" s="1"/>
  <c r="G472" i="4" a="1"/>
  <c r="G472" i="4" s="1"/>
  <c r="G473" i="4" a="1"/>
  <c r="G473" i="4" s="1"/>
  <c r="G474" i="4" a="1"/>
  <c r="G474" i="4" s="1"/>
  <c r="G475" i="4" a="1"/>
  <c r="G475" i="4" s="1"/>
  <c r="G476" i="4" a="1"/>
  <c r="G476" i="4" s="1"/>
  <c r="G477" i="4" a="1"/>
  <c r="G477" i="4" s="1"/>
  <c r="G478" i="4" a="1"/>
  <c r="G478" i="4" s="1"/>
  <c r="G479" i="4" a="1"/>
  <c r="G479" i="4" s="1"/>
  <c r="G480" i="4" a="1"/>
  <c r="G480" i="4" s="1"/>
  <c r="G481" i="4" a="1"/>
  <c r="G481" i="4" s="1"/>
  <c r="G482" i="4" a="1"/>
  <c r="G482" i="4" s="1"/>
  <c r="G483" i="4" a="1"/>
  <c r="G483" i="4" s="1"/>
  <c r="G484" i="4" a="1"/>
  <c r="G484" i="4" s="1"/>
  <c r="G485" i="4" a="1"/>
  <c r="G485" i="4" s="1"/>
  <c r="G486" i="4" a="1"/>
  <c r="G486" i="4" s="1"/>
  <c r="G487" i="4" a="1"/>
  <c r="G487" i="4" s="1"/>
  <c r="G488" i="4" a="1"/>
  <c r="G488" i="4" s="1"/>
  <c r="G489" i="4" a="1"/>
  <c r="G489" i="4" s="1"/>
  <c r="G490" i="4" a="1"/>
  <c r="G490" i="4" s="1"/>
  <c r="G491" i="4" a="1"/>
  <c r="G491" i="4" s="1"/>
  <c r="G492" i="4" a="1"/>
  <c r="G492" i="4" s="1"/>
  <c r="G493" i="4" a="1"/>
  <c r="G493" i="4" s="1"/>
  <c r="G494" i="4" a="1"/>
  <c r="G494" i="4" s="1"/>
  <c r="G495" i="4" a="1"/>
  <c r="G495" i="4" s="1"/>
  <c r="G496" i="4" a="1"/>
  <c r="G496" i="4" s="1"/>
  <c r="G497" i="4" a="1"/>
  <c r="G497" i="4" s="1"/>
  <c r="G498" i="4" a="1"/>
  <c r="G498" i="4" s="1"/>
  <c r="G499" i="4" a="1"/>
  <c r="G499" i="4" s="1"/>
  <c r="G500" i="4" a="1"/>
  <c r="G500" i="4" s="1"/>
  <c r="G501" i="4" a="1"/>
  <c r="G501" i="4" s="1"/>
  <c r="G502" i="4" a="1"/>
  <c r="G502" i="4" s="1"/>
  <c r="G503" i="4" a="1"/>
  <c r="G503" i="4" s="1"/>
  <c r="G504" i="4" a="1"/>
  <c r="G504" i="4" s="1"/>
  <c r="G505" i="4" a="1"/>
  <c r="G505" i="4" s="1"/>
  <c r="G3" i="4" a="1"/>
  <c r="G3" i="4" s="1"/>
  <c r="G2" i="1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3" i="4"/>
  <c r="F3" i="3"/>
  <c r="E3" i="4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5" i="1"/>
  <c r="G356" i="1"/>
  <c r="G357" i="1"/>
  <c r="G359" i="1"/>
  <c r="G360" i="1"/>
  <c r="G361" i="1"/>
  <c r="G362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20" i="1"/>
  <c r="G421" i="1"/>
  <c r="G422" i="1"/>
  <c r="G423" i="1"/>
  <c r="G424" i="1"/>
  <c r="G425" i="1"/>
  <c r="G426" i="1"/>
  <c r="G427" i="1"/>
  <c r="G428" i="1"/>
  <c r="G429" i="1"/>
  <c r="G430" i="1"/>
  <c r="G432" i="1"/>
  <c r="G433" i="1"/>
  <c r="G434" i="1"/>
  <c r="G435" i="1"/>
  <c r="G436" i="1"/>
  <c r="G437" i="1"/>
  <c r="G438" i="1"/>
  <c r="G439" i="1"/>
  <c r="G441" i="1"/>
  <c r="G442" i="1"/>
  <c r="G443" i="1"/>
  <c r="G444" i="1"/>
  <c r="G445" i="1"/>
  <c r="G446" i="1"/>
  <c r="G447" i="1"/>
  <c r="G449" i="1"/>
  <c r="G450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8" i="1"/>
  <c r="G539" i="1"/>
  <c r="G540" i="1"/>
  <c r="G541" i="1"/>
  <c r="G542" i="1"/>
  <c r="G543" i="1"/>
  <c r="G544" i="1"/>
  <c r="G545" i="1"/>
  <c r="G546" i="1"/>
  <c r="G548" i="1"/>
  <c r="G549" i="1"/>
  <c r="G550" i="1"/>
  <c r="G551" i="1"/>
  <c r="G552" i="1"/>
  <c r="G553" i="1"/>
  <c r="G554" i="1"/>
  <c r="G556" i="1"/>
  <c r="G558" i="1"/>
  <c r="G559" i="1"/>
  <c r="G560" i="1"/>
  <c r="G561" i="1"/>
  <c r="G563" i="1"/>
  <c r="G564" i="1"/>
  <c r="G565" i="1"/>
  <c r="G566" i="1"/>
  <c r="G567" i="1"/>
  <c r="G568" i="1"/>
  <c r="G569" i="1"/>
  <c r="G570" i="1"/>
  <c r="G571" i="1"/>
  <c r="G572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8" i="1"/>
  <c r="G609" i="1"/>
  <c r="G610" i="1"/>
  <c r="G612" i="1"/>
  <c r="G613" i="1"/>
  <c r="G614" i="1"/>
  <c r="G615" i="1"/>
  <c r="G616" i="1"/>
  <c r="G617" i="1"/>
  <c r="G618" i="1"/>
  <c r="G620" i="1"/>
  <c r="G621" i="1"/>
  <c r="G322" i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F3" i="2"/>
  <c r="E3" i="3"/>
  <c r="E3" i="2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9" i="1"/>
  <c r="G640" i="1"/>
  <c r="G641" i="1"/>
  <c r="G642" i="1"/>
  <c r="G643" i="1"/>
  <c r="G644" i="1"/>
  <c r="G645" i="1"/>
  <c r="G646" i="1"/>
  <c r="G647" i="1"/>
  <c r="G650" i="1"/>
  <c r="G651" i="1"/>
  <c r="G652" i="1"/>
  <c r="G653" i="1"/>
  <c r="G654" i="1"/>
  <c r="G655" i="1"/>
  <c r="G656" i="1"/>
  <c r="G657" i="1"/>
  <c r="G658" i="1"/>
  <c r="G661" i="1"/>
  <c r="G662" i="1"/>
  <c r="G664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2" i="1"/>
  <c r="G754" i="1"/>
  <c r="G755" i="1"/>
  <c r="G758" i="1"/>
  <c r="G760" i="1"/>
  <c r="G761" i="1"/>
  <c r="G762" i="1"/>
  <c r="G763" i="1"/>
  <c r="G764" i="1"/>
  <c r="G765" i="1"/>
  <c r="G767" i="1"/>
  <c r="G769" i="1"/>
  <c r="G770" i="1"/>
  <c r="G771" i="1"/>
  <c r="G772" i="1"/>
  <c r="G773" i="1"/>
  <c r="G774" i="1"/>
  <c r="G775" i="1"/>
  <c r="G776" i="1"/>
  <c r="G777" i="1"/>
  <c r="G779" i="1"/>
  <c r="G783" i="1"/>
  <c r="G784" i="1"/>
  <c r="G785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3" i="1"/>
  <c r="G834" i="1"/>
  <c r="G835" i="1"/>
  <c r="G836" i="1"/>
  <c r="G837" i="1"/>
  <c r="G838" i="1"/>
  <c r="G839" i="1"/>
  <c r="G840" i="1"/>
  <c r="G841" i="1"/>
  <c r="G842" i="1"/>
  <c r="G844" i="1"/>
  <c r="G846" i="1"/>
  <c r="G847" i="1"/>
  <c r="G848" i="1"/>
  <c r="G849" i="1"/>
  <c r="G850" i="1"/>
  <c r="G851" i="1"/>
  <c r="G852" i="1"/>
  <c r="G854" i="1"/>
  <c r="G856" i="1"/>
  <c r="G857" i="1"/>
  <c r="G858" i="1"/>
  <c r="G859" i="1"/>
  <c r="G861" i="1"/>
  <c r="G862" i="1"/>
  <c r="G865" i="1"/>
  <c r="G873" i="1"/>
  <c r="G874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4" i="1"/>
  <c r="G906" i="1"/>
  <c r="G907" i="1"/>
  <c r="G908" i="1"/>
  <c r="G909" i="1"/>
  <c r="G911" i="1"/>
  <c r="G913" i="1"/>
  <c r="G916" i="1"/>
  <c r="G917" i="1"/>
  <c r="G920" i="1"/>
  <c r="G622" i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<sst xmlns="http://schemas.openxmlformats.org/spreadsheetml/2006/main" count="13167" uniqueCount="1679">
  <si>
    <t>Year</t>
  </si>
  <si>
    <t>Position</t>
  </si>
  <si>
    <t>RK</t>
  </si>
  <si>
    <t>Player</t>
  </si>
  <si>
    <t>Team</t>
  </si>
  <si>
    <t>GP</t>
  </si>
  <si>
    <t>AVG</t>
  </si>
  <si>
    <t>TTL</t>
  </si>
  <si>
    <t>Round</t>
  </si>
  <si>
    <t>Boom 10</t>
  </si>
  <si>
    <t>Boom 15</t>
  </si>
  <si>
    <t>Boom 20</t>
  </si>
  <si>
    <t>Boom 25</t>
  </si>
  <si>
    <t>Boom 30</t>
  </si>
  <si>
    <t>Boom 10%</t>
  </si>
  <si>
    <t>Boom 15%</t>
  </si>
  <si>
    <t>Boom 20%</t>
  </si>
  <si>
    <t>Boom 25%</t>
  </si>
  <si>
    <t>Boom 30%</t>
  </si>
  <si>
    <t>TE</t>
  </si>
  <si>
    <t>Trey McBride</t>
  </si>
  <si>
    <t>ARI</t>
  </si>
  <si>
    <t>BYE</t>
  </si>
  <si>
    <t>Kyle Pitts Sr.</t>
  </si>
  <si>
    <t>ATL</t>
  </si>
  <si>
    <t>Travis Kelce</t>
  </si>
  <si>
    <t>KC</t>
  </si>
  <si>
    <t>Tyler Warren</t>
  </si>
  <si>
    <t>IND</t>
  </si>
  <si>
    <t>Jake Ferguson</t>
  </si>
  <si>
    <t>DAL</t>
  </si>
  <si>
    <t>Harold Fannin Jr.</t>
  </si>
  <si>
    <t>CLE</t>
  </si>
  <si>
    <t>-</t>
  </si>
  <si>
    <t>Dallas Goedert</t>
  </si>
  <si>
    <t>PHI</t>
  </si>
  <si>
    <t>Juwan Johnson</t>
  </si>
  <si>
    <t>NO</t>
  </si>
  <si>
    <t>Hunter Henry</t>
  </si>
  <si>
    <t xml:space="preserve"> NE</t>
  </si>
  <si>
    <t>Dalton Schultz</t>
  </si>
  <si>
    <t>HOU</t>
  </si>
  <si>
    <t>Brock Bowers</t>
  </si>
  <si>
    <t>LV</t>
  </si>
  <si>
    <t>Colston Loveland</t>
  </si>
  <si>
    <t>CHI</t>
  </si>
  <si>
    <t>George Kittle</t>
  </si>
  <si>
    <t>SF</t>
  </si>
  <si>
    <t>AJ Barner</t>
  </si>
  <si>
    <t>SEA</t>
  </si>
  <si>
    <t>Oronde Gadsden II</t>
  </si>
  <si>
    <t>LAC</t>
  </si>
  <si>
    <t>Mark Andrews</t>
  </si>
  <si>
    <t>BAL</t>
  </si>
  <si>
    <t>Colby Parkinson</t>
  </si>
  <si>
    <t>LAR</t>
  </si>
  <si>
    <t>Theo Johnson</t>
  </si>
  <si>
    <t>NYG</t>
  </si>
  <si>
    <t>Zach Ertz</t>
  </si>
  <si>
    <t>WAS</t>
  </si>
  <si>
    <t>Dalton Kincaid</t>
  </si>
  <si>
    <t>BUF</t>
  </si>
  <si>
    <t>Chig Okonkwo</t>
  </si>
  <si>
    <t>TEN</t>
  </si>
  <si>
    <t>Cade Otton</t>
  </si>
  <si>
    <t>TB</t>
  </si>
  <si>
    <t>Brenton Strange</t>
  </si>
  <si>
    <t>JAC</t>
  </si>
  <si>
    <t>Tucker Kraft</t>
  </si>
  <si>
    <t>GB</t>
  </si>
  <si>
    <t>Pat Freiermuth</t>
  </si>
  <si>
    <t>PIT</t>
  </si>
  <si>
    <t>T.J. Hockenson</t>
  </si>
  <si>
    <t>MIN</t>
  </si>
  <si>
    <t>Sam LaPorta</t>
  </si>
  <si>
    <t>DET</t>
  </si>
  <si>
    <t>Dawson Knox</t>
  </si>
  <si>
    <t>Evan Engram</t>
  </si>
  <si>
    <t>DEN</t>
  </si>
  <si>
    <t>Jake Tonges</t>
  </si>
  <si>
    <t>Gunnar Helm</t>
  </si>
  <si>
    <t>Mason Taylor</t>
  </si>
  <si>
    <t>NYJ</t>
  </si>
  <si>
    <t>Darren Waller</t>
  </si>
  <si>
    <t>MIA</t>
  </si>
  <si>
    <t>David Njoku</t>
  </si>
  <si>
    <t>Jonnu Smith</t>
  </si>
  <si>
    <t>Cole Kmet</t>
  </si>
  <si>
    <t>Noah Fant</t>
  </si>
  <si>
    <t>CIN</t>
  </si>
  <si>
    <t>Michael Mayer</t>
  </si>
  <si>
    <t>Darnell Washington</t>
  </si>
  <si>
    <t>Tyler Higbee</t>
  </si>
  <si>
    <t>Mike Gesicki</t>
  </si>
  <si>
    <t>Tommy Tremble</t>
  </si>
  <si>
    <t>CAR</t>
  </si>
  <si>
    <t>Greg Dulcich</t>
  </si>
  <si>
    <t>Davis Allen</t>
  </si>
  <si>
    <t>Isaiah Likely</t>
  </si>
  <si>
    <t>WR</t>
  </si>
  <si>
    <t>Puka Nacua</t>
  </si>
  <si>
    <t>Jaxon Smith-Njigba</t>
  </si>
  <si>
    <t>Amon-Ra St. Brown</t>
  </si>
  <si>
    <t>Ja'Marr Chase</t>
  </si>
  <si>
    <t>George Pickens</t>
  </si>
  <si>
    <t>Chris Olave</t>
  </si>
  <si>
    <t>Zay Flowers</t>
  </si>
  <si>
    <t>Nico Collins</t>
  </si>
  <si>
    <t>Davante Adams</t>
  </si>
  <si>
    <t>Michael Wilson</t>
  </si>
  <si>
    <t>A.J. Brown</t>
  </si>
  <si>
    <t>Jameson Williams</t>
  </si>
  <si>
    <t>Courtland Sutton</t>
  </si>
  <si>
    <t>Wan'Dale Robinson</t>
  </si>
  <si>
    <t>Tee Higgins</t>
  </si>
  <si>
    <t>Tetairoa McMillan</t>
  </si>
  <si>
    <t>Stefon Diggs</t>
  </si>
  <si>
    <t>Michael Pittman Jr.</t>
  </si>
  <si>
    <t>Drake London</t>
  </si>
  <si>
    <t>DeVonta Smith</t>
  </si>
  <si>
    <t>Justin Jefferson</t>
  </si>
  <si>
    <t>CeeDee Lamb</t>
  </si>
  <si>
    <t>Emeka Egbuka</t>
  </si>
  <si>
    <t>Jaylen Waddle</t>
  </si>
  <si>
    <t>Deebo Samuel Sr.</t>
  </si>
  <si>
    <t>DK Metcalf</t>
  </si>
  <si>
    <t>Parker Washington</t>
  </si>
  <si>
    <t>Alec Pierce</t>
  </si>
  <si>
    <t>Keenan Allen</t>
  </si>
  <si>
    <t>Ladd McConkey</t>
  </si>
  <si>
    <t>Troy Franklin</t>
  </si>
  <si>
    <t>Jakobi Meyers</t>
  </si>
  <si>
    <t>Jauan Jennings</t>
  </si>
  <si>
    <t>Quentin Johnston</t>
  </si>
  <si>
    <t>DJ Moore</t>
  </si>
  <si>
    <t>Khalil Shakir</t>
  </si>
  <si>
    <t>Romeo Doubs</t>
  </si>
  <si>
    <t>Tre Tucker</t>
  </si>
  <si>
    <t>Rashid Shaheed</t>
  </si>
  <si>
    <t>Rashee Rice</t>
  </si>
  <si>
    <t>Rome Odunze</t>
  </si>
  <si>
    <t>Brian Thomas Jr.</t>
  </si>
  <si>
    <t>Hollywood Brown</t>
  </si>
  <si>
    <t>Josh Downs</t>
  </si>
  <si>
    <t>Jordan Addison</t>
  </si>
  <si>
    <t>Christian Watson</t>
  </si>
  <si>
    <t>Jayden Higgins</t>
  </si>
  <si>
    <t>Luther Burden III</t>
  </si>
  <si>
    <t>Marvin Harrison Jr.</t>
  </si>
  <si>
    <t>Chimere Dike</t>
  </si>
  <si>
    <t>Kayshon Boutte</t>
  </si>
  <si>
    <t>Jerry Jeudy</t>
  </si>
  <si>
    <t>Cooper Kupp</t>
  </si>
  <si>
    <t>Malik Washington</t>
  </si>
  <si>
    <t>Elic Ayomanor</t>
  </si>
  <si>
    <t>Terry McLaurin</t>
  </si>
  <si>
    <t>Ryan Flournoy</t>
  </si>
  <si>
    <t>Mack Hollins</t>
  </si>
  <si>
    <t>Xavier Worthy</t>
  </si>
  <si>
    <t>Keon Coleman</t>
  </si>
  <si>
    <t>Jalen Nailor</t>
  </si>
  <si>
    <t>Garrett Wilson</t>
  </si>
  <si>
    <t>Darius Slayton</t>
  </si>
  <si>
    <t>Xavier Hutchinson</t>
  </si>
  <si>
    <t>DeMario Douglas</t>
  </si>
  <si>
    <t>Marvin Mims Jr.</t>
  </si>
  <si>
    <t>Tez Johnson</t>
  </si>
  <si>
    <t>Kendrick Bourne</t>
  </si>
  <si>
    <t>Jalen Coker</t>
  </si>
  <si>
    <t>Andrei Iosivas</t>
  </si>
  <si>
    <t>Xavier Legette</t>
  </si>
  <si>
    <t>Ricky Pearsall</t>
  </si>
  <si>
    <t>Adonai Mitchell</t>
  </si>
  <si>
    <t>Calvin Austin III</t>
  </si>
  <si>
    <t>Mike Evans</t>
  </si>
  <si>
    <t>Olamide Zaccheaus</t>
  </si>
  <si>
    <t>KaVontae Turpin</t>
  </si>
  <si>
    <t>Chris Godwin Jr.</t>
  </si>
  <si>
    <t>Darnell Mooney</t>
  </si>
  <si>
    <t>Sterling Shepard</t>
  </si>
  <si>
    <t>Tyquan Thornton</t>
  </si>
  <si>
    <t>Isaac TeSlaa</t>
  </si>
  <si>
    <t>Dontayvion Wicks</t>
  </si>
  <si>
    <t>Greg Dortch</t>
  </si>
  <si>
    <t>Pat Bryant</t>
  </si>
  <si>
    <t>JuJu Smith-Schuster</t>
  </si>
  <si>
    <t>Tyler Lockett</t>
  </si>
  <si>
    <t>John Metchie III</t>
  </si>
  <si>
    <t>Matthew Golden</t>
  </si>
  <si>
    <t>Van Jefferson</t>
  </si>
  <si>
    <t>Tre' Harris</t>
  </si>
  <si>
    <t>JaylinNOel</t>
  </si>
  <si>
    <t>DeAndre Hopkins</t>
  </si>
  <si>
    <t>Kalif Raymond</t>
  </si>
  <si>
    <t>Devaughn Vele</t>
  </si>
  <si>
    <t>Tory Horton</t>
  </si>
  <si>
    <t>Travis Hunter</t>
  </si>
  <si>
    <t>Cedric Tillman</t>
  </si>
  <si>
    <t>Isaiah Williams</t>
  </si>
  <si>
    <t>Demarcus Robinson</t>
  </si>
  <si>
    <t>Christian Kirk</t>
  </si>
  <si>
    <t>Malik Nabers</t>
  </si>
  <si>
    <t>Rashod Bateman</t>
  </si>
  <si>
    <t>Isaiah Bond</t>
  </si>
  <si>
    <t>Tyreek Hill</t>
  </si>
  <si>
    <t>Joshua Palmer</t>
  </si>
  <si>
    <t>Brandin Cooks</t>
  </si>
  <si>
    <t>Tim Patrick</t>
  </si>
  <si>
    <t>Luke McCaffrey</t>
  </si>
  <si>
    <t>Jahan Dotson</t>
  </si>
  <si>
    <t>Dyami Brown</t>
  </si>
  <si>
    <t>Kyle Williams</t>
  </si>
  <si>
    <t>Jaylin Lane</t>
  </si>
  <si>
    <t>David Sills V</t>
  </si>
  <si>
    <t>Jayden Reed</t>
  </si>
  <si>
    <t>Xavier Smith</t>
  </si>
  <si>
    <t>Calvin Ridley</t>
  </si>
  <si>
    <t>Jalen Tolbert</t>
  </si>
  <si>
    <t>Tyrell Shavers</t>
  </si>
  <si>
    <t>Jack Bech</t>
  </si>
  <si>
    <t>RB</t>
  </si>
  <si>
    <t>Christian McCaffrey</t>
  </si>
  <si>
    <t>Bijan Robinson</t>
  </si>
  <si>
    <t>Jahmyr Gibbs</t>
  </si>
  <si>
    <t>Jonathan Taylor</t>
  </si>
  <si>
    <t>De'Von Achane</t>
  </si>
  <si>
    <t>James Cook III</t>
  </si>
  <si>
    <t>Chase Brown</t>
  </si>
  <si>
    <t>Derrick Henry</t>
  </si>
  <si>
    <t>Kyren Williams</t>
  </si>
  <si>
    <t>Travis Etienne Jr.</t>
  </si>
  <si>
    <t>Ashton Jeanty</t>
  </si>
  <si>
    <t>Javonte Williams</t>
  </si>
  <si>
    <t>Josh Jacobs</t>
  </si>
  <si>
    <t>Saquon Barkley</t>
  </si>
  <si>
    <t>D'Andre Swift</t>
  </si>
  <si>
    <t>Kenny Gainwell</t>
  </si>
  <si>
    <t>Jaylen Warren</t>
  </si>
  <si>
    <t>Rico Dowdle</t>
  </si>
  <si>
    <t>Breece Hall</t>
  </si>
  <si>
    <t>RJ Harvey</t>
  </si>
  <si>
    <t>TreVeyon Henderson</t>
  </si>
  <si>
    <t>Kenneth Walker III</t>
  </si>
  <si>
    <t>Tony Pollard</t>
  </si>
  <si>
    <t>Zach Charbonnet</t>
  </si>
  <si>
    <t>Rhamondre Stevenson</t>
  </si>
  <si>
    <t>Quinshon Judkins</t>
  </si>
  <si>
    <t>David Montgomery</t>
  </si>
  <si>
    <t>Tyrone Tracy Jr.</t>
  </si>
  <si>
    <t>Woody Marks</t>
  </si>
  <si>
    <t>Kyle Monangai</t>
  </si>
  <si>
    <t>Kareem Hunt</t>
  </si>
  <si>
    <t>Rachaad White</t>
  </si>
  <si>
    <t>Jacory Croskey-Merritt</t>
  </si>
  <si>
    <t>Bucky Irving</t>
  </si>
  <si>
    <t>Omarion Hampton</t>
  </si>
  <si>
    <t>Jordan Mason</t>
  </si>
  <si>
    <t>Cam Skattebo</t>
  </si>
  <si>
    <t>Chuba Hubbard</t>
  </si>
  <si>
    <t>Tyler Allgeier</t>
  </si>
  <si>
    <t>Blake Corum</t>
  </si>
  <si>
    <t>Aaron Jones Sr.</t>
  </si>
  <si>
    <t>Kimani Vidal</t>
  </si>
  <si>
    <t>J.K. Dobbins</t>
  </si>
  <si>
    <t>Tyjae Spears</t>
  </si>
  <si>
    <t>Devin Singletary</t>
  </si>
  <si>
    <t>Alvin Kamara</t>
  </si>
  <si>
    <t>Ty Johnson</t>
  </si>
  <si>
    <t>Michael Carter</t>
  </si>
  <si>
    <t>Emanuel Wilson</t>
  </si>
  <si>
    <t>Bam Knight</t>
  </si>
  <si>
    <t>Chris Rodriguez Jr.</t>
  </si>
  <si>
    <t>Sean Tucker</t>
  </si>
  <si>
    <t>Bhayshul Tuten</t>
  </si>
  <si>
    <t>Nick Chubb</t>
  </si>
  <si>
    <t>Dylan Sampson</t>
  </si>
  <si>
    <t>Isiah Pacheco</t>
  </si>
  <si>
    <t>Samaje Perine</t>
  </si>
  <si>
    <t>Jeremy McNichols</t>
  </si>
  <si>
    <t>Isaiah Davis</t>
  </si>
  <si>
    <t>Justice Hill</t>
  </si>
  <si>
    <t>Ray Davis</t>
  </si>
  <si>
    <t>Brashard Smith</t>
  </si>
  <si>
    <t>Brian Robinson Jr.</t>
  </si>
  <si>
    <t>Devin Neal</t>
  </si>
  <si>
    <t>Emari Demercado</t>
  </si>
  <si>
    <t>Kyle Juszczyk</t>
  </si>
  <si>
    <t>Keaton Mitchell</t>
  </si>
  <si>
    <t>Ollie Gordon II</t>
  </si>
  <si>
    <t>Tank Bigsby</t>
  </si>
  <si>
    <t>Jaylen Wright</t>
  </si>
  <si>
    <t>Audric Estime</t>
  </si>
  <si>
    <t>Jerome Ford</t>
  </si>
  <si>
    <t>Malik Davis</t>
  </si>
  <si>
    <t>Zavier Scott</t>
  </si>
  <si>
    <t>Hunter Luepke</t>
  </si>
  <si>
    <t>Ameer Abdullah</t>
  </si>
  <si>
    <t>Tyler Badie</t>
  </si>
  <si>
    <t>Trey Benson</t>
  </si>
  <si>
    <t>James Conner</t>
  </si>
  <si>
    <t>Kendre Miller</t>
  </si>
  <si>
    <t>Chris Brooks</t>
  </si>
  <si>
    <t>Jaleel McLaughlin</t>
  </si>
  <si>
    <t>Jawhar Jordan</t>
  </si>
  <si>
    <t>Raheem Mostert</t>
  </si>
  <si>
    <t>Miles Sanders</t>
  </si>
  <si>
    <t>Jaret Patterson</t>
  </si>
  <si>
    <t>LeQuint Allen Jr.</t>
  </si>
  <si>
    <t>Rasheen Ali</t>
  </si>
  <si>
    <t>Dare Ogunbowale</t>
  </si>
  <si>
    <t>Antonio Gibson</t>
  </si>
  <si>
    <t>George Holani</t>
  </si>
  <si>
    <t>Jaydon Blue</t>
  </si>
  <si>
    <t>Raheim Sanders</t>
  </si>
  <si>
    <t>Will Shipley</t>
  </si>
  <si>
    <t>Trayveon Williams</t>
  </si>
  <si>
    <t>Adam Prentice</t>
  </si>
  <si>
    <t>C.J. Ham</t>
  </si>
  <si>
    <t>Braelon Allen</t>
  </si>
  <si>
    <t>Terrell Jennings</t>
  </si>
  <si>
    <t>Alec Ingold</t>
  </si>
  <si>
    <t>Austin Ekeler</t>
  </si>
  <si>
    <t>Trevor Etienne</t>
  </si>
  <si>
    <t>Najee Harris</t>
  </si>
  <si>
    <t>Phil Mafah</t>
  </si>
  <si>
    <t>Kene Nwangwu</t>
  </si>
  <si>
    <t>Hassan Haskins</t>
  </si>
  <si>
    <t>Brittain Brown</t>
  </si>
  <si>
    <t>Zamir White</t>
  </si>
  <si>
    <t>DJ Giddens</t>
  </si>
  <si>
    <t>Corey Kiner</t>
  </si>
  <si>
    <t>QB</t>
  </si>
  <si>
    <t>Josh Allen</t>
  </si>
  <si>
    <t>Drake Maye</t>
  </si>
  <si>
    <t>Matthew Stafford</t>
  </si>
  <si>
    <t>Trevor Lawrence</t>
  </si>
  <si>
    <t>Dak Prescott</t>
  </si>
  <si>
    <t>Caleb Williams</t>
  </si>
  <si>
    <t>Bo Nix</t>
  </si>
  <si>
    <t>Jared Goff</t>
  </si>
  <si>
    <t>Jalen Hurts</t>
  </si>
  <si>
    <t>Justin Herbert</t>
  </si>
  <si>
    <t>Patrick Mahomes II</t>
  </si>
  <si>
    <t>Baker Mayfield</t>
  </si>
  <si>
    <t>Sam Darnold</t>
  </si>
  <si>
    <t>Jaxson Dart</t>
  </si>
  <si>
    <t>Jordan Love</t>
  </si>
  <si>
    <t>Jacoby Brissett</t>
  </si>
  <si>
    <t>Daniel Jones</t>
  </si>
  <si>
    <t>Aaron Rodgers</t>
  </si>
  <si>
    <t>Bryce Young</t>
  </si>
  <si>
    <t>Lamar Jackson</t>
  </si>
  <si>
    <t>C.J. Stroud</t>
  </si>
  <si>
    <t>Cam Ward</t>
  </si>
  <si>
    <t>Geno Smith</t>
  </si>
  <si>
    <t>Brock Purdy</t>
  </si>
  <si>
    <t>Tua Tagovailoa</t>
  </si>
  <si>
    <t>Tyler Shough</t>
  </si>
  <si>
    <t>Joe Flacco</t>
  </si>
  <si>
    <t>Justin Fields</t>
  </si>
  <si>
    <t>Joe Burrow</t>
  </si>
  <si>
    <t>J.J. McCarthy</t>
  </si>
  <si>
    <t>Mac Jones</t>
  </si>
  <si>
    <t>Marcus Mariota</t>
  </si>
  <si>
    <t>Michael Penix Jr.</t>
  </si>
  <si>
    <t>Jayden Daniels</t>
  </si>
  <si>
    <t>Kirk Cousins</t>
  </si>
  <si>
    <t>Spencer Rattler</t>
  </si>
  <si>
    <t>Shedeur Sanders</t>
  </si>
  <si>
    <t>Kyler Murray</t>
  </si>
  <si>
    <t>Carson Wentz</t>
  </si>
  <si>
    <t>Dillon Gabriel</t>
  </si>
  <si>
    <t>Davis Mills</t>
  </si>
  <si>
    <t>Tyrod Taylor</t>
  </si>
  <si>
    <t>Jake Browning</t>
  </si>
  <si>
    <t>Russell Wilson</t>
  </si>
  <si>
    <t>Malik Willis</t>
  </si>
  <si>
    <t>Anthony Richardson Sr.</t>
  </si>
  <si>
    <t>Derek Carr</t>
  </si>
  <si>
    <t>Jameis Winston</t>
  </si>
  <si>
    <t>Will Levis</t>
  </si>
  <si>
    <t>Cooper Rush</t>
  </si>
  <si>
    <t>Gardner Minshew II</t>
  </si>
  <si>
    <t>Mason Rudolph</t>
  </si>
  <si>
    <t>Aidan O'Connell</t>
  </si>
  <si>
    <t>Drew Lock</t>
  </si>
  <si>
    <t>Deshaun Watson</t>
  </si>
  <si>
    <t>Andy Dalton</t>
  </si>
  <si>
    <t>Tyler Huntley</t>
  </si>
  <si>
    <t>Joe Mixon</t>
  </si>
  <si>
    <t>Alexander Mattison</t>
  </si>
  <si>
    <t>Isaac Guerendo</t>
  </si>
  <si>
    <t>Cam Akers</t>
  </si>
  <si>
    <t>Zack Moss</t>
  </si>
  <si>
    <t>Roschon Johnson</t>
  </si>
  <si>
    <t>Gus Edwards</t>
  </si>
  <si>
    <t>Ezekiel Elliott</t>
  </si>
  <si>
    <t>Trey Sermon</t>
  </si>
  <si>
    <t>Tyler Goodson</t>
  </si>
  <si>
    <t>Dameon Pierce</t>
  </si>
  <si>
    <t>Cordarrelle Patterson</t>
  </si>
  <si>
    <t>Jamaal Williams</t>
  </si>
  <si>
    <t>D'Ernest Johnson</t>
  </si>
  <si>
    <t>Pierre Strong Jr.</t>
  </si>
  <si>
    <t>D'Onta Foreman</t>
  </si>
  <si>
    <t>Khalil Herbert</t>
  </si>
  <si>
    <t>Patrick Taylor Jr.</t>
  </si>
  <si>
    <t>Michael Burton</t>
  </si>
  <si>
    <t>JaMycal Hasty</t>
  </si>
  <si>
    <t>Ray-Ray McCloud III</t>
  </si>
  <si>
    <t>Tank Dell</t>
  </si>
  <si>
    <t>Adam Thielen</t>
  </si>
  <si>
    <t>Nick Westbrook-Ikhine</t>
  </si>
  <si>
    <t>Jalen McMillan</t>
  </si>
  <si>
    <t>Allen Lazard</t>
  </si>
  <si>
    <t>Amari Cooper</t>
  </si>
  <si>
    <t>Elijah Moore</t>
  </si>
  <si>
    <t>Tutu Atwell</t>
  </si>
  <si>
    <t>Diontae Johnson</t>
  </si>
  <si>
    <t>Noah Brown</t>
  </si>
  <si>
    <t>David Moore</t>
  </si>
  <si>
    <t>Marquez Valdes-Scantling</t>
  </si>
  <si>
    <t>Tyler Boyd</t>
  </si>
  <si>
    <t>Lil'Jordan Humphrey</t>
  </si>
  <si>
    <t>Curtis Samuel</t>
  </si>
  <si>
    <t>Justin Watson</t>
  </si>
  <si>
    <t>Brandon Aiyuk</t>
  </si>
  <si>
    <t>Tyler Johnson</t>
  </si>
  <si>
    <t>Mike Williams</t>
  </si>
  <si>
    <t>Gabe Davis</t>
  </si>
  <si>
    <t>Jordan Whittington</t>
  </si>
  <si>
    <t>Cedrick Wilson Jr.</t>
  </si>
  <si>
    <t>Nelson Agholor</t>
  </si>
  <si>
    <t>DJ Turner</t>
  </si>
  <si>
    <t>Derius Davis</t>
  </si>
  <si>
    <t>Josh Reynolds</t>
  </si>
  <si>
    <t>Tyler Conklin</t>
  </si>
  <si>
    <t>Noah Gray</t>
  </si>
  <si>
    <t>Will Dissly</t>
  </si>
  <si>
    <t>Austin Hooper</t>
  </si>
  <si>
    <t>Taysom Hill</t>
  </si>
  <si>
    <t>Foster Moreau</t>
  </si>
  <si>
    <t>Jordan Akins</t>
  </si>
  <si>
    <t>Ja'Tavion Sanders</t>
  </si>
  <si>
    <t>Josh Oliver</t>
  </si>
  <si>
    <t>Josh Whyle</t>
  </si>
  <si>
    <t>Grant Calcaterra</t>
  </si>
  <si>
    <t>Luke Schoonmaker</t>
  </si>
  <si>
    <t>Elijah Higgins</t>
  </si>
  <si>
    <t>Logan Thomas</t>
  </si>
  <si>
    <t/>
  </si>
  <si>
    <t>Gerald Everett</t>
  </si>
  <si>
    <t>Tanner Hudson</t>
  </si>
  <si>
    <t>Donald Parham Jr.</t>
  </si>
  <si>
    <t>Luke Musgrave</t>
  </si>
  <si>
    <t>Kylen Granson</t>
  </si>
  <si>
    <t>Durham Smythe</t>
  </si>
  <si>
    <t>Adam Trautman</t>
  </si>
  <si>
    <t>Brevin Jordan</t>
  </si>
  <si>
    <t>Daniel Bellinger</t>
  </si>
  <si>
    <t>K.J. Osborn</t>
  </si>
  <si>
    <t>DJ Chark Jr.</t>
  </si>
  <si>
    <t>Odell Beckham Jr.</t>
  </si>
  <si>
    <t>Trey Palmer</t>
  </si>
  <si>
    <t>Michael Thomas</t>
  </si>
  <si>
    <t>Robert Woods</t>
  </si>
  <si>
    <t>Michael Gallup</t>
  </si>
  <si>
    <t>Jonathan Mingo</t>
  </si>
  <si>
    <t>Zay Jones</t>
  </si>
  <si>
    <t>Brandon Johnson</t>
  </si>
  <si>
    <t>DeVante Parker</t>
  </si>
  <si>
    <t>Chris Moore</t>
  </si>
  <si>
    <t>Brandon Powell</t>
  </si>
  <si>
    <t>Trenton Irwin</t>
  </si>
  <si>
    <t>Allen Robinson II</t>
  </si>
  <si>
    <t>A.T. Perry</t>
  </si>
  <si>
    <t>Jalin Hyatt</t>
  </si>
  <si>
    <t>Isaiah Hodgins</t>
  </si>
  <si>
    <t>Xavier Gipson</t>
  </si>
  <si>
    <t>Braxton Berrios</t>
  </si>
  <si>
    <t>Jake Bobo</t>
  </si>
  <si>
    <t>Skyy Moore</t>
  </si>
  <si>
    <t>Kadarius Toney</t>
  </si>
  <si>
    <t>David Bell</t>
  </si>
  <si>
    <t>Hunter Renfrow</t>
  </si>
  <si>
    <t>Bo Melton</t>
  </si>
  <si>
    <t>Alex Erickson</t>
  </si>
  <si>
    <t>Jamal Agnew</t>
  </si>
  <si>
    <t>AJ Dillon</t>
  </si>
  <si>
    <t>Ty Chandler</t>
  </si>
  <si>
    <t>Jerick McKinnon</t>
  </si>
  <si>
    <t>Latavius Murray</t>
  </si>
  <si>
    <t>Clyde Edwards-Helaire</t>
  </si>
  <si>
    <t>Joshua Kelley</t>
  </si>
  <si>
    <t>Elijah Mitchell</t>
  </si>
  <si>
    <t>Matt Breida</t>
  </si>
  <si>
    <t>Royce Freeman</t>
  </si>
  <si>
    <t>Darrell Henderson Jr.</t>
  </si>
  <si>
    <t>Salvon Ahmed</t>
  </si>
  <si>
    <t>Jeff Wilson Jr.</t>
  </si>
  <si>
    <t>Dalvin Cook</t>
  </si>
  <si>
    <t>Chase Edmonds</t>
  </si>
  <si>
    <t>Tony Jones Jr.</t>
  </si>
  <si>
    <t>Darrynton Evans</t>
  </si>
  <si>
    <t>Craig Reynolds</t>
  </si>
  <si>
    <t>Kevin Harris</t>
  </si>
  <si>
    <t>Sam Howell</t>
  </si>
  <si>
    <t>Joshua Dobbs</t>
  </si>
  <si>
    <t>Desmond Ridder</t>
  </si>
  <si>
    <t>Zach Wilson</t>
  </si>
  <si>
    <t>NE</t>
  </si>
  <si>
    <t>Kenny Pickett</t>
  </si>
  <si>
    <t>Tommy DeVito</t>
  </si>
  <si>
    <t>Ryan Tannehill</t>
  </si>
  <si>
    <t>Bailey Zappe</t>
  </si>
  <si>
    <t>Nick Mullens</t>
  </si>
  <si>
    <t>Jimmy Garoppolo</t>
  </si>
  <si>
    <t>Taylor Heinicke</t>
  </si>
  <si>
    <t>Easton Stick</t>
  </si>
  <si>
    <t>Tyson Bagent</t>
  </si>
  <si>
    <t>Best Ball Average Draft Position (ADP) | Underdog and BB10s | Fantasy Football | FantasyPros</t>
  </si>
  <si>
    <t>Rank</t>
  </si>
  <si>
    <t>Player (Bye)</t>
  </si>
  <si>
    <t>POS</t>
  </si>
  <si>
    <t>RB1</t>
  </si>
  <si>
    <t>WR1</t>
  </si>
  <si>
    <t>TE1</t>
  </si>
  <si>
    <t>WR2</t>
  </si>
  <si>
    <t>WR3</t>
  </si>
  <si>
    <t>WR4</t>
  </si>
  <si>
    <t>WR5</t>
  </si>
  <si>
    <t>RB2</t>
  </si>
  <si>
    <t>QB1</t>
  </si>
  <si>
    <t>QB2</t>
  </si>
  <si>
    <t>QB3</t>
  </si>
  <si>
    <t>WR6</t>
  </si>
  <si>
    <t>WR7</t>
  </si>
  <si>
    <t>QB4</t>
  </si>
  <si>
    <t>WR8</t>
  </si>
  <si>
    <t>WR9</t>
  </si>
  <si>
    <t>RB3</t>
  </si>
  <si>
    <t>WR10</t>
  </si>
  <si>
    <t>TE2</t>
  </si>
  <si>
    <t>WR11</t>
  </si>
  <si>
    <t>RB4</t>
  </si>
  <si>
    <t>RB5</t>
  </si>
  <si>
    <t>TE3</t>
  </si>
  <si>
    <t>RB6</t>
  </si>
  <si>
    <t>WR12</t>
  </si>
  <si>
    <t>WR13</t>
  </si>
  <si>
    <t>RB7</t>
  </si>
  <si>
    <t>TE4</t>
  </si>
  <si>
    <t>RB8</t>
  </si>
  <si>
    <t>RB9</t>
  </si>
  <si>
    <t>RB10</t>
  </si>
  <si>
    <t>WR14</t>
  </si>
  <si>
    <t>WR15</t>
  </si>
  <si>
    <t>WR16</t>
  </si>
  <si>
    <t>WR17</t>
  </si>
  <si>
    <t>QB5</t>
  </si>
  <si>
    <t>WR18</t>
  </si>
  <si>
    <t>QB6</t>
  </si>
  <si>
    <t>WR19</t>
  </si>
  <si>
    <t>RB11</t>
  </si>
  <si>
    <t>TE5</t>
  </si>
  <si>
    <t>RB12</t>
  </si>
  <si>
    <t>WR20</t>
  </si>
  <si>
    <t>WR21</t>
  </si>
  <si>
    <t>RB13</t>
  </si>
  <si>
    <t>RB14</t>
  </si>
  <si>
    <t>WR22</t>
  </si>
  <si>
    <t>RB15</t>
  </si>
  <si>
    <t>QB7</t>
  </si>
  <si>
    <t>WR23</t>
  </si>
  <si>
    <t>WR24</t>
  </si>
  <si>
    <t>RB16</t>
  </si>
  <si>
    <t>RB17</t>
  </si>
  <si>
    <t>TE6</t>
  </si>
  <si>
    <t>WR25</t>
  </si>
  <si>
    <t>RB18</t>
  </si>
  <si>
    <t>WR26</t>
  </si>
  <si>
    <t>WR27</t>
  </si>
  <si>
    <t>RB19</t>
  </si>
  <si>
    <t>WR28</t>
  </si>
  <si>
    <t>TE7</t>
  </si>
  <si>
    <t>WR29</t>
  </si>
  <si>
    <t>RB20</t>
  </si>
  <si>
    <t>RB21</t>
  </si>
  <si>
    <t>TE8</t>
  </si>
  <si>
    <t>TE9</t>
  </si>
  <si>
    <t>WR30</t>
  </si>
  <si>
    <t>RB22</t>
  </si>
  <si>
    <t>WR31</t>
  </si>
  <si>
    <t>RB23</t>
  </si>
  <si>
    <t>QB8</t>
  </si>
  <si>
    <t>WR32</t>
  </si>
  <si>
    <t>WR33</t>
  </si>
  <si>
    <t>RB24</t>
  </si>
  <si>
    <t>RB25</t>
  </si>
  <si>
    <t>WR34</t>
  </si>
  <si>
    <t>WR35</t>
  </si>
  <si>
    <t>QB9</t>
  </si>
  <si>
    <t>QB10</t>
  </si>
  <si>
    <t>WR36</t>
  </si>
  <si>
    <t>QB11</t>
  </si>
  <si>
    <t>RB26</t>
  </si>
  <si>
    <t>TE10</t>
  </si>
  <si>
    <t>RB27</t>
  </si>
  <si>
    <t>RB28</t>
  </si>
  <si>
    <t>RB29</t>
  </si>
  <si>
    <t>WR37</t>
  </si>
  <si>
    <t>WR38</t>
  </si>
  <si>
    <t>TE11</t>
  </si>
  <si>
    <t>WR39</t>
  </si>
  <si>
    <t>RB30</t>
  </si>
  <si>
    <t>QB12</t>
  </si>
  <si>
    <t>WR40</t>
  </si>
  <si>
    <t>TE12</t>
  </si>
  <si>
    <t>RB31</t>
  </si>
  <si>
    <t>WR41</t>
  </si>
  <si>
    <t>RB32</t>
  </si>
  <si>
    <t>RB33</t>
  </si>
  <si>
    <t>WR42</t>
  </si>
  <si>
    <t>RB34</t>
  </si>
  <si>
    <t>WR43</t>
  </si>
  <si>
    <t>WR44</t>
  </si>
  <si>
    <t>WR45</t>
  </si>
  <si>
    <t>TE13</t>
  </si>
  <si>
    <t>RB35</t>
  </si>
  <si>
    <t>RB36</t>
  </si>
  <si>
    <t>QB13</t>
  </si>
  <si>
    <t>WR46</t>
  </si>
  <si>
    <t>WR47</t>
  </si>
  <si>
    <t>RB37</t>
  </si>
  <si>
    <t>WR48</t>
  </si>
  <si>
    <t>WR49</t>
  </si>
  <si>
    <t>TE14</t>
  </si>
  <si>
    <t>RB38</t>
  </si>
  <si>
    <t>RB39</t>
  </si>
  <si>
    <t>RB40</t>
  </si>
  <si>
    <t>QB14</t>
  </si>
  <si>
    <t>QB15</t>
  </si>
  <si>
    <t>TE15</t>
  </si>
  <si>
    <t>WR50</t>
  </si>
  <si>
    <t>QB16</t>
  </si>
  <si>
    <t>WR51</t>
  </si>
  <si>
    <t>QB17</t>
  </si>
  <si>
    <t>WR52</t>
  </si>
  <si>
    <t>RB41</t>
  </si>
  <si>
    <t>QB18</t>
  </si>
  <si>
    <t>RB42</t>
  </si>
  <si>
    <t>WR53</t>
  </si>
  <si>
    <t>RB43</t>
  </si>
  <si>
    <t>RB44</t>
  </si>
  <si>
    <t>WR54</t>
  </si>
  <si>
    <t>Rashaad Penny</t>
  </si>
  <si>
    <t>RB45</t>
  </si>
  <si>
    <t>QB19</t>
  </si>
  <si>
    <t>WR55</t>
  </si>
  <si>
    <t>QB20</t>
  </si>
  <si>
    <t>WR56</t>
  </si>
  <si>
    <t>RB46</t>
  </si>
  <si>
    <t>WR57</t>
  </si>
  <si>
    <t>QB21</t>
  </si>
  <si>
    <t>Damien Harris</t>
  </si>
  <si>
    <t>RB47</t>
  </si>
  <si>
    <t>WR58</t>
  </si>
  <si>
    <t>WR59</t>
  </si>
  <si>
    <t>RB48</t>
  </si>
  <si>
    <t>WR60</t>
  </si>
  <si>
    <t>RB49</t>
  </si>
  <si>
    <t>QB22</t>
  </si>
  <si>
    <t>WR61</t>
  </si>
  <si>
    <t>TE16</t>
  </si>
  <si>
    <t>TE17</t>
  </si>
  <si>
    <t>RB50</t>
  </si>
  <si>
    <t>WR62</t>
  </si>
  <si>
    <t>WR63</t>
  </si>
  <si>
    <t>TE18</t>
  </si>
  <si>
    <t>TE19</t>
  </si>
  <si>
    <t>RB51</t>
  </si>
  <si>
    <t>RB52</t>
  </si>
  <si>
    <t>QB23</t>
  </si>
  <si>
    <t>WR64</t>
  </si>
  <si>
    <t>RB53</t>
  </si>
  <si>
    <t>TE20</t>
  </si>
  <si>
    <t>Donovan Peoples-Jones</t>
  </si>
  <si>
    <t>WR65</t>
  </si>
  <si>
    <t>RB54</t>
  </si>
  <si>
    <t>RB55</t>
  </si>
  <si>
    <t>TE21</t>
  </si>
  <si>
    <t>WR66</t>
  </si>
  <si>
    <t>QB24</t>
  </si>
  <si>
    <t>TE22</t>
  </si>
  <si>
    <t>RB56</t>
  </si>
  <si>
    <t>WR67</t>
  </si>
  <si>
    <t>Irv Smith Jr.</t>
  </si>
  <si>
    <t>TE23</t>
  </si>
  <si>
    <t>TE24</t>
  </si>
  <si>
    <t>RB57</t>
  </si>
  <si>
    <t>QB25</t>
  </si>
  <si>
    <t>Leonard Fournette</t>
  </si>
  <si>
    <t>RB58</t>
  </si>
  <si>
    <t>RB59</t>
  </si>
  <si>
    <t>Deon Jackson</t>
  </si>
  <si>
    <t>RB60</t>
  </si>
  <si>
    <t>Deuce Vaughn</t>
  </si>
  <si>
    <t>RB61</t>
  </si>
  <si>
    <t>WR68</t>
  </si>
  <si>
    <t>QB26</t>
  </si>
  <si>
    <t>TE25</t>
  </si>
  <si>
    <t>WR69</t>
  </si>
  <si>
    <t>Richie James Jr.</t>
  </si>
  <si>
    <t>WR70</t>
  </si>
  <si>
    <t>RB62</t>
  </si>
  <si>
    <t>TE26</t>
  </si>
  <si>
    <t>RB63</t>
  </si>
  <si>
    <t>WR71</t>
  </si>
  <si>
    <t>RB64</t>
  </si>
  <si>
    <t>TE27</t>
  </si>
  <si>
    <t>QB27</t>
  </si>
  <si>
    <t>WR72</t>
  </si>
  <si>
    <t>WR73</t>
  </si>
  <si>
    <t>WR74</t>
  </si>
  <si>
    <t>TE28</t>
  </si>
  <si>
    <t>WR75</t>
  </si>
  <si>
    <t>RB65</t>
  </si>
  <si>
    <t>WR76</t>
  </si>
  <si>
    <t>WR77</t>
  </si>
  <si>
    <t>WR78</t>
  </si>
  <si>
    <t>WR79</t>
  </si>
  <si>
    <t>RB66</t>
  </si>
  <si>
    <t>WR80</t>
  </si>
  <si>
    <t>RB67</t>
  </si>
  <si>
    <t>QB28</t>
  </si>
  <si>
    <t>WR81</t>
  </si>
  <si>
    <t>WR82</t>
  </si>
  <si>
    <t>WR83</t>
  </si>
  <si>
    <t>WR84</t>
  </si>
  <si>
    <t>QB29</t>
  </si>
  <si>
    <t>WR85</t>
  </si>
  <si>
    <t>WR86</t>
  </si>
  <si>
    <t>QB30</t>
  </si>
  <si>
    <t>TE29</t>
  </si>
  <si>
    <t>WR87</t>
  </si>
  <si>
    <t>TE30</t>
  </si>
  <si>
    <t>Melvin Gordon III</t>
  </si>
  <si>
    <t>RB68</t>
  </si>
  <si>
    <t>WR88</t>
  </si>
  <si>
    <t>Hayden Hurst</t>
  </si>
  <si>
    <t>TE31</t>
  </si>
  <si>
    <t>WR89</t>
  </si>
  <si>
    <t>WR90</t>
  </si>
  <si>
    <t>RB69</t>
  </si>
  <si>
    <t>RB70</t>
  </si>
  <si>
    <t>QB31</t>
  </si>
  <si>
    <t>TE32</t>
  </si>
  <si>
    <t>Parris Campbell</t>
  </si>
  <si>
    <t>WR91</t>
  </si>
  <si>
    <t>QB32</t>
  </si>
  <si>
    <t>TE33</t>
  </si>
  <si>
    <t>WR92</t>
  </si>
  <si>
    <t>QB33</t>
  </si>
  <si>
    <t>WR93</t>
  </si>
  <si>
    <t>Justyn Ross</t>
  </si>
  <si>
    <t>WR94</t>
  </si>
  <si>
    <t>TE34</t>
  </si>
  <si>
    <t>RB71</t>
  </si>
  <si>
    <t>RB72</t>
  </si>
  <si>
    <t>Chase Claypool</t>
  </si>
  <si>
    <t>WR95</t>
  </si>
  <si>
    <t>WR96</t>
  </si>
  <si>
    <t>RB73</t>
  </si>
  <si>
    <t>TE35</t>
  </si>
  <si>
    <t>WR97</t>
  </si>
  <si>
    <t>RB74</t>
  </si>
  <si>
    <t>TE36</t>
  </si>
  <si>
    <t>RB75</t>
  </si>
  <si>
    <t>TE37</t>
  </si>
  <si>
    <t>WR98</t>
  </si>
  <si>
    <t>RB76</t>
  </si>
  <si>
    <t>WR99</t>
  </si>
  <si>
    <t>WR100</t>
  </si>
  <si>
    <t>WR101</t>
  </si>
  <si>
    <t>WR102</t>
  </si>
  <si>
    <t>WR103</t>
  </si>
  <si>
    <t>Julio Jones</t>
  </si>
  <si>
    <t>WR104</t>
  </si>
  <si>
    <t>Keaontay Ingram</t>
  </si>
  <si>
    <t>RB77</t>
  </si>
  <si>
    <t>Marvin Jones Jr.</t>
  </si>
  <si>
    <t>WR105</t>
  </si>
  <si>
    <t>WR106</t>
  </si>
  <si>
    <t>WR107</t>
  </si>
  <si>
    <t>WR108</t>
  </si>
  <si>
    <t>WR109</t>
  </si>
  <si>
    <t>WR110</t>
  </si>
  <si>
    <t>Isaiah Spiller</t>
  </si>
  <si>
    <t>RB78</t>
  </si>
  <si>
    <t>Deonte Harty</t>
  </si>
  <si>
    <t>WR111</t>
  </si>
  <si>
    <t>TE38</t>
  </si>
  <si>
    <t>TE39</t>
  </si>
  <si>
    <t>DST1</t>
  </si>
  <si>
    <t>WR112</t>
  </si>
  <si>
    <t>Chris Evans</t>
  </si>
  <si>
    <t>RB79</t>
  </si>
  <si>
    <t>RB80</t>
  </si>
  <si>
    <t>TE40</t>
  </si>
  <si>
    <t>RB81</t>
  </si>
  <si>
    <t>QB34</t>
  </si>
  <si>
    <t>DST2</t>
  </si>
  <si>
    <t>DST3</t>
  </si>
  <si>
    <t>QB35</t>
  </si>
  <si>
    <t>DST4</t>
  </si>
  <si>
    <t>Zach Evans</t>
  </si>
  <si>
    <t>RB82</t>
  </si>
  <si>
    <t>WR113</t>
  </si>
  <si>
    <t>DST5</t>
  </si>
  <si>
    <t>DST6</t>
  </si>
  <si>
    <t>WR114</t>
  </si>
  <si>
    <t>TE41</t>
  </si>
  <si>
    <t>DST7</t>
  </si>
  <si>
    <t>Randall Cobb</t>
  </si>
  <si>
    <t>WR115</t>
  </si>
  <si>
    <t>TE42</t>
  </si>
  <si>
    <t>DST8</t>
  </si>
  <si>
    <t>QB36</t>
  </si>
  <si>
    <t>DST9</t>
  </si>
  <si>
    <t>TE43</t>
  </si>
  <si>
    <t>QB37</t>
  </si>
  <si>
    <t>DST10</t>
  </si>
  <si>
    <t>WR116</t>
  </si>
  <si>
    <t>WR117</t>
  </si>
  <si>
    <t>DST11</t>
  </si>
  <si>
    <t>DST12</t>
  </si>
  <si>
    <t>DST13</t>
  </si>
  <si>
    <t>TE44</t>
  </si>
  <si>
    <t>RB83</t>
  </si>
  <si>
    <t>QB38</t>
  </si>
  <si>
    <t>DeWayne McBride</t>
  </si>
  <si>
    <t>RB84</t>
  </si>
  <si>
    <t>WR118</t>
  </si>
  <si>
    <t>RB85</t>
  </si>
  <si>
    <t>DST14</t>
  </si>
  <si>
    <t>DST15</t>
  </si>
  <si>
    <t>DST16</t>
  </si>
  <si>
    <t>Mike White</t>
  </si>
  <si>
    <t>QB39</t>
  </si>
  <si>
    <t>WR119</t>
  </si>
  <si>
    <t>DST17</t>
  </si>
  <si>
    <t>WR120</t>
  </si>
  <si>
    <t>DST18</t>
  </si>
  <si>
    <t>DST19</t>
  </si>
  <si>
    <t>RB86</t>
  </si>
  <si>
    <t>WR121</t>
  </si>
  <si>
    <t>TE45</t>
  </si>
  <si>
    <t>WR122</t>
  </si>
  <si>
    <t>DST20</t>
  </si>
  <si>
    <t>Jimmy Graham</t>
  </si>
  <si>
    <t>TE46</t>
  </si>
  <si>
    <t>WR123</t>
  </si>
  <si>
    <t>WR124</t>
  </si>
  <si>
    <t>DST21</t>
  </si>
  <si>
    <t>James Robinson</t>
  </si>
  <si>
    <t>RB87</t>
  </si>
  <si>
    <t>DST22</t>
  </si>
  <si>
    <t>DST23</t>
  </si>
  <si>
    <t>WR125</t>
  </si>
  <si>
    <t>Myles Gaskin</t>
  </si>
  <si>
    <t>RB88</t>
  </si>
  <si>
    <t>Laviska Shenault Jr.</t>
  </si>
  <si>
    <t>WR126</t>
  </si>
  <si>
    <t>WR127</t>
  </si>
  <si>
    <t>QB40</t>
  </si>
  <si>
    <t>RB89</t>
  </si>
  <si>
    <t>DST24</t>
  </si>
  <si>
    <t>RB90</t>
  </si>
  <si>
    <t>DST25</t>
  </si>
  <si>
    <t>RB91</t>
  </si>
  <si>
    <t>WR128</t>
  </si>
  <si>
    <t>Colt McCoy</t>
  </si>
  <si>
    <t>QB41</t>
  </si>
  <si>
    <t>RB92</t>
  </si>
  <si>
    <t>TE47</t>
  </si>
  <si>
    <t>DST26</t>
  </si>
  <si>
    <t>DST27</t>
  </si>
  <si>
    <t>TE48</t>
  </si>
  <si>
    <t>TE49</t>
  </si>
  <si>
    <t>DST28</t>
  </si>
  <si>
    <t>WR129</t>
  </si>
  <si>
    <t>DST29</t>
  </si>
  <si>
    <t>Deneric Prince</t>
  </si>
  <si>
    <t>RB93</t>
  </si>
  <si>
    <t>QB42</t>
  </si>
  <si>
    <t>WR130</t>
  </si>
  <si>
    <t>C.J. Uzomah</t>
  </si>
  <si>
    <t>TE50</t>
  </si>
  <si>
    <t>Tom Brady</t>
  </si>
  <si>
    <t>QB43</t>
  </si>
  <si>
    <t>QB44</t>
  </si>
  <si>
    <t>DST30</t>
  </si>
  <si>
    <t>Dorian Thompson-Robinson</t>
  </si>
  <si>
    <t>QB45</t>
  </si>
  <si>
    <t>RB94</t>
  </si>
  <si>
    <t>WR131</t>
  </si>
  <si>
    <t>QB46</t>
  </si>
  <si>
    <t>Treylon Burks</t>
  </si>
  <si>
    <t>Jakobi MeyersJAC</t>
  </si>
  <si>
    <t>Mecole Hardman Jr.</t>
  </si>
  <si>
    <t>Quez Watkins</t>
  </si>
  <si>
    <t>Evan Hull</t>
  </si>
  <si>
    <t>Terrace Marshall Jr.</t>
  </si>
  <si>
    <t>Cole Turner</t>
  </si>
  <si>
    <t>Jelani Woods</t>
  </si>
  <si>
    <t>Trey Lance</t>
  </si>
  <si>
    <t>Trent Sherfield Sr.</t>
  </si>
  <si>
    <t>Albert Okwuegbunam Jr.</t>
  </si>
  <si>
    <t>Kyle Trask</t>
  </si>
  <si>
    <t>Eric Gray</t>
  </si>
  <si>
    <t>Israel Abanikanda</t>
  </si>
  <si>
    <t>Devin Duvernay</t>
  </si>
  <si>
    <t>Chris Rodriguez Jr.JAC</t>
  </si>
  <si>
    <t>Robert Tonyan</t>
  </si>
  <si>
    <t>Clayton Tu</t>
  </si>
  <si>
    <t>Tyler Scott</t>
  </si>
  <si>
    <t>Adp</t>
  </si>
  <si>
    <t>Finish POS</t>
  </si>
  <si>
    <t>Pos Finish</t>
  </si>
  <si>
    <t>Average draft position according to fantasy pros</t>
  </si>
  <si>
    <t>Ending Rank</t>
  </si>
  <si>
    <t>ADP</t>
  </si>
  <si>
    <t>Ja'Lynn Polk</t>
  </si>
  <si>
    <t>Jermaine Burton</t>
  </si>
  <si>
    <t>Roman Wilson</t>
  </si>
  <si>
    <t>Javon Baker</t>
  </si>
  <si>
    <t>Brenden Rice</t>
  </si>
  <si>
    <t>Taulia Tagovailoa</t>
  </si>
  <si>
    <t>Kenny McIntosh</t>
  </si>
  <si>
    <t>WR132</t>
  </si>
  <si>
    <t>WR133</t>
  </si>
  <si>
    <t>WR134</t>
  </si>
  <si>
    <t>WR135</t>
  </si>
  <si>
    <t>WR136</t>
  </si>
  <si>
    <t>WR137</t>
  </si>
  <si>
    <t>RB95</t>
  </si>
  <si>
    <t>RB96</t>
  </si>
  <si>
    <t>RB97</t>
  </si>
  <si>
    <t>WR138</t>
  </si>
  <si>
    <t>WR139</t>
  </si>
  <si>
    <t>TE51</t>
  </si>
  <si>
    <t>WR140</t>
  </si>
  <si>
    <t>RB98</t>
  </si>
  <si>
    <t>WR141</t>
  </si>
  <si>
    <t>RB99</t>
  </si>
  <si>
    <t>WR142</t>
  </si>
  <si>
    <t>TE52</t>
  </si>
  <si>
    <t>DST31</t>
  </si>
  <si>
    <t>TE53</t>
  </si>
  <si>
    <t>WR143</t>
  </si>
  <si>
    <t>TE54</t>
  </si>
  <si>
    <t>TE55</t>
  </si>
  <si>
    <t>WR144</t>
  </si>
  <si>
    <t>RB100</t>
  </si>
  <si>
    <t>P.J. Walker</t>
  </si>
  <si>
    <t>QB47</t>
  </si>
  <si>
    <t>Daurice Fountain</t>
  </si>
  <si>
    <t>WR145</t>
  </si>
  <si>
    <t>RB101</t>
  </si>
  <si>
    <t>TE56</t>
  </si>
  <si>
    <t>TE57</t>
  </si>
  <si>
    <t>WR146</t>
  </si>
  <si>
    <t>RB102</t>
  </si>
  <si>
    <t>RB103</t>
  </si>
  <si>
    <t>TE58</t>
  </si>
  <si>
    <t>WR147</t>
  </si>
  <si>
    <t>RB104</t>
  </si>
  <si>
    <t>TE59</t>
  </si>
  <si>
    <t>QB48</t>
  </si>
  <si>
    <t>WR148</t>
  </si>
  <si>
    <t>QB49</t>
  </si>
  <si>
    <t>RB105</t>
  </si>
  <si>
    <t>WR149</t>
  </si>
  <si>
    <t>TE60</t>
  </si>
  <si>
    <t>TE61</t>
  </si>
  <si>
    <t>WR150</t>
  </si>
  <si>
    <t>Chris Conley</t>
  </si>
  <si>
    <t>WR151</t>
  </si>
  <si>
    <t>RB106</t>
  </si>
  <si>
    <t>QB50</t>
  </si>
  <si>
    <t>TE62</t>
  </si>
  <si>
    <t>QB51</t>
  </si>
  <si>
    <t>QB52</t>
  </si>
  <si>
    <t>TE63</t>
  </si>
  <si>
    <t>QB53</t>
  </si>
  <si>
    <t>WR152</t>
  </si>
  <si>
    <t>RB107</t>
  </si>
  <si>
    <t>Jordan Matthews</t>
  </si>
  <si>
    <t>TE64</t>
  </si>
  <si>
    <t>TE65</t>
  </si>
  <si>
    <t>TE66</t>
  </si>
  <si>
    <t>TE67</t>
  </si>
  <si>
    <t>WR153</t>
  </si>
  <si>
    <t>QB54</t>
  </si>
  <si>
    <t>WR154</t>
  </si>
  <si>
    <t>WR155</t>
  </si>
  <si>
    <t>TE68</t>
  </si>
  <si>
    <t>RB108</t>
  </si>
  <si>
    <t>WR156</t>
  </si>
  <si>
    <t>WR157</t>
  </si>
  <si>
    <t>RB109</t>
  </si>
  <si>
    <t>TE69</t>
  </si>
  <si>
    <t>Dallin Holker</t>
  </si>
  <si>
    <t>TE70</t>
  </si>
  <si>
    <t>WR158</t>
  </si>
  <si>
    <t>Peyton Hendershot</t>
  </si>
  <si>
    <t>TE71</t>
  </si>
  <si>
    <t>TE72</t>
  </si>
  <si>
    <t>WR159</t>
  </si>
  <si>
    <t>WR160</t>
  </si>
  <si>
    <t>TE73</t>
  </si>
  <si>
    <t>WR161</t>
  </si>
  <si>
    <t>TE74</t>
  </si>
  <si>
    <t>Blake Watson</t>
  </si>
  <si>
    <t>RB110</t>
  </si>
  <si>
    <t>Malik Heath</t>
  </si>
  <si>
    <t>WR162</t>
  </si>
  <si>
    <t>WR163</t>
  </si>
  <si>
    <t>TE75</t>
  </si>
  <si>
    <t>Jordan Mims</t>
  </si>
  <si>
    <t>RB111</t>
  </si>
  <si>
    <t>WR164</t>
  </si>
  <si>
    <t>QB55</t>
  </si>
  <si>
    <t>QB56</t>
  </si>
  <si>
    <t>QB57</t>
  </si>
  <si>
    <t>QB58</t>
  </si>
  <si>
    <t>TE76</t>
  </si>
  <si>
    <t>WR165</t>
  </si>
  <si>
    <t>RB112</t>
  </si>
  <si>
    <t>RB113</t>
  </si>
  <si>
    <t>Keilan Robinson</t>
  </si>
  <si>
    <t>RB114</t>
  </si>
  <si>
    <t>QB59</t>
  </si>
  <si>
    <t>RB115</t>
  </si>
  <si>
    <t>QB60</t>
  </si>
  <si>
    <t>WR166</t>
  </si>
  <si>
    <t>Tyreik McAllister</t>
  </si>
  <si>
    <t>RB116</t>
  </si>
  <si>
    <t>WR167</t>
  </si>
  <si>
    <t>Nick Foles</t>
  </si>
  <si>
    <t>QB61</t>
  </si>
  <si>
    <t>Marquise Goodwin</t>
  </si>
  <si>
    <t>WR168</t>
  </si>
  <si>
    <t>Jakob Johnson</t>
  </si>
  <si>
    <t>RB117</t>
  </si>
  <si>
    <t>TE77</t>
  </si>
  <si>
    <t>WR169</t>
  </si>
  <si>
    <t>KJ Hamler</t>
  </si>
  <si>
    <t>WR170</t>
  </si>
  <si>
    <t>QB62</t>
  </si>
  <si>
    <t>WR171</t>
  </si>
  <si>
    <t>Trishton Jackson</t>
  </si>
  <si>
    <t>WR172</t>
  </si>
  <si>
    <t>WR173</t>
  </si>
  <si>
    <t>WR174</t>
  </si>
  <si>
    <t>TE78</t>
  </si>
  <si>
    <t>TE79</t>
  </si>
  <si>
    <t>RB118</t>
  </si>
  <si>
    <t>RB119</t>
  </si>
  <si>
    <t>POS Rank</t>
  </si>
  <si>
    <t>Jonathon Brooks</t>
  </si>
  <si>
    <t>MarShawn Lloyd</t>
  </si>
  <si>
    <t>Ben Sinnott</t>
  </si>
  <si>
    <t>Malachi Corley</t>
  </si>
  <si>
    <t>Carson Steele</t>
  </si>
  <si>
    <t>Dylan Laube</t>
  </si>
  <si>
    <t>Devontez Walker</t>
  </si>
  <si>
    <t>Parker WashingtonJAC</t>
  </si>
  <si>
    <t>Jacob Cowing</t>
  </si>
  <si>
    <t>Sione Vaki</t>
  </si>
  <si>
    <t>Johnny Wilson</t>
  </si>
  <si>
    <t>Julius Chestnut</t>
  </si>
  <si>
    <t>Velus Jones Jr.</t>
  </si>
  <si>
    <t>Jamari Thrash</t>
  </si>
  <si>
    <t>Cade Stover</t>
  </si>
  <si>
    <t>Jalen Brooks</t>
  </si>
  <si>
    <t>Erick All Jr.</t>
  </si>
  <si>
    <t>Tanner McLachlan</t>
  </si>
  <si>
    <t>Jared Wiley</t>
  </si>
  <si>
    <t>Will Mallory</t>
  </si>
  <si>
    <t>Casey Washington</t>
  </si>
  <si>
    <t>Mo Alie-Cox</t>
  </si>
  <si>
    <t>Lucas Krull</t>
  </si>
  <si>
    <t>Ian Thomas</t>
  </si>
  <si>
    <t>Johnny Mundt</t>
  </si>
  <si>
    <t>Jaheim Bell</t>
  </si>
  <si>
    <t>Brock Wright</t>
  </si>
  <si>
    <t>Bub Means</t>
  </si>
  <si>
    <t>Brenton StrangeJAC</t>
  </si>
  <si>
    <t>Ronnie Bell</t>
  </si>
  <si>
    <t>Ronnie Rivers</t>
  </si>
  <si>
    <t>Pharaoh Brown</t>
  </si>
  <si>
    <t>Charlie Woerner</t>
  </si>
  <si>
    <t>La'Mical Peri</t>
  </si>
  <si>
    <t>Nick MullensJAC</t>
  </si>
  <si>
    <t>Hendon Hooker</t>
  </si>
  <si>
    <t>Mason Tipton</t>
  </si>
  <si>
    <t>Tim JonesJAC</t>
  </si>
  <si>
    <t>Skylar Thompson</t>
  </si>
  <si>
    <t>Connor Heyward</t>
  </si>
  <si>
    <t>Tylan Wallace</t>
  </si>
  <si>
    <t>Cody Schrader</t>
  </si>
  <si>
    <t>Xavier Weaver</t>
  </si>
  <si>
    <t>Julian Hill</t>
  </si>
  <si>
    <t>Simi Fehoko</t>
  </si>
  <si>
    <t>Terique Owens</t>
  </si>
  <si>
    <t>Teddy Bridgewater</t>
  </si>
  <si>
    <t>DST32</t>
  </si>
  <si>
    <t>RB120</t>
  </si>
  <si>
    <t>RB121</t>
  </si>
  <si>
    <t>RB122</t>
  </si>
  <si>
    <t>Caleb Huntley</t>
  </si>
  <si>
    <t>RB123</t>
  </si>
  <si>
    <t>QB63</t>
  </si>
  <si>
    <t>RB124</t>
  </si>
  <si>
    <t>QB64</t>
  </si>
  <si>
    <t>John Wolford</t>
  </si>
  <si>
    <t>QB65</t>
  </si>
  <si>
    <t>QB66</t>
  </si>
  <si>
    <t>Beaux Collins</t>
  </si>
  <si>
    <t>WR175</t>
  </si>
  <si>
    <t>WR176</t>
  </si>
  <si>
    <t>Ja'Corey Brooks</t>
  </si>
  <si>
    <t>WR177</t>
  </si>
  <si>
    <t>QB67</t>
  </si>
  <si>
    <t>RB125</t>
  </si>
  <si>
    <t>QB68</t>
  </si>
  <si>
    <t>DeAndre Carter</t>
  </si>
  <si>
    <t>WR178</t>
  </si>
  <si>
    <t>WR179</t>
  </si>
  <si>
    <t>Russell Gage Jr.</t>
  </si>
  <si>
    <t>WR180</t>
  </si>
  <si>
    <t>QB69</t>
  </si>
  <si>
    <t>Stephen Anderson</t>
  </si>
  <si>
    <t>QB70</t>
  </si>
  <si>
    <t>Montrell Washington</t>
  </si>
  <si>
    <t>WR181</t>
  </si>
  <si>
    <t>Tommy Mellott</t>
  </si>
  <si>
    <t>WR182</t>
  </si>
  <si>
    <t>RB126</t>
  </si>
  <si>
    <t>QB71</t>
  </si>
  <si>
    <t>WR183</t>
  </si>
  <si>
    <t>QB72</t>
  </si>
  <si>
    <t>Shi Smith</t>
  </si>
  <si>
    <t>WR184</t>
  </si>
  <si>
    <t>WR185</t>
  </si>
  <si>
    <t>Daylen Baldwin</t>
  </si>
  <si>
    <t>WR186</t>
  </si>
  <si>
    <t>Curtis Hodges</t>
  </si>
  <si>
    <t>QB73</t>
  </si>
  <si>
    <t>QB74</t>
  </si>
  <si>
    <t>QB75</t>
  </si>
  <si>
    <t>WR187</t>
  </si>
  <si>
    <t>WR188</t>
  </si>
  <si>
    <t>WR189</t>
  </si>
  <si>
    <t>RB127</t>
  </si>
  <si>
    <t>RB128</t>
  </si>
  <si>
    <t>Tucker Fisk</t>
  </si>
  <si>
    <t>RB129</t>
  </si>
  <si>
    <t>TE80</t>
  </si>
  <si>
    <t>TE81</t>
  </si>
  <si>
    <t>QB76</t>
  </si>
  <si>
    <t>WR190</t>
  </si>
  <si>
    <t>WR191</t>
  </si>
  <si>
    <t>Dee Eskridge</t>
  </si>
  <si>
    <t>WR192</t>
  </si>
  <si>
    <t>QB77</t>
  </si>
  <si>
    <t>T.J. Luther</t>
  </si>
  <si>
    <t>WR193</t>
  </si>
  <si>
    <t>RB130</t>
  </si>
  <si>
    <t>RB131</t>
  </si>
  <si>
    <t>Jalen Berger</t>
  </si>
  <si>
    <t>RB132</t>
  </si>
  <si>
    <t>TE82</t>
  </si>
  <si>
    <t>Ronald Jones II</t>
  </si>
  <si>
    <t>RB133</t>
  </si>
  <si>
    <t>RB134</t>
  </si>
  <si>
    <t>WR194</t>
  </si>
  <si>
    <t>QB78</t>
  </si>
  <si>
    <t>QB79</t>
  </si>
  <si>
    <t>RB135</t>
  </si>
  <si>
    <t>RB136</t>
  </si>
  <si>
    <t>RB137</t>
  </si>
  <si>
    <t>Tre'Quan Smith</t>
  </si>
  <si>
    <t>WR195</t>
  </si>
  <si>
    <t>TE83</t>
  </si>
  <si>
    <t>WR196</t>
  </si>
  <si>
    <t>WR197</t>
  </si>
  <si>
    <t>WR198</t>
  </si>
  <si>
    <t>WR199</t>
  </si>
  <si>
    <t>WR200</t>
  </si>
  <si>
    <t>Ainias Smith</t>
  </si>
  <si>
    <t>WR201</t>
  </si>
  <si>
    <t>Elijhah Badger</t>
  </si>
  <si>
    <t>WR202</t>
  </si>
  <si>
    <t>RB138</t>
  </si>
  <si>
    <t>Tyler Van Dyke</t>
  </si>
  <si>
    <t>QB80</t>
  </si>
  <si>
    <t>Kimani Vi</t>
  </si>
  <si>
    <t>Samaje Peri</t>
  </si>
  <si>
    <t>Kendrick Bour</t>
  </si>
  <si>
    <t>Nick Westbrook-Ikhi</t>
  </si>
  <si>
    <t>Travis HunterJAC</t>
  </si>
  <si>
    <t>Kaleb Johnson</t>
  </si>
  <si>
    <t>Dont'e Thornton Jr.</t>
  </si>
  <si>
    <t>Tahj Brooks</t>
  </si>
  <si>
    <t>Elijah Arroyo</t>
  </si>
  <si>
    <t>Jaylin Noel</t>
  </si>
  <si>
    <t>Jarquez Hunter</t>
  </si>
  <si>
    <t>Efton Chism III</t>
  </si>
  <si>
    <t>Jalen Royals</t>
  </si>
  <si>
    <t>KeAndre Lambert-Smith</t>
  </si>
  <si>
    <t>Jalen Milroe</t>
  </si>
  <si>
    <t>Terrance Ferguson</t>
  </si>
  <si>
    <t>Mitch Tinsley</t>
  </si>
  <si>
    <t>Jimmy Horn Jr.</t>
  </si>
  <si>
    <t>Xavier Restrepo</t>
  </si>
  <si>
    <t>Arian Smith</t>
  </si>
  <si>
    <t>Jordan James</t>
  </si>
  <si>
    <t>Kalel Mullings</t>
  </si>
  <si>
    <t>LaJohntay Wester</t>
  </si>
  <si>
    <t>Joe Milton III</t>
  </si>
  <si>
    <t>Savion Williams</t>
  </si>
  <si>
    <t>Tai Felton</t>
  </si>
  <si>
    <t>Scotty Miller</t>
  </si>
  <si>
    <t>Tanner McKee</t>
  </si>
  <si>
    <t>Donovan Edwards</t>
  </si>
  <si>
    <t>Kyle Allen</t>
  </si>
  <si>
    <t>Frank Gore Jr.</t>
  </si>
  <si>
    <t>Damien Martinez</t>
  </si>
  <si>
    <t>Quinn Ewers</t>
  </si>
  <si>
    <t>Jarrett Stidham</t>
  </si>
  <si>
    <t>Lucky Jackson</t>
  </si>
  <si>
    <t>Jordan Watkins</t>
  </si>
  <si>
    <t>Charlie Jones</t>
  </si>
  <si>
    <t>Ameer AbdullahJAC</t>
  </si>
  <si>
    <t>Payne Durham</t>
  </si>
  <si>
    <t>Stone Smartt</t>
  </si>
  <si>
    <t>Brady Cook</t>
  </si>
  <si>
    <t>Nick Nash</t>
  </si>
  <si>
    <t>Devin Culp</t>
  </si>
  <si>
    <t>Stetson Bennett IV</t>
  </si>
  <si>
    <t>Konata Mumpfield</t>
  </si>
  <si>
    <t>Drew Sample</t>
  </si>
  <si>
    <t>Thomas Fidone II</t>
  </si>
  <si>
    <t>Max Brosmer</t>
  </si>
  <si>
    <t>Luke Farrell</t>
  </si>
  <si>
    <t>Ben Skowronek</t>
  </si>
  <si>
    <t>Will Howard</t>
  </si>
  <si>
    <t>Dayton Wade</t>
  </si>
  <si>
    <t>Jackson Meeks</t>
  </si>
  <si>
    <t>Ashton Dulin</t>
  </si>
  <si>
    <t>KhaDarel Hodge</t>
  </si>
  <si>
    <t>Patrick Ricard</t>
  </si>
  <si>
    <t>Charlie Kolar</t>
  </si>
  <si>
    <t>Jackson Hawes</t>
  </si>
  <si>
    <t>Riley Leonard</t>
  </si>
  <si>
    <t>Jack Stoll</t>
  </si>
  <si>
    <t>Dominic Lovett</t>
  </si>
  <si>
    <t>Feleipe Franks</t>
  </si>
  <si>
    <t>Tahj Washington</t>
  </si>
  <si>
    <t>John Bates</t>
  </si>
  <si>
    <t>Mitchell Trubisky</t>
  </si>
  <si>
    <t>Chris Manhertz</t>
  </si>
  <si>
    <t>Jason Brownlee</t>
  </si>
  <si>
    <t>Jeremy Ruckert</t>
  </si>
  <si>
    <t>Nathan Carter</t>
  </si>
  <si>
    <t>Ian Wheeler</t>
  </si>
  <si>
    <t>Ben Yurosek</t>
  </si>
  <si>
    <t>Brycen Tremayne</t>
  </si>
  <si>
    <t>DE</t>
  </si>
  <si>
    <t>Mohamed Ibrahim</t>
  </si>
  <si>
    <t>Rakim Jarrett</t>
  </si>
  <si>
    <t>Rookie?</t>
  </si>
  <si>
    <t>Tyrion Davis-Price</t>
  </si>
  <si>
    <t>Snoop Conner</t>
  </si>
  <si>
    <t>Kyle Philips</t>
  </si>
  <si>
    <t>Trestan Ebner</t>
  </si>
  <si>
    <t>K1</t>
  </si>
  <si>
    <t>Jalen Wydermyer</t>
  </si>
  <si>
    <t>K2</t>
  </si>
  <si>
    <t>Joshua Cephus</t>
  </si>
  <si>
    <t>Joshua Karty</t>
  </si>
  <si>
    <t>K3</t>
  </si>
  <si>
    <t>Jase McClellan</t>
  </si>
  <si>
    <t>Jordan Travis</t>
  </si>
  <si>
    <t>Marcus Yarns</t>
  </si>
  <si>
    <t>Luke Lachey</t>
  </si>
  <si>
    <t>Montrell Johnson Jr.</t>
  </si>
  <si>
    <t>Daniel Jackson</t>
  </si>
  <si>
    <t>Kobe Hudson</t>
  </si>
  <si>
    <t>Xzavier Henderson</t>
  </si>
  <si>
    <t>Bru McCoy</t>
  </si>
  <si>
    <t>Micah Bernard</t>
  </si>
  <si>
    <t>Jerjuan Newton</t>
  </si>
  <si>
    <t>Giles Jackson</t>
  </si>
  <si>
    <t>Jacolby George</t>
  </si>
  <si>
    <t>Jalin Conyers</t>
  </si>
  <si>
    <t>Dymere Miller</t>
  </si>
  <si>
    <t>ShunDerrick Powell</t>
  </si>
  <si>
    <t>Phil Lutz</t>
  </si>
  <si>
    <t>Tristan Michaud</t>
  </si>
  <si>
    <t>Taylor Elgersma</t>
  </si>
  <si>
    <t>Seth Henigan</t>
  </si>
  <si>
    <t>Donovan Smith</t>
  </si>
  <si>
    <t>OL</t>
  </si>
  <si>
    <t>Nay'Quan Wright</t>
  </si>
  <si>
    <t>Joey Hobert</t>
  </si>
  <si>
    <t>Benjamin Yurosek</t>
  </si>
  <si>
    <t>Brant Kuithe</t>
  </si>
  <si>
    <t>Danny Gray</t>
  </si>
  <si>
    <t>Erik Ezukanma</t>
  </si>
  <si>
    <t>Lance McCutcheon</t>
  </si>
  <si>
    <t>Cade York</t>
  </si>
  <si>
    <t>Will Reichard</t>
  </si>
  <si>
    <t>Cornelius Johnson</t>
  </si>
  <si>
    <t>Tyler Loop</t>
  </si>
  <si>
    <t>Ricky White III</t>
  </si>
  <si>
    <t>Kyle McCord</t>
  </si>
  <si>
    <t>Kaden Prather</t>
  </si>
  <si>
    <t>Mitchell Evans</t>
  </si>
  <si>
    <t>Juice Wells Jr.</t>
  </si>
  <si>
    <t>Traeshon Holden</t>
  </si>
  <si>
    <t>Bryson Nesbit</t>
  </si>
  <si>
    <t>Andrew Armstrong</t>
  </si>
  <si>
    <t>Da'Quan Felton</t>
  </si>
  <si>
    <t>Ja'Quinden Jackson</t>
  </si>
  <si>
    <t>Mac Dalena</t>
  </si>
  <si>
    <t>Josh Kelly</t>
  </si>
  <si>
    <t>Jamaal Pritchett</t>
  </si>
  <si>
    <t>Jakobie Keeney-James</t>
  </si>
  <si>
    <t>Jaden Smith</t>
  </si>
  <si>
    <t>Coleman Owen</t>
  </si>
  <si>
    <t>Isaiah Neyor</t>
  </si>
  <si>
    <t>CJ Dippre</t>
  </si>
  <si>
    <t>Moliki Matavao</t>
  </si>
  <si>
    <t>Rivaldo Fairweather</t>
  </si>
  <si>
    <t>Ulysses Bentley IV</t>
  </si>
  <si>
    <t>Jake Briningstool</t>
  </si>
  <si>
    <t>Caden Prieskorn</t>
  </si>
  <si>
    <t>Gavin Bartholomew</t>
  </si>
  <si>
    <t>Theo Wease Jr.</t>
  </si>
  <si>
    <t>Quentin Skinner</t>
  </si>
  <si>
    <t>Roc Taylor</t>
  </si>
  <si>
    <t>Will Sheppard</t>
  </si>
  <si>
    <t>Joshua Simon</t>
  </si>
  <si>
    <t>Montorie Foster Jr.</t>
  </si>
  <si>
    <t>Robbie Ouzts</t>
  </si>
  <si>
    <t>Graham Mertz</t>
  </si>
  <si>
    <t>Garrett Greene</t>
  </si>
  <si>
    <t>Brock Lampe</t>
  </si>
  <si>
    <t>Tre Stewart</t>
  </si>
  <si>
    <t>Nick Kallerup</t>
  </si>
  <si>
    <t>Carter Runyon</t>
  </si>
  <si>
    <t>Kurtis Rourke</t>
  </si>
  <si>
    <t>Josh Williams</t>
  </si>
  <si>
    <t>Silas Bol</t>
  </si>
  <si>
    <t>Cam Little</t>
  </si>
  <si>
    <t>Isaiah McKenzie</t>
  </si>
  <si>
    <t>Corey Davis</t>
  </si>
  <si>
    <t>Dante Pettis</t>
  </si>
  <si>
    <t>Equanimeous St. Brown</t>
  </si>
  <si>
    <t>A.J. Green</t>
  </si>
  <si>
    <t>Jarvis Landry</t>
  </si>
  <si>
    <t>Kendall Hinton</t>
  </si>
  <si>
    <t>Robbie Chosen</t>
  </si>
  <si>
    <t>Damiere Byrd</t>
  </si>
  <si>
    <t>Sammy Watkins</t>
  </si>
  <si>
    <t>Amari Rodgers</t>
  </si>
  <si>
    <t>Marquez Callaway</t>
  </si>
  <si>
    <t>Zach Pascal</t>
  </si>
  <si>
    <t>Byron Pringle</t>
  </si>
  <si>
    <t>Harrison Bryant</t>
  </si>
  <si>
    <t>MyCole Pruitt</t>
  </si>
  <si>
    <t>Kenyan Drake</t>
  </si>
  <si>
    <t>Eno Benjamin</t>
  </si>
  <si>
    <t>Nyheim Miller-Hines</t>
  </si>
  <si>
    <t>Dontrell Hilliard</t>
  </si>
  <si>
    <t>Rex Burkhead</t>
  </si>
  <si>
    <t>J.D. McKissic</t>
  </si>
  <si>
    <t>Justin Jackson</t>
  </si>
  <si>
    <t>DeeJay Dallas</t>
  </si>
  <si>
    <t>Boston Scott</t>
  </si>
  <si>
    <t>Matt Ryan</t>
  </si>
  <si>
    <t>Kenny Golladay</t>
  </si>
  <si>
    <t>Darrel Williams</t>
  </si>
  <si>
    <t>Mike Davis</t>
  </si>
  <si>
    <t>Cameron Brate</t>
  </si>
  <si>
    <t>Jamison Crowder</t>
  </si>
  <si>
    <t>Sony Michel</t>
  </si>
  <si>
    <t>Marlon Mack</t>
  </si>
  <si>
    <t>Damien Williams</t>
  </si>
  <si>
    <t>Kyle Rudolph</t>
  </si>
  <si>
    <t>Bryan Edwards</t>
  </si>
  <si>
    <t>Jalen Guyton</t>
  </si>
  <si>
    <t>Ke'Shawn Vaughn</t>
  </si>
  <si>
    <t>O.J. Howard</t>
  </si>
  <si>
    <t>Andy Isabella</t>
  </si>
  <si>
    <t>James Washington</t>
  </si>
  <si>
    <t>Jared Cook</t>
  </si>
  <si>
    <t>Josh Gordon</t>
  </si>
  <si>
    <t>Tyron Billy-Johnson</t>
  </si>
  <si>
    <t>Rashard Higgins</t>
  </si>
  <si>
    <t>Brandon Bolden</t>
  </si>
  <si>
    <t>Antonio Brown</t>
  </si>
  <si>
    <t>Dan Arnold</t>
  </si>
  <si>
    <t>Chase Allen</t>
  </si>
  <si>
    <t>LB</t>
  </si>
  <si>
    <t>Cole Beasley</t>
  </si>
  <si>
    <t>Jonathan Williams</t>
  </si>
  <si>
    <t>Giovani Bernard</t>
  </si>
  <si>
    <t>Marken Michel</t>
  </si>
  <si>
    <t>Tajae Sharpe</t>
  </si>
  <si>
    <t>Benny LeMay</t>
  </si>
  <si>
    <t>N'Keal Harry</t>
  </si>
  <si>
    <t>Alex Collins</t>
  </si>
  <si>
    <t>Taiwan Jones</t>
  </si>
  <si>
    <t>Mataeo Durant</t>
  </si>
  <si>
    <t>Emmanuel Sanders</t>
  </si>
  <si>
    <t>Tommy Sweeney</t>
  </si>
  <si>
    <t>Dez Fitzpatrick</t>
  </si>
  <si>
    <t>Tyler Davis</t>
  </si>
  <si>
    <t>Brycen Hopkins</t>
  </si>
  <si>
    <t>Tony Romo</t>
  </si>
  <si>
    <t>Carlos Hyde</t>
  </si>
  <si>
    <t>Mike Boone</t>
  </si>
  <si>
    <t>Anthony Firkser</t>
  </si>
  <si>
    <t>Abram Smith</t>
  </si>
  <si>
    <t>Eric Ebron</t>
  </si>
  <si>
    <t>Phillip Lindsay</t>
  </si>
  <si>
    <t>T.Y. Hilton</t>
  </si>
  <si>
    <t>Marcedes Lewis</t>
  </si>
  <si>
    <t>Jaelon Darden</t>
  </si>
  <si>
    <t>Chad Henne</t>
  </si>
  <si>
    <t>Antonio Williams</t>
  </si>
  <si>
    <t>Maxx Williams</t>
  </si>
  <si>
    <t>Michael Strachan</t>
  </si>
  <si>
    <t>Jalen Virgil</t>
  </si>
  <si>
    <t>Jared Bernhardt</t>
  </si>
  <si>
    <t>Thaddeus Moss</t>
  </si>
  <si>
    <t>Greg Ward</t>
  </si>
  <si>
    <t>Quintez Cephus</t>
  </si>
  <si>
    <t>Keke Coutee</t>
  </si>
  <si>
    <t>Travis Fulgham</t>
  </si>
  <si>
    <t>Kylin Hill</t>
  </si>
  <si>
    <t>Isaiah Ford</t>
  </si>
  <si>
    <t>Tyler Kroft</t>
  </si>
  <si>
    <t>Anthony Schwartz</t>
  </si>
  <si>
    <t>Jeff Smith</t>
  </si>
  <si>
    <t>Blaine Gabbert</t>
  </si>
  <si>
    <t>Trent Taylor</t>
  </si>
  <si>
    <t>Diontae Spencer</t>
  </si>
  <si>
    <t>Devin Asiasi</t>
  </si>
  <si>
    <t>Tyrie Cleveland</t>
  </si>
  <si>
    <t>Jonathan Ward</t>
  </si>
  <si>
    <t>Ben Ellefson</t>
  </si>
  <si>
    <t>Logan Woodside</t>
  </si>
  <si>
    <t>Parker Hesse</t>
  </si>
  <si>
    <t>Warren Jackson</t>
  </si>
  <si>
    <t>Tim Tebow</t>
  </si>
  <si>
    <t>Antoine Wesley</t>
  </si>
  <si>
    <t>Chris Oladokun</t>
  </si>
  <si>
    <t>Josiah Deguara</t>
  </si>
  <si>
    <t>Sincere McCormick</t>
  </si>
  <si>
    <t>Dennis Houston</t>
  </si>
  <si>
    <t>Dareke Young</t>
  </si>
  <si>
    <t>Deebo Samuel</t>
  </si>
  <si>
    <t>Travis Etienne</t>
  </si>
  <si>
    <t>Patrick Mahomes</t>
  </si>
  <si>
    <t>Allen Robinson</t>
  </si>
  <si>
    <t>Chris Godwin</t>
  </si>
  <si>
    <t>Melvin Gordon</t>
  </si>
  <si>
    <t>Kenneth Walker</t>
  </si>
  <si>
    <t>Darrell Henderson</t>
  </si>
  <si>
    <t>Russell Gage</t>
  </si>
  <si>
    <t>Irv Smith</t>
  </si>
  <si>
    <t>DJ Chark</t>
  </si>
  <si>
    <t>Albert Okwuegbunam</t>
  </si>
  <si>
    <t>Marvin Jones</t>
  </si>
  <si>
    <t>Mark Ingram</t>
  </si>
  <si>
    <t>Jeff Wilson</t>
  </si>
  <si>
    <t>Laviska Shenault</t>
  </si>
  <si>
    <t>Ronald Jones</t>
  </si>
  <si>
    <t>William Fuller</t>
  </si>
  <si>
    <t>Buffalo Bills</t>
  </si>
  <si>
    <t>Dallas Cowboys</t>
  </si>
  <si>
    <t>Los Angeles Rams</t>
  </si>
  <si>
    <t>Cincinnati Bengals</t>
  </si>
  <si>
    <t>Tampa Bay Buccaneers</t>
  </si>
  <si>
    <t>Las Vegas Raiders</t>
  </si>
  <si>
    <t>Ty Montgomery</t>
  </si>
  <si>
    <t>Kansas City Chiefs</t>
  </si>
  <si>
    <t>Denver Broncos</t>
  </si>
  <si>
    <t>New Orleans Saints</t>
  </si>
  <si>
    <t>New England Patriots</t>
  </si>
  <si>
    <t>Pittsburgh Steelers</t>
  </si>
  <si>
    <t>Indianapolis Colts</t>
  </si>
  <si>
    <t>Los Angeles Chargers</t>
  </si>
  <si>
    <t>San Francisco 49ers</t>
  </si>
  <si>
    <t>Cleveland Browns</t>
  </si>
  <si>
    <t>Baltimore Ravens</t>
  </si>
  <si>
    <t>Miami Dolphins</t>
  </si>
  <si>
    <t>Jalen Reagor</t>
  </si>
  <si>
    <t>Green Bay Packers</t>
  </si>
  <si>
    <t>Donald Parham</t>
  </si>
  <si>
    <t>Philadelphia Eagles</t>
  </si>
  <si>
    <t>Minnesota Vikings</t>
  </si>
  <si>
    <t>Arizona Cardinals</t>
  </si>
  <si>
    <t>Tennessee Titans</t>
  </si>
  <si>
    <t>James Proche</t>
  </si>
  <si>
    <t>Chicago Bears</t>
  </si>
  <si>
    <t>Equanimeous St.</t>
  </si>
  <si>
    <t>Jody Fortson</t>
  </si>
  <si>
    <t>Atlanta Falcons</t>
  </si>
  <si>
    <t>Travis Homer</t>
  </si>
  <si>
    <t>Washington Commanders</t>
  </si>
  <si>
    <t>Carolina Panthers</t>
  </si>
  <si>
    <t>Pierre Strong</t>
  </si>
  <si>
    <t>Denzel Mims</t>
  </si>
  <si>
    <t>New York Giants</t>
  </si>
  <si>
    <t>Detroit Lions</t>
  </si>
  <si>
    <t>Benny Snell</t>
  </si>
  <si>
    <t>Gunner Olszewski</t>
  </si>
  <si>
    <t>New York Jets</t>
  </si>
  <si>
    <t>Jacksonville Jaguars</t>
  </si>
  <si>
    <t>Juwann Winfree</t>
  </si>
  <si>
    <t>Seattle Seahawks</t>
  </si>
  <si>
    <t>Houston Texans</t>
  </si>
  <si>
    <t>Willie Snead</t>
  </si>
  <si>
    <t>Anthony McFarland</t>
  </si>
  <si>
    <t>Keelan Cole</t>
  </si>
  <si>
    <t>Ihmir Smith-Marsette</t>
  </si>
  <si>
    <t>Demetric Felton</t>
  </si>
  <si>
    <t>Phillip Dorsett</t>
  </si>
  <si>
    <t>Robert Griffin</t>
  </si>
  <si>
    <t>Quintin Morris</t>
  </si>
  <si>
    <t>Tim Jones</t>
  </si>
  <si>
    <t>Case Keenum</t>
  </si>
  <si>
    <t>Chris Herndon</t>
  </si>
  <si>
    <t>Nick Vannett</t>
  </si>
  <si>
    <t>Tony Jones</t>
  </si>
  <si>
    <t>Todd Gurley</t>
  </si>
  <si>
    <t>Duke Johnson</t>
  </si>
  <si>
    <t>Stanley Morgan</t>
  </si>
  <si>
    <t>Jermar Jefferson</t>
  </si>
  <si>
    <t>Brandon Allen</t>
  </si>
  <si>
    <t>Steven Sims</t>
  </si>
  <si>
    <t>Nick Muse</t>
  </si>
  <si>
    <t>David Sills</t>
  </si>
  <si>
    <t>Samori Toure</t>
  </si>
  <si>
    <t>Michael Woods II</t>
  </si>
  <si>
    <t>Richie James</t>
  </si>
  <si>
    <t>Chi</t>
  </si>
  <si>
    <t>Trent Sherfield</t>
  </si>
  <si>
    <t>JAc</t>
  </si>
  <si>
    <t>16-25</t>
  </si>
  <si>
    <t>26-35</t>
  </si>
  <si>
    <t>36-50</t>
  </si>
  <si>
    <t>Top 2</t>
  </si>
  <si>
    <t>*3-5</t>
  </si>
  <si>
    <t>*6-10</t>
  </si>
  <si>
    <t>*11-15</t>
  </si>
  <si>
    <t>51-65</t>
  </si>
  <si>
    <t>n/a</t>
  </si>
  <si>
    <t>66-80</t>
  </si>
  <si>
    <t>Total Points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</si>
  <si>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</si>
  <si>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</si>
  <si>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</si>
  <si>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</si>
  <si>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</si>
  <si>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</si>
  <si>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</si>
  <si>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</si>
  <si>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</si>
  <si>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</si>
  <si>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</si>
  <si>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</si>
  <si>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</si>
  <si>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</si>
  <si>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</si>
  <si>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</si>
  <si>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</si>
  <si>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</si>
  <si>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No</t>
  </si>
  <si>
    <t>Details for Count of Round - Position: QB, Round: 1</t>
  </si>
  <si>
    <t>(R)</t>
  </si>
  <si>
    <t>Details for Count of Round - Position: RB, Round: 1</t>
  </si>
  <si>
    <t>Qb</t>
  </si>
  <si>
    <t>Noah Whittington</t>
  </si>
  <si>
    <t>TE84</t>
  </si>
  <si>
    <t>Zack Kuntz</t>
  </si>
  <si>
    <t>Emmanuel Henderson Jr.</t>
  </si>
  <si>
    <t>Jabari Small</t>
  </si>
  <si>
    <t>Noah Thomas</t>
  </si>
  <si>
    <t>Riley Nowakowski</t>
  </si>
  <si>
    <t>Nate Boerkircher</t>
  </si>
  <si>
    <t>Deion Burks</t>
  </si>
  <si>
    <t>Tanner Koziol</t>
  </si>
  <si>
    <t>Michael Trigg</t>
  </si>
  <si>
    <t>Taylen Green</t>
  </si>
  <si>
    <t>Jack Endries</t>
  </si>
  <si>
    <t>Jacob Saylors</t>
  </si>
  <si>
    <t>Marlin Klein</t>
  </si>
  <si>
    <t>Chris Brazzell II</t>
  </si>
  <si>
    <t>Ty Simpson</t>
  </si>
  <si>
    <t>Jordan Moore</t>
  </si>
  <si>
    <t>Jared Wayne</t>
  </si>
  <si>
    <t>Kaden Wetjen</t>
  </si>
  <si>
    <t>Jack Strand</t>
  </si>
  <si>
    <t>Treyton Welch</t>
  </si>
  <si>
    <t>Drew Allar</t>
  </si>
  <si>
    <t>Matt Hibner</t>
  </si>
  <si>
    <t>Lan Larison</t>
  </si>
  <si>
    <t>Barion Brown</t>
  </si>
  <si>
    <t>Max Klare</t>
  </si>
  <si>
    <t>Oscar Delp</t>
  </si>
  <si>
    <t>Eli Heidenreich</t>
  </si>
  <si>
    <t>Myles Price</t>
  </si>
  <si>
    <t>Jam Miller</t>
  </si>
  <si>
    <t>Justin Joly</t>
  </si>
  <si>
    <t>Kevin Coleman Jr.</t>
  </si>
  <si>
    <t>Haynes King</t>
  </si>
  <si>
    <t>CJ Daniels</t>
  </si>
  <si>
    <t>Sam Roush</t>
  </si>
  <si>
    <t>Cade Klubnik</t>
  </si>
  <si>
    <t>Colbie Young</t>
  </si>
  <si>
    <t>Robert Henry Jr.</t>
  </si>
  <si>
    <t>Jahdae Walker</t>
  </si>
  <si>
    <t>J'Mari Taylor</t>
  </si>
  <si>
    <t>Skyler Bell</t>
  </si>
  <si>
    <t>Bryce Lance</t>
  </si>
  <si>
    <t>Brenen Thompson</t>
  </si>
  <si>
    <t>Malik Benson</t>
  </si>
  <si>
    <t>Zavion Thomas</t>
  </si>
  <si>
    <t>Darius Cooper</t>
  </si>
  <si>
    <t>Elijah Sarratt</t>
  </si>
  <si>
    <t>Eli Raridon</t>
  </si>
  <si>
    <t>Adam Randall</t>
  </si>
  <si>
    <t>Seth McGowan</t>
  </si>
  <si>
    <t>Chris Bell</t>
  </si>
  <si>
    <t>Carson Beck</t>
  </si>
  <si>
    <t>Eli Stowers</t>
  </si>
  <si>
    <t>Caleb Douglas</t>
  </si>
  <si>
    <t>Germie Bernard</t>
  </si>
  <si>
    <t>Ted Hurst III</t>
  </si>
  <si>
    <t>Demond Claiborne</t>
  </si>
  <si>
    <t>Kaelon Black</t>
  </si>
  <si>
    <t>Malachi Fields</t>
  </si>
  <si>
    <t>Kaytron Allen</t>
  </si>
  <si>
    <t>Emmett Johnson</t>
  </si>
  <si>
    <t>Cyrus Allen</t>
  </si>
  <si>
    <t>Nicholas Singleton</t>
  </si>
  <si>
    <t>Ja'Kobi Lane</t>
  </si>
  <si>
    <t>Zachariah Branch</t>
  </si>
  <si>
    <t>Fernando Mendoza</t>
  </si>
  <si>
    <t>Mike Washington Jr.</t>
  </si>
  <si>
    <t>Kenyon Sadiq</t>
  </si>
  <si>
    <t>Omar Cooper Jr.</t>
  </si>
  <si>
    <t>Jonah Coleman</t>
  </si>
  <si>
    <t>Denzel Boston</t>
  </si>
  <si>
    <t>De'Zhaun Stribling</t>
  </si>
  <si>
    <t>KC Concepcion</t>
  </si>
  <si>
    <t>Makai Lemon</t>
  </si>
  <si>
    <t>Jordyn Tyson</t>
  </si>
  <si>
    <t>Carnell Tate</t>
  </si>
  <si>
    <t>Jadarian Price</t>
  </si>
  <si>
    <t>Jeremiyah Love</t>
  </si>
  <si>
    <t>Bye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</si>
</sst>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F6D37D-92A2-4B67-B26F-438AD5E3C1F1}" name="Table1" displayName="Table1" ref="A3:AN5" totalsRowShown="0">
  <autoFilter ref="A3:AN5" xr:uid="{6EF6D37D-92A2-4B67-B26F-438AD5E3C1F1}"/>
  <tableColumns count="40">
    <tableColumn id="1" xr3:uid="{EA7E48BC-07F0-4AFD-A257-03458E6BD836}" name="Year"/>
    <tableColumn id="2" xr3:uid="{575BD1B2-65B8-4FE0-9D9A-9D21B9179C6D}" name="Position"/>
    <tableColumn id="3" xr3:uid="{BE823B3B-88EF-46A6-BC09-211A842DA1C9}" name="Rookie?"/>
    <tableColumn id="4" xr3:uid="{2633345B-FE28-4383-9573-56C560491B1E}" name="RK"/>
    <tableColumn id="5" xr3:uid="{9148B2FB-5151-44BC-976A-EEE847D4F211}" name="Player"/>
    <tableColumn id="6" xr3:uid="{BAE83F79-A804-4A46-9326-8F5EC56BBE02}" name="Team"/>
    <tableColumn id="7" xr3:uid="{C1F4B5E1-665E-494A-94D7-7B4C7EFBE387}" name="ADP"/>
    <tableColumn id="8" xr3:uid="{4A0DDBFD-F047-4AFA-AB90-109E10BA96AC}" name="GP"/>
    <tableColumn id="9" xr3:uid="{5CA68021-8BCB-4926-BBD8-54F71799D061}" name="1"/>
    <tableColumn id="10" xr3:uid="{289F526F-FB36-49AD-BF0A-9C8AA02FDE3F}" name="2"/>
    <tableColumn id="11" xr3:uid="{161C9661-6A48-4175-904F-D9AA8877FD6C}" name="3"/>
    <tableColumn id="12" xr3:uid="{056A4A66-1FEC-4FDE-B933-87E8A271FC63}" name="4"/>
    <tableColumn id="13" xr3:uid="{80C84CA5-BF00-4367-AFC3-E2FB9FAAA003}" name="5"/>
    <tableColumn id="14" xr3:uid="{D25FA33E-73DE-4E84-817A-381FAEBF3D97}" name="6"/>
    <tableColumn id="15" xr3:uid="{119553D1-8C50-48B1-AB5D-D944EA832247}" name="7"/>
    <tableColumn id="16" xr3:uid="{AAC103B3-489A-47DA-815A-F34AE127D001}" name="8"/>
    <tableColumn id="17" xr3:uid="{B0D3598D-2A39-4E26-B5C3-7E2DDAE6B6A4}" name="9"/>
    <tableColumn id="18" xr3:uid="{B7623AC9-DAEC-45FB-9D9B-F74756EEC43B}" name="10"/>
    <tableColumn id="19" xr3:uid="{22CE794A-5A21-4332-BAC7-E4E41F99CDCF}" name="11"/>
    <tableColumn id="20" xr3:uid="{21E8BB37-39F8-40EE-BE27-4DFC9835B8B2}" name="12"/>
    <tableColumn id="21" xr3:uid="{225437A6-91CD-4421-90AD-E415813341F9}" name="13"/>
    <tableColumn id="22" xr3:uid="{BC99E99D-9003-42B8-BAED-3E6DB2A1CB81}" name="14"/>
    <tableColumn id="23" xr3:uid="{EE1FFC7A-5A5D-430F-A0FD-D563B8A5F318}" name="15"/>
    <tableColumn id="24" xr3:uid="{0FC1676B-4240-4F08-B523-500AF497F05D}" name="16"/>
    <tableColumn id="25" xr3:uid="{527726FB-C6ED-45B8-8B62-8AB332E25B6B}" name="17"/>
    <tableColumn id="26" xr3:uid="{A07D7526-5353-47E9-9CEB-7B203B70D2F2}" name="18"/>
    <tableColumn id="27" xr3:uid="{DE685C36-4FB7-43ED-B0DB-DC9D99A9FF13}" name="AVG"/>
    <tableColumn id="28" xr3:uid="{13517F19-D548-421D-901D-FCA6972751B1}" name="Total Points"/>
    <tableColumn id="29" xr3:uid="{0CF9088B-36C8-48AB-9124-7CC0ABE5ADE3}" name="TTL"/>
    <tableColumn id="30" xr3:uid="{FC6209D6-C33B-44D9-BDE8-1147F6318243}" name="Round"/>
    <tableColumn id="31" xr3:uid="{4995FA6B-A391-473F-B60C-FF28278B69E6}" name="Boom 10"/>
    <tableColumn id="32" xr3:uid="{B116C062-B96D-4A7D-9904-879A74875F4F}" name="Boom 15"/>
    <tableColumn id="33" xr3:uid="{AE916C6E-AB0B-4FD5-AB5A-9941087D6E9A}" name="Boom 20"/>
    <tableColumn id="34" xr3:uid="{8CB205C8-B7E2-43C2-9F52-04F5F8DB01B1}" name="Boom 25"/>
    <tableColumn id="35" xr3:uid="{668D4AC0-0BF7-4078-A9FC-2310A4464FF0}" name="Boom 30"/>
    <tableColumn id="36" xr3:uid="{9D1B817E-98DD-428D-B46A-7D69AE3CD740}" name="Boom 10%"/>
    <tableColumn id="37" xr3:uid="{2D30DD23-6DDF-4A3B-81C4-6CC3D8A2B039}" name="Boom 15%"/>
    <tableColumn id="38" xr3:uid="{AF5C3A49-82A3-4AE0-AA62-D6EC51867F45}" name="Boom 20%"/>
    <tableColumn id="39" xr3:uid="{B792651B-85D5-45AC-80DE-8A2463E94472}" name="Boom 25%"/>
    <tableColumn id="40" xr3:uid="{DC70B474-C7F6-461A-8A78-261FB2267402}" name="Boom 30%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0B8C1D6-6701-4CD7-8E42-87A99DB72292}" name="Table2" displayName="Table2" ref="A3:AN15" totalsRowShown="0">
  <autoFilter ref="A3:AN15" xr:uid="{F0B8C1D6-6701-4CD7-8E42-87A99DB72292}"/>
  <tableColumns count="40">
    <tableColumn id="1" xr3:uid="{35AB021B-8BFA-4894-BE82-EF8C69CD697C}" name="Year"/>
    <tableColumn id="2" xr3:uid="{16F80E25-D745-40E8-A82E-A76B5F38EC21}" name="Position"/>
    <tableColumn id="3" xr3:uid="{5EF68FF5-0EF0-4A2D-8660-0FFB77722886}" name="Rookie?"/>
    <tableColumn id="4" xr3:uid="{A7A71618-05E4-443C-B8BD-3397A964868E}" name="RK"/>
    <tableColumn id="5" xr3:uid="{EDEE31CB-BE7B-4369-86F6-F25009B59387}" name="Player"/>
    <tableColumn id="6" xr3:uid="{1B87BD30-DAD8-4EF2-A761-8143D80C13B1}" name="Team"/>
    <tableColumn id="7" xr3:uid="{2803DE03-3569-4894-9003-725BE2005669}" name="ADP"/>
    <tableColumn id="8" xr3:uid="{C6849D0F-6E36-4D55-BBD8-98D5AF26064F}" name="GP"/>
    <tableColumn id="9" xr3:uid="{AD1FA6DA-E5B1-4DEF-9046-3A965F3B28D3}" name="1"/>
    <tableColumn id="10" xr3:uid="{ED29159B-C104-4D8C-A989-8A0BA34AFA9C}" name="2"/>
    <tableColumn id="11" xr3:uid="{7CC8A7EE-0E7E-483B-8DCC-73A6BC90189D}" name="3"/>
    <tableColumn id="12" xr3:uid="{7A612F7B-1D0C-4FC8-8B4F-D893810B5B43}" name="4"/>
    <tableColumn id="13" xr3:uid="{3AA16C1C-60B8-4A74-A437-EF7CC0508E4D}" name="5"/>
    <tableColumn id="14" xr3:uid="{73DB48FE-0123-46C3-9572-AC0B4BCC6DCA}" name="6"/>
    <tableColumn id="15" xr3:uid="{FE02EA2D-3526-421D-BF88-FC0CA9704095}" name="7"/>
    <tableColumn id="16" xr3:uid="{1D269A2E-984B-4E62-AF84-D62AA0547E68}" name="8"/>
    <tableColumn id="17" xr3:uid="{482497B7-D59A-4F95-B471-0D89D815F3A3}" name="9"/>
    <tableColumn id="18" xr3:uid="{A1C72841-DA5B-4A38-BA4C-59AAA253211B}" name="10"/>
    <tableColumn id="19" xr3:uid="{205630A9-8934-4C20-B606-1DE3D173CAD7}" name="11"/>
    <tableColumn id="20" xr3:uid="{6EEC35A2-1652-4765-92D6-7FDB0005E864}" name="12"/>
    <tableColumn id="21" xr3:uid="{50E2C6A8-87FA-4F1A-8347-C53857029AA9}" name="13"/>
    <tableColumn id="22" xr3:uid="{313134A2-8770-4132-BA76-B9A0FD299907}" name="14"/>
    <tableColumn id="23" xr3:uid="{AA47385C-C92E-40B5-A6F4-4873723D82A8}" name="15"/>
    <tableColumn id="24" xr3:uid="{82438E1D-81B0-4592-9D2C-794231C8EBCD}" name="16"/>
    <tableColumn id="25" xr3:uid="{1B237D2B-DB9F-4F07-B210-C81FA92ACE4F}" name="17"/>
    <tableColumn id="26" xr3:uid="{096FACF7-2A6C-4A29-868F-175E613E304B}" name="18"/>
    <tableColumn id="27" xr3:uid="{5D8FF1DE-6669-4486-97E0-420F5074E378}" name="AVG"/>
    <tableColumn id="28" xr3:uid="{E4D8CA43-0C12-4EA3-9459-650C956DC6E0}" name="Total Points"/>
    <tableColumn id="29" xr3:uid="{36D38603-CFE4-4B67-B515-40472B37170C}" name="TTL"/>
    <tableColumn id="30" xr3:uid="{2F4B9EAF-1E1B-47B7-BFC6-B70B7FB1C388}" name="Round"/>
    <tableColumn id="31" xr3:uid="{327E9DF6-CACD-400A-B9EB-74D3313275E0}" name="Boom 10"/>
    <tableColumn id="32" xr3:uid="{CC3D4162-81D2-4569-8D9E-D0F961F3A61B}" name="Boom 15"/>
    <tableColumn id="33" xr3:uid="{22F68912-EF8D-46DC-8547-8EE66E56AEAD}" name="Boom 20"/>
    <tableColumn id="34" xr3:uid="{4984A3A2-0A04-41E9-972E-1155F2F0C253}" name="Boom 25"/>
    <tableColumn id="35" xr3:uid="{A29475D1-1876-4FD5-BFF9-D706A45BE3C4}" name="Boom 30"/>
    <tableColumn id="36" xr3:uid="{FD9C00D0-CDC4-4D23-84C8-223474503557}" name="Boom 10%"/>
    <tableColumn id="37" xr3:uid="{84E63B50-4B1B-4BB8-A0B3-716A404330CF}" name="Boom 15%"/>
    <tableColumn id="38" xr3:uid="{E22AA844-67A0-4D76-9290-E6AD08438235}" name="Boom 20%"/>
    <tableColumn id="39" xr3:uid="{F52EEBFF-AA5F-4B07-BA20-608C6095F235}" name="Boom 25%"/>
    <tableColumn id="40" xr3:uid="{71FE36A7-B8B3-4A3A-B847-9E0CB4A99AFF}" name="Boom 30%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5DA6B-D985-44CB-8F04-83DD642DA17A}">
  <dimension ref="A1:AN5"/>
  <sheetViews>
    <sheetView workbookViewId="0">
      <selection activeCell="A3" sqref="A3:AN5"/>
    </sheetView>
  </sheetViews>
  <sheetFormatPr defaultRowHeight="15" x14ac:dyDescent="0.25"/>
  <cols>
    <col min="1" max="1" width="9.28515625" bestFit="1" customWidth="1"/>
    <col min="2" max="2" width="10.7109375" bestFit="1" customWidth="1"/>
    <col min="3" max="3" width="10.5703125" bestFit="1" customWidth="1"/>
    <col min="4" max="4" width="9.28515625" bestFit="1" customWidth="1"/>
    <col min="5" max="5" width="14.28515625" bestFit="1" customWidth="1"/>
    <col min="6" max="27" width="9.28515625" bestFit="1" customWidth="1"/>
    <col min="28" max="28" width="13.85546875" bestFit="1" customWidth="1"/>
    <col min="29" max="30" width="9.28515625" bestFit="1" customWidth="1"/>
    <col min="31" max="35" width="10.85546875" bestFit="1" customWidth="1"/>
    <col min="36" max="40" width="12.42578125" bestFit="1" customWidth="1"/>
  </cols>
  <sheetData>
    <row r="1" spans="1:40" x14ac:dyDescent="0.25">
      <c r="A1" s="2" t="s">
        <v>1595</v>
      </c>
    </row>
    <row r="3" spans="1:40" x14ac:dyDescent="0.25">
      <c r="A3" t="s">
        <v>0</v>
      </c>
      <c r="B3" t="s">
        <v>1</v>
      </c>
      <c r="C3" t="s">
        <v>1283</v>
      </c>
      <c r="D3" t="s">
        <v>2</v>
      </c>
      <c r="E3" t="s">
        <v>3</v>
      </c>
      <c r="F3" t="s">
        <v>4</v>
      </c>
      <c r="G3" t="s">
        <v>931</v>
      </c>
      <c r="H3" t="s">
        <v>5</v>
      </c>
      <c r="I3" t="s">
        <v>1576</v>
      </c>
      <c r="J3" t="s">
        <v>1577</v>
      </c>
      <c r="K3" t="s">
        <v>1578</v>
      </c>
      <c r="L3" t="s">
        <v>1579</v>
      </c>
      <c r="M3" t="s">
        <v>1580</v>
      </c>
      <c r="N3" t="s">
        <v>1581</v>
      </c>
      <c r="O3" t="s">
        <v>1582</v>
      </c>
      <c r="P3" t="s">
        <v>1583</v>
      </c>
      <c r="Q3" t="s">
        <v>1584</v>
      </c>
      <c r="R3" t="s">
        <v>1585</v>
      </c>
      <c r="S3" t="s">
        <v>1586</v>
      </c>
      <c r="T3" t="s">
        <v>1587</v>
      </c>
      <c r="U3" t="s">
        <v>1588</v>
      </c>
      <c r="V3" t="s">
        <v>1589</v>
      </c>
      <c r="W3" t="s">
        <v>1590</v>
      </c>
      <c r="X3" t="s">
        <v>1591</v>
      </c>
      <c r="Y3" t="s">
        <v>1592</v>
      </c>
      <c r="Z3" t="s">
        <v>1593</v>
      </c>
      <c r="AA3" t="s">
        <v>6</v>
      </c>
      <c r="AB3" t="s">
        <v>1575</v>
      </c>
      <c r="AC3" t="s">
        <v>7</v>
      </c>
      <c r="AD3" t="s">
        <v>8</v>
      </c>
      <c r="AE3" t="s">
        <v>9</v>
      </c>
      <c r="AF3" t="s">
        <v>10</v>
      </c>
      <c r="AG3" t="s">
        <v>11</v>
      </c>
      <c r="AH3" t="s">
        <v>12</v>
      </c>
      <c r="AI3" t="s">
        <v>13</v>
      </c>
      <c r="AJ3" t="s">
        <v>14</v>
      </c>
      <c r="AK3" t="s">
        <v>15</v>
      </c>
      <c r="AL3" t="s">
        <v>16</v>
      </c>
      <c r="AM3" t="s">
        <v>17</v>
      </c>
      <c r="AN3" t="s">
        <v>18</v>
      </c>
    </row>
    <row r="4" spans="1:40" x14ac:dyDescent="0.25">
      <c r="A4">
        <v>2024</v>
      </c>
      <c r="B4" t="s">
        <v>331</v>
      </c>
      <c r="C4" t="s">
        <v>1594</v>
      </c>
      <c r="D4">
        <v>1</v>
      </c>
      <c r="E4" t="s">
        <v>351</v>
      </c>
      <c r="F4" t="s">
        <v>53</v>
      </c>
      <c r="G4">
        <v>43</v>
      </c>
      <c r="H4">
        <v>17</v>
      </c>
      <c r="I4">
        <v>25.1</v>
      </c>
      <c r="J4">
        <v>17.399999999999999</v>
      </c>
      <c r="K4">
        <v>26</v>
      </c>
      <c r="L4">
        <v>23.6</v>
      </c>
      <c r="M4">
        <v>33.4</v>
      </c>
      <c r="N4">
        <v>19.899999999999999</v>
      </c>
      <c r="O4">
        <v>34.4</v>
      </c>
      <c r="P4">
        <v>24.2</v>
      </c>
      <c r="Q4">
        <v>23.6</v>
      </c>
      <c r="R4">
        <v>32.9</v>
      </c>
      <c r="S4">
        <v>15.9</v>
      </c>
      <c r="T4">
        <v>22.6</v>
      </c>
      <c r="U4">
        <v>25.4</v>
      </c>
      <c r="V4" t="s">
        <v>22</v>
      </c>
      <c r="W4">
        <v>36.1</v>
      </c>
      <c r="X4">
        <v>21.5</v>
      </c>
      <c r="Y4">
        <v>29.4</v>
      </c>
      <c r="Z4">
        <v>23</v>
      </c>
      <c r="AA4">
        <v>25.6</v>
      </c>
      <c r="AB4">
        <v>411.4</v>
      </c>
      <c r="AC4">
        <v>434.4</v>
      </c>
      <c r="AD4">
        <v>1</v>
      </c>
      <c r="AE4">
        <v>16</v>
      </c>
      <c r="AF4">
        <v>17</v>
      </c>
      <c r="AG4">
        <v>14</v>
      </c>
      <c r="AH4">
        <v>8</v>
      </c>
      <c r="AI4">
        <v>4</v>
      </c>
      <c r="AJ4">
        <v>1</v>
      </c>
      <c r="AK4">
        <v>1</v>
      </c>
      <c r="AL4">
        <v>0.82352941176470584</v>
      </c>
      <c r="AM4">
        <v>0.47058823529411764</v>
      </c>
      <c r="AN4">
        <v>0.23529411764705882</v>
      </c>
    </row>
    <row r="5" spans="1:40" x14ac:dyDescent="0.25">
      <c r="A5">
        <v>2025</v>
      </c>
      <c r="B5" t="s">
        <v>331</v>
      </c>
      <c r="C5" t="s">
        <v>1594</v>
      </c>
      <c r="D5">
        <v>1</v>
      </c>
      <c r="E5" t="s">
        <v>332</v>
      </c>
      <c r="F5" t="s">
        <v>61</v>
      </c>
      <c r="G5">
        <v>24</v>
      </c>
      <c r="H5">
        <v>17</v>
      </c>
      <c r="I5">
        <v>38.799999999999997</v>
      </c>
      <c r="J5">
        <v>11.8</v>
      </c>
      <c r="K5">
        <v>23</v>
      </c>
      <c r="L5">
        <v>25.9</v>
      </c>
      <c r="M5">
        <v>20.399999999999999</v>
      </c>
      <c r="N5">
        <v>17.399999999999999</v>
      </c>
      <c r="O5" t="s">
        <v>22</v>
      </c>
      <c r="P5">
        <v>23.2</v>
      </c>
      <c r="Q5">
        <v>28.8</v>
      </c>
      <c r="R5">
        <v>20.3</v>
      </c>
      <c r="S5">
        <v>44.7</v>
      </c>
      <c r="T5">
        <v>10.1</v>
      </c>
      <c r="U5">
        <v>17.7</v>
      </c>
      <c r="V5">
        <v>37.799999999999997</v>
      </c>
      <c r="W5">
        <v>24.5</v>
      </c>
      <c r="X5">
        <v>6.9</v>
      </c>
      <c r="Y5">
        <v>23.2</v>
      </c>
      <c r="Z5">
        <v>0</v>
      </c>
      <c r="AA5">
        <v>22</v>
      </c>
      <c r="AB5">
        <v>374.6</v>
      </c>
      <c r="AC5">
        <v>374.6</v>
      </c>
      <c r="AD5">
        <v>1</v>
      </c>
      <c r="AE5">
        <v>15</v>
      </c>
      <c r="AF5">
        <v>13</v>
      </c>
      <c r="AG5">
        <v>11</v>
      </c>
      <c r="AH5">
        <v>5</v>
      </c>
      <c r="AI5">
        <v>3</v>
      </c>
      <c r="AJ5">
        <v>0.88235294117647056</v>
      </c>
      <c r="AK5">
        <v>0.76470588235294112</v>
      </c>
      <c r="AL5">
        <v>0.6470588235294118</v>
      </c>
      <c r="AM5">
        <v>0.29411764705882354</v>
      </c>
      <c r="AN5">
        <v>0.17647058823529413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864E1-FF23-4547-92B2-F7879F621BC1}">
  <dimension ref="A1:AN15"/>
  <sheetViews>
    <sheetView workbookViewId="0">
      <selection activeCell="A3" sqref="A3:AN15"/>
    </sheetView>
  </sheetViews>
  <sheetFormatPr defaultRowHeight="15" x14ac:dyDescent="0.25"/>
  <cols>
    <col min="1" max="1" width="9.28515625" bestFit="1" customWidth="1"/>
    <col min="2" max="2" width="10.7109375" bestFit="1" customWidth="1"/>
    <col min="3" max="3" width="10.5703125" bestFit="1" customWidth="1"/>
    <col min="4" max="4" width="9.28515625" bestFit="1" customWidth="1"/>
    <col min="5" max="5" width="18.28515625" bestFit="1" customWidth="1"/>
    <col min="6" max="27" width="9.28515625" bestFit="1" customWidth="1"/>
    <col min="28" max="28" width="13.85546875" bestFit="1" customWidth="1"/>
    <col min="29" max="30" width="9.28515625" bestFit="1" customWidth="1"/>
    <col min="31" max="35" width="10.85546875" bestFit="1" customWidth="1"/>
    <col min="36" max="40" width="12.42578125" bestFit="1" customWidth="1"/>
  </cols>
  <sheetData>
    <row r="1" spans="1:40" x14ac:dyDescent="0.25">
      <c r="A1" s="2" t="s">
        <v>1597</v>
      </c>
    </row>
    <row r="3" spans="1:40" x14ac:dyDescent="0.25">
      <c r="A3" t="s">
        <v>0</v>
      </c>
      <c r="B3" t="s">
        <v>1</v>
      </c>
      <c r="C3" t="s">
        <v>1283</v>
      </c>
      <c r="D3" t="s">
        <v>2</v>
      </c>
      <c r="E3" t="s">
        <v>3</v>
      </c>
      <c r="F3" t="s">
        <v>4</v>
      </c>
      <c r="G3" t="s">
        <v>931</v>
      </c>
      <c r="H3" t="s">
        <v>5</v>
      </c>
      <c r="I3" t="s">
        <v>1576</v>
      </c>
      <c r="J3" t="s">
        <v>1577</v>
      </c>
      <c r="K3" t="s">
        <v>1578</v>
      </c>
      <c r="L3" t="s">
        <v>1579</v>
      </c>
      <c r="M3" t="s">
        <v>1580</v>
      </c>
      <c r="N3" t="s">
        <v>1581</v>
      </c>
      <c r="O3" t="s">
        <v>1582</v>
      </c>
      <c r="P3" t="s">
        <v>1583</v>
      </c>
      <c r="Q3" t="s">
        <v>1584</v>
      </c>
      <c r="R3" t="s">
        <v>1585</v>
      </c>
      <c r="S3" t="s">
        <v>1586</v>
      </c>
      <c r="T3" t="s">
        <v>1587</v>
      </c>
      <c r="U3" t="s">
        <v>1588</v>
      </c>
      <c r="V3" t="s">
        <v>1589</v>
      </c>
      <c r="W3" t="s">
        <v>1590</v>
      </c>
      <c r="X3" t="s">
        <v>1591</v>
      </c>
      <c r="Y3" t="s">
        <v>1592</v>
      </c>
      <c r="Z3" t="s">
        <v>1593</v>
      </c>
      <c r="AA3" t="s">
        <v>6</v>
      </c>
      <c r="AB3" t="s">
        <v>1575</v>
      </c>
      <c r="AC3" t="s">
        <v>7</v>
      </c>
      <c r="AD3" t="s">
        <v>8</v>
      </c>
      <c r="AE3" t="s">
        <v>9</v>
      </c>
      <c r="AF3" t="s">
        <v>10</v>
      </c>
      <c r="AG3" t="s">
        <v>11</v>
      </c>
      <c r="AH3" t="s">
        <v>12</v>
      </c>
      <c r="AI3" t="s">
        <v>13</v>
      </c>
      <c r="AJ3" t="s">
        <v>14</v>
      </c>
      <c r="AK3" t="s">
        <v>15</v>
      </c>
      <c r="AL3" t="s">
        <v>16</v>
      </c>
      <c r="AM3" t="s">
        <v>17</v>
      </c>
      <c r="AN3" t="s">
        <v>18</v>
      </c>
    </row>
    <row r="4" spans="1:40" x14ac:dyDescent="0.25">
      <c r="A4">
        <v>2023</v>
      </c>
      <c r="B4" t="s">
        <v>220</v>
      </c>
      <c r="C4" t="s">
        <v>1594</v>
      </c>
      <c r="D4">
        <v>14</v>
      </c>
      <c r="E4" t="s">
        <v>243</v>
      </c>
      <c r="F4" t="s">
        <v>30</v>
      </c>
      <c r="G4">
        <v>15</v>
      </c>
      <c r="H4">
        <v>17</v>
      </c>
      <c r="I4">
        <v>22.2</v>
      </c>
      <c r="J4">
        <v>19.899999999999999</v>
      </c>
      <c r="K4">
        <v>15.1</v>
      </c>
      <c r="L4">
        <v>9</v>
      </c>
      <c r="M4">
        <v>8.4</v>
      </c>
      <c r="N4">
        <v>17</v>
      </c>
      <c r="O4" t="s">
        <v>22</v>
      </c>
      <c r="P4">
        <v>6.5</v>
      </c>
      <c r="Q4">
        <v>9.3000000000000007</v>
      </c>
      <c r="R4">
        <v>5.5</v>
      </c>
      <c r="S4">
        <v>18</v>
      </c>
      <c r="T4">
        <v>22.3</v>
      </c>
      <c r="U4">
        <v>17.3</v>
      </c>
      <c r="V4">
        <v>16.600000000000001</v>
      </c>
      <c r="W4">
        <v>7.7</v>
      </c>
      <c r="X4">
        <v>5.3</v>
      </c>
      <c r="Y4">
        <v>5.9</v>
      </c>
      <c r="Z4">
        <v>16.600000000000001</v>
      </c>
      <c r="AA4">
        <v>13.1</v>
      </c>
      <c r="AB4">
        <v>206</v>
      </c>
      <c r="AC4">
        <v>222.6</v>
      </c>
      <c r="AD4">
        <v>1</v>
      </c>
      <c r="AE4">
        <v>8</v>
      </c>
      <c r="AF4">
        <v>9</v>
      </c>
      <c r="AG4">
        <v>2</v>
      </c>
      <c r="AH4">
        <v>0</v>
      </c>
      <c r="AI4">
        <v>0</v>
      </c>
      <c r="AJ4">
        <v>0.52941176470588236</v>
      </c>
      <c r="AK4">
        <v>0.52941176470588236</v>
      </c>
      <c r="AL4">
        <v>0.11764705882352941</v>
      </c>
      <c r="AM4">
        <v>0</v>
      </c>
      <c r="AN4">
        <v>0</v>
      </c>
    </row>
    <row r="5" spans="1:40" x14ac:dyDescent="0.25">
      <c r="A5">
        <v>2023</v>
      </c>
      <c r="B5" t="s">
        <v>220</v>
      </c>
      <c r="C5" t="s">
        <v>1594</v>
      </c>
      <c r="D5">
        <v>1</v>
      </c>
      <c r="E5" t="s">
        <v>221</v>
      </c>
      <c r="F5" t="s">
        <v>47</v>
      </c>
      <c r="G5">
        <v>2</v>
      </c>
      <c r="H5">
        <v>16</v>
      </c>
      <c r="I5">
        <v>25.9</v>
      </c>
      <c r="J5">
        <v>22.5</v>
      </c>
      <c r="K5">
        <v>22.9</v>
      </c>
      <c r="L5">
        <v>48.7</v>
      </c>
      <c r="M5">
        <v>13.8</v>
      </c>
      <c r="N5">
        <v>14.2</v>
      </c>
      <c r="O5">
        <v>22.6</v>
      </c>
      <c r="P5">
        <v>29.8</v>
      </c>
      <c r="Q5" t="s">
        <v>22</v>
      </c>
      <c r="R5">
        <v>20.2</v>
      </c>
      <c r="S5">
        <v>21.3</v>
      </c>
      <c r="T5">
        <v>30.9</v>
      </c>
      <c r="U5">
        <v>22.3</v>
      </c>
      <c r="V5">
        <v>16.3</v>
      </c>
      <c r="W5">
        <v>41.7</v>
      </c>
      <c r="X5">
        <v>25.1</v>
      </c>
      <c r="Y5">
        <v>13.1</v>
      </c>
      <c r="Z5">
        <v>0</v>
      </c>
      <c r="AA5">
        <v>24.5</v>
      </c>
      <c r="AB5">
        <v>391.3</v>
      </c>
      <c r="AC5">
        <v>391.3</v>
      </c>
      <c r="AD5">
        <v>1</v>
      </c>
      <c r="AE5">
        <v>16</v>
      </c>
      <c r="AF5">
        <v>13</v>
      </c>
      <c r="AG5">
        <v>12</v>
      </c>
      <c r="AH5">
        <v>6</v>
      </c>
      <c r="AI5">
        <v>3</v>
      </c>
      <c r="AJ5">
        <v>0.94117647058823528</v>
      </c>
      <c r="AK5">
        <v>0.8125</v>
      </c>
      <c r="AL5">
        <v>0.75</v>
      </c>
      <c r="AM5">
        <v>0.375</v>
      </c>
      <c r="AN5">
        <v>0.1875</v>
      </c>
    </row>
    <row r="6" spans="1:40" x14ac:dyDescent="0.25">
      <c r="A6">
        <v>2024</v>
      </c>
      <c r="B6" t="s">
        <v>220</v>
      </c>
      <c r="C6" t="s">
        <v>1594</v>
      </c>
      <c r="D6">
        <v>69</v>
      </c>
      <c r="E6" t="s">
        <v>221</v>
      </c>
      <c r="F6" t="s">
        <v>47</v>
      </c>
      <c r="G6">
        <v>1</v>
      </c>
      <c r="H6">
        <v>4</v>
      </c>
      <c r="I6" t="s">
        <v>33</v>
      </c>
      <c r="J6" t="s">
        <v>33</v>
      </c>
      <c r="K6" t="s">
        <v>33</v>
      </c>
      <c r="L6" t="s">
        <v>33</v>
      </c>
      <c r="M6" t="s">
        <v>33</v>
      </c>
      <c r="N6" t="s">
        <v>33</v>
      </c>
      <c r="O6" t="s">
        <v>33</v>
      </c>
      <c r="P6" t="s">
        <v>33</v>
      </c>
      <c r="Q6" t="s">
        <v>22</v>
      </c>
      <c r="R6">
        <v>16.7</v>
      </c>
      <c r="S6">
        <v>14.6</v>
      </c>
      <c r="T6">
        <v>7.8</v>
      </c>
      <c r="U6">
        <v>8.6999999999999993</v>
      </c>
      <c r="V6" t="s">
        <v>33</v>
      </c>
      <c r="W6" t="s">
        <v>33</v>
      </c>
      <c r="X6" t="s">
        <v>33</v>
      </c>
      <c r="Y6" t="s">
        <v>33</v>
      </c>
      <c r="Z6">
        <v>0</v>
      </c>
      <c r="AA6">
        <v>12</v>
      </c>
      <c r="AB6">
        <v>47.8</v>
      </c>
      <c r="AC6">
        <v>47.8</v>
      </c>
      <c r="AD6">
        <v>1</v>
      </c>
      <c r="AE6">
        <v>2</v>
      </c>
      <c r="AF6">
        <v>1</v>
      </c>
      <c r="AG6">
        <v>0</v>
      </c>
      <c r="AH6">
        <v>0</v>
      </c>
      <c r="AI6">
        <v>0</v>
      </c>
      <c r="AJ6">
        <v>0.11764705882352941</v>
      </c>
      <c r="AK6">
        <v>0.25</v>
      </c>
      <c r="AL6">
        <v>0</v>
      </c>
      <c r="AM6">
        <v>0</v>
      </c>
      <c r="AN6">
        <v>0</v>
      </c>
    </row>
    <row r="7" spans="1:40" x14ac:dyDescent="0.25">
      <c r="A7">
        <v>2024</v>
      </c>
      <c r="B7" t="s">
        <v>220</v>
      </c>
      <c r="C7" t="s">
        <v>1594</v>
      </c>
      <c r="D7">
        <v>16</v>
      </c>
      <c r="E7" t="s">
        <v>239</v>
      </c>
      <c r="F7" t="s">
        <v>82</v>
      </c>
      <c r="G7">
        <v>4</v>
      </c>
      <c r="H7">
        <v>16</v>
      </c>
      <c r="I7">
        <v>18.3</v>
      </c>
      <c r="J7">
        <v>24.4</v>
      </c>
      <c r="K7">
        <v>18.3</v>
      </c>
      <c r="L7">
        <v>3.8</v>
      </c>
      <c r="M7">
        <v>6.7</v>
      </c>
      <c r="N7">
        <v>21.9</v>
      </c>
      <c r="O7">
        <v>26.1</v>
      </c>
      <c r="P7">
        <v>9.9</v>
      </c>
      <c r="Q7">
        <v>10.5</v>
      </c>
      <c r="R7">
        <v>12.3</v>
      </c>
      <c r="S7">
        <v>31.1</v>
      </c>
      <c r="T7" t="s">
        <v>22</v>
      </c>
      <c r="U7">
        <v>6</v>
      </c>
      <c r="V7" t="s">
        <v>33</v>
      </c>
      <c r="W7">
        <v>13.1</v>
      </c>
      <c r="X7">
        <v>14</v>
      </c>
      <c r="Y7">
        <v>6.3</v>
      </c>
      <c r="Z7">
        <v>18.2</v>
      </c>
      <c r="AA7">
        <v>15.1</v>
      </c>
      <c r="AB7">
        <v>222.70000000000002</v>
      </c>
      <c r="AC7">
        <v>240.9</v>
      </c>
      <c r="AD7">
        <v>1</v>
      </c>
      <c r="AE7">
        <v>10</v>
      </c>
      <c r="AF7">
        <v>7</v>
      </c>
      <c r="AG7">
        <v>4</v>
      </c>
      <c r="AH7">
        <v>2</v>
      </c>
      <c r="AI7">
        <v>1</v>
      </c>
      <c r="AJ7">
        <v>0.6470588235294118</v>
      </c>
      <c r="AK7">
        <v>0.4375</v>
      </c>
      <c r="AL7">
        <v>0.25</v>
      </c>
      <c r="AM7">
        <v>0.125</v>
      </c>
      <c r="AN7">
        <v>6.25E-2</v>
      </c>
    </row>
    <row r="8" spans="1:40" x14ac:dyDescent="0.25">
      <c r="A8">
        <v>2024</v>
      </c>
      <c r="B8" t="s">
        <v>220</v>
      </c>
      <c r="C8" t="s">
        <v>1594</v>
      </c>
      <c r="D8">
        <v>12</v>
      </c>
      <c r="E8" t="s">
        <v>224</v>
      </c>
      <c r="F8" t="s">
        <v>28</v>
      </c>
      <c r="G8">
        <v>11</v>
      </c>
      <c r="H8">
        <v>14</v>
      </c>
      <c r="I8">
        <v>10.8</v>
      </c>
      <c r="J8">
        <v>15.5</v>
      </c>
      <c r="K8">
        <v>26.5</v>
      </c>
      <c r="L8">
        <v>19.8</v>
      </c>
      <c r="M8" t="s">
        <v>33</v>
      </c>
      <c r="N8" t="s">
        <v>33</v>
      </c>
      <c r="O8" t="s">
        <v>33</v>
      </c>
      <c r="P8">
        <v>18.7</v>
      </c>
      <c r="Q8">
        <v>8.9</v>
      </c>
      <c r="R8">
        <v>14.2</v>
      </c>
      <c r="S8">
        <v>7</v>
      </c>
      <c r="T8">
        <v>3.5</v>
      </c>
      <c r="U8">
        <v>17.3</v>
      </c>
      <c r="V8" t="s">
        <v>22</v>
      </c>
      <c r="W8">
        <v>10.1</v>
      </c>
      <c r="X8">
        <v>39.799999999999997</v>
      </c>
      <c r="Y8">
        <v>27.6</v>
      </c>
      <c r="Z8">
        <v>25</v>
      </c>
      <c r="AA8">
        <v>17.5</v>
      </c>
      <c r="AB8">
        <v>219.7</v>
      </c>
      <c r="AC8">
        <v>244.7</v>
      </c>
      <c r="AD8">
        <v>1</v>
      </c>
      <c r="AE8">
        <v>10</v>
      </c>
      <c r="AF8">
        <v>8</v>
      </c>
      <c r="AG8">
        <v>4</v>
      </c>
      <c r="AH8">
        <v>3</v>
      </c>
      <c r="AI8">
        <v>1</v>
      </c>
      <c r="AJ8">
        <v>0.6470588235294118</v>
      </c>
      <c r="AK8">
        <v>0.5714285714285714</v>
      </c>
      <c r="AL8">
        <v>0.2857142857142857</v>
      </c>
      <c r="AM8">
        <v>0.21428571428571427</v>
      </c>
      <c r="AN8">
        <v>7.1428571428571425E-2</v>
      </c>
    </row>
    <row r="9" spans="1:40" x14ac:dyDescent="0.25">
      <c r="A9">
        <v>2024</v>
      </c>
      <c r="B9" t="s">
        <v>220</v>
      </c>
      <c r="C9" t="s">
        <v>1594</v>
      </c>
      <c r="D9">
        <v>3</v>
      </c>
      <c r="E9" t="s">
        <v>222</v>
      </c>
      <c r="F9" t="s">
        <v>24</v>
      </c>
      <c r="G9">
        <v>6</v>
      </c>
      <c r="H9">
        <v>17</v>
      </c>
      <c r="I9">
        <v>16.100000000000001</v>
      </c>
      <c r="J9">
        <v>16.2</v>
      </c>
      <c r="K9">
        <v>13.2</v>
      </c>
      <c r="L9">
        <v>11.4</v>
      </c>
      <c r="M9">
        <v>10.7</v>
      </c>
      <c r="N9">
        <v>25.5</v>
      </c>
      <c r="O9">
        <v>23.3</v>
      </c>
      <c r="P9">
        <v>23.6</v>
      </c>
      <c r="Q9">
        <v>21.5</v>
      </c>
      <c r="R9">
        <v>29.4</v>
      </c>
      <c r="S9">
        <v>10.3</v>
      </c>
      <c r="T9" t="s">
        <v>22</v>
      </c>
      <c r="U9">
        <v>25.5</v>
      </c>
      <c r="V9">
        <v>20.100000000000001</v>
      </c>
      <c r="W9">
        <v>14.5</v>
      </c>
      <c r="X9">
        <v>24.3</v>
      </c>
      <c r="Y9">
        <v>24.8</v>
      </c>
      <c r="Z9">
        <v>31.3</v>
      </c>
      <c r="AA9">
        <v>20.100000000000001</v>
      </c>
      <c r="AB9">
        <v>310.39999999999998</v>
      </c>
      <c r="AC9">
        <v>341.7</v>
      </c>
      <c r="AD9">
        <v>1</v>
      </c>
      <c r="AE9">
        <v>16</v>
      </c>
      <c r="AF9">
        <v>12</v>
      </c>
      <c r="AG9">
        <v>10</v>
      </c>
      <c r="AH9">
        <v>4</v>
      </c>
      <c r="AI9">
        <v>1</v>
      </c>
      <c r="AJ9">
        <v>1</v>
      </c>
      <c r="AK9">
        <v>0.70588235294117652</v>
      </c>
      <c r="AL9">
        <v>0.58823529411764708</v>
      </c>
      <c r="AM9">
        <v>0.23529411764705882</v>
      </c>
      <c r="AN9">
        <v>5.8823529411764705E-2</v>
      </c>
    </row>
    <row r="10" spans="1:40" x14ac:dyDescent="0.25">
      <c r="A10">
        <v>2025</v>
      </c>
      <c r="B10" t="s">
        <v>220</v>
      </c>
      <c r="C10" t="s">
        <v>1594</v>
      </c>
      <c r="D10">
        <v>14</v>
      </c>
      <c r="E10" t="s">
        <v>234</v>
      </c>
      <c r="F10" t="s">
        <v>35</v>
      </c>
      <c r="G10">
        <v>5</v>
      </c>
      <c r="H10">
        <v>16</v>
      </c>
      <c r="I10">
        <v>18.399999999999999</v>
      </c>
      <c r="J10">
        <v>17.399999999999999</v>
      </c>
      <c r="K10">
        <v>9.5</v>
      </c>
      <c r="L10">
        <v>17.399999999999999</v>
      </c>
      <c r="M10">
        <v>17.8</v>
      </c>
      <c r="N10">
        <v>8.6999999999999993</v>
      </c>
      <c r="O10">
        <v>5.2</v>
      </c>
      <c r="P10">
        <v>33.4</v>
      </c>
      <c r="Q10" t="s">
        <v>22</v>
      </c>
      <c r="R10">
        <v>13.1</v>
      </c>
      <c r="S10">
        <v>10</v>
      </c>
      <c r="T10">
        <v>12.4</v>
      </c>
      <c r="U10">
        <v>5.6</v>
      </c>
      <c r="V10">
        <v>18.2</v>
      </c>
      <c r="W10">
        <v>17.2</v>
      </c>
      <c r="X10">
        <v>21.2</v>
      </c>
      <c r="Y10">
        <v>6.8</v>
      </c>
      <c r="Z10">
        <v>0</v>
      </c>
      <c r="AA10">
        <v>14.5</v>
      </c>
      <c r="AB10">
        <v>232.3</v>
      </c>
      <c r="AC10">
        <v>232.3</v>
      </c>
      <c r="AD10">
        <v>1</v>
      </c>
      <c r="AE10">
        <v>10</v>
      </c>
      <c r="AF10">
        <v>8</v>
      </c>
      <c r="AG10">
        <v>2</v>
      </c>
      <c r="AH10">
        <v>1</v>
      </c>
      <c r="AI10">
        <v>1</v>
      </c>
      <c r="AJ10">
        <v>0.58823529411764708</v>
      </c>
      <c r="AK10">
        <v>0.5</v>
      </c>
      <c r="AL10">
        <v>0.125</v>
      </c>
      <c r="AM10">
        <v>6.25E-2</v>
      </c>
      <c r="AN10">
        <v>6.25E-2</v>
      </c>
    </row>
    <row r="11" spans="1:40" x14ac:dyDescent="0.25">
      <c r="A11">
        <v>2025</v>
      </c>
      <c r="B11" t="s">
        <v>220</v>
      </c>
      <c r="C11" t="s">
        <v>1596</v>
      </c>
      <c r="D11">
        <v>11</v>
      </c>
      <c r="E11" t="s">
        <v>231</v>
      </c>
      <c r="F11" t="s">
        <v>43</v>
      </c>
      <c r="G11">
        <v>11</v>
      </c>
      <c r="H11">
        <v>17</v>
      </c>
      <c r="I11">
        <v>12</v>
      </c>
      <c r="J11">
        <v>7.4</v>
      </c>
      <c r="K11">
        <v>6.3</v>
      </c>
      <c r="L11">
        <v>33.5</v>
      </c>
      <c r="M11">
        <v>15.9</v>
      </c>
      <c r="N11">
        <v>16.600000000000001</v>
      </c>
      <c r="O11">
        <v>4.4000000000000004</v>
      </c>
      <c r="P11" t="s">
        <v>22</v>
      </c>
      <c r="Q11">
        <v>19.899999999999999</v>
      </c>
      <c r="R11">
        <v>15.3</v>
      </c>
      <c r="S11">
        <v>9.4</v>
      </c>
      <c r="T11">
        <v>24.8</v>
      </c>
      <c r="U11">
        <v>12.1</v>
      </c>
      <c r="V11">
        <v>5.8</v>
      </c>
      <c r="W11">
        <v>8.1999999999999993</v>
      </c>
      <c r="X11">
        <v>31.8</v>
      </c>
      <c r="Y11">
        <v>9.3000000000000007</v>
      </c>
      <c r="Z11">
        <v>12.4</v>
      </c>
      <c r="AA11">
        <v>14.4</v>
      </c>
      <c r="AB11">
        <v>232.7</v>
      </c>
      <c r="AC11">
        <v>245.1</v>
      </c>
      <c r="AD11">
        <v>1</v>
      </c>
      <c r="AE11">
        <v>9</v>
      </c>
      <c r="AF11">
        <v>7</v>
      </c>
      <c r="AG11">
        <v>3</v>
      </c>
      <c r="AH11">
        <v>2</v>
      </c>
      <c r="AI11">
        <v>2</v>
      </c>
      <c r="AJ11">
        <v>0.58823529411764708</v>
      </c>
      <c r="AK11">
        <v>0.41176470588235292</v>
      </c>
      <c r="AL11">
        <v>0.17647058823529413</v>
      </c>
      <c r="AM11">
        <v>0.11764705882352941</v>
      </c>
      <c r="AN11">
        <v>0.11764705882352941</v>
      </c>
    </row>
    <row r="12" spans="1:40" x14ac:dyDescent="0.25">
      <c r="A12">
        <v>2025</v>
      </c>
      <c r="B12" t="s">
        <v>220</v>
      </c>
      <c r="C12" t="s">
        <v>1594</v>
      </c>
      <c r="D12">
        <v>8</v>
      </c>
      <c r="E12" t="s">
        <v>228</v>
      </c>
      <c r="F12" t="s">
        <v>53</v>
      </c>
      <c r="G12">
        <v>12</v>
      </c>
      <c r="H12">
        <v>17</v>
      </c>
      <c r="I12">
        <v>29.2</v>
      </c>
      <c r="J12">
        <v>2.2999999999999998</v>
      </c>
      <c r="K12">
        <v>10.7</v>
      </c>
      <c r="L12">
        <v>7.8</v>
      </c>
      <c r="M12">
        <v>9.3000000000000007</v>
      </c>
      <c r="N12">
        <v>14</v>
      </c>
      <c r="O12" t="s">
        <v>22</v>
      </c>
      <c r="P12">
        <v>19.100000000000001</v>
      </c>
      <c r="Q12">
        <v>13.1</v>
      </c>
      <c r="R12">
        <v>11.4</v>
      </c>
      <c r="S12">
        <v>20.2</v>
      </c>
      <c r="T12">
        <v>22.8</v>
      </c>
      <c r="U12">
        <v>17.399999999999999</v>
      </c>
      <c r="V12">
        <v>11.2</v>
      </c>
      <c r="W12">
        <v>10</v>
      </c>
      <c r="X12">
        <v>22.8</v>
      </c>
      <c r="Y12">
        <v>45.6</v>
      </c>
      <c r="Z12">
        <v>12.6</v>
      </c>
      <c r="AA12">
        <v>16.399999999999999</v>
      </c>
      <c r="AB12">
        <v>266.89999999999998</v>
      </c>
      <c r="AC12">
        <v>279.5</v>
      </c>
      <c r="AD12">
        <v>1</v>
      </c>
      <c r="AE12">
        <v>12</v>
      </c>
      <c r="AF12">
        <v>7</v>
      </c>
      <c r="AG12">
        <v>5</v>
      </c>
      <c r="AH12">
        <v>2</v>
      </c>
      <c r="AI12">
        <v>1</v>
      </c>
      <c r="AJ12">
        <v>0.76470588235294112</v>
      </c>
      <c r="AK12">
        <v>0.41176470588235292</v>
      </c>
      <c r="AL12">
        <v>0.29411764705882354</v>
      </c>
      <c r="AM12">
        <v>0.11764705882352941</v>
      </c>
      <c r="AN12">
        <v>5.8823529411764705E-2</v>
      </c>
    </row>
    <row r="13" spans="1:40" x14ac:dyDescent="0.25">
      <c r="A13">
        <v>2025</v>
      </c>
      <c r="B13" t="s">
        <v>220</v>
      </c>
      <c r="C13" t="s">
        <v>1594</v>
      </c>
      <c r="D13">
        <v>3</v>
      </c>
      <c r="E13" t="s">
        <v>223</v>
      </c>
      <c r="F13" t="s">
        <v>75</v>
      </c>
      <c r="G13">
        <v>3</v>
      </c>
      <c r="H13">
        <v>17</v>
      </c>
      <c r="I13">
        <v>15</v>
      </c>
      <c r="J13">
        <v>19.399999999999999</v>
      </c>
      <c r="K13">
        <v>26.9</v>
      </c>
      <c r="L13">
        <v>17.7</v>
      </c>
      <c r="M13">
        <v>16.7</v>
      </c>
      <c r="N13">
        <v>7.5</v>
      </c>
      <c r="O13">
        <v>36.799999999999997</v>
      </c>
      <c r="P13" t="s">
        <v>22</v>
      </c>
      <c r="Q13">
        <v>5.8</v>
      </c>
      <c r="R13">
        <v>38.200000000000003</v>
      </c>
      <c r="S13">
        <v>19.600000000000001</v>
      </c>
      <c r="T13">
        <v>55.4</v>
      </c>
      <c r="U13">
        <v>11.6</v>
      </c>
      <c r="V13">
        <v>37</v>
      </c>
      <c r="W13">
        <v>9.8000000000000007</v>
      </c>
      <c r="X13">
        <v>22.8</v>
      </c>
      <c r="Y13">
        <v>6.4</v>
      </c>
      <c r="Z13">
        <v>20.3</v>
      </c>
      <c r="AA13">
        <v>21.6</v>
      </c>
      <c r="AB13">
        <v>346.59999999999997</v>
      </c>
      <c r="AC13">
        <v>366.9</v>
      </c>
      <c r="AD13">
        <v>1</v>
      </c>
      <c r="AE13">
        <v>12</v>
      </c>
      <c r="AF13">
        <v>11</v>
      </c>
      <c r="AG13">
        <v>7</v>
      </c>
      <c r="AH13">
        <v>5</v>
      </c>
      <c r="AI13">
        <v>4</v>
      </c>
      <c r="AJ13">
        <v>0.76470588235294112</v>
      </c>
      <c r="AK13">
        <v>0.6470588235294118</v>
      </c>
      <c r="AL13">
        <v>0.41176470588235292</v>
      </c>
      <c r="AM13">
        <v>0.29411764705882354</v>
      </c>
      <c r="AN13">
        <v>0.23529411764705882</v>
      </c>
    </row>
    <row r="14" spans="1:40" x14ac:dyDescent="0.25">
      <c r="A14">
        <v>2025</v>
      </c>
      <c r="B14" t="s">
        <v>220</v>
      </c>
      <c r="C14" t="s">
        <v>1594</v>
      </c>
      <c r="D14">
        <v>2</v>
      </c>
      <c r="E14" t="s">
        <v>222</v>
      </c>
      <c r="F14" t="s">
        <v>24</v>
      </c>
      <c r="G14">
        <v>2</v>
      </c>
      <c r="H14">
        <v>17</v>
      </c>
      <c r="I14">
        <v>24.4</v>
      </c>
      <c r="J14">
        <v>19.8</v>
      </c>
      <c r="K14">
        <v>16.100000000000001</v>
      </c>
      <c r="L14">
        <v>28.1</v>
      </c>
      <c r="M14" t="s">
        <v>22</v>
      </c>
      <c r="N14">
        <v>35.799999999999997</v>
      </c>
      <c r="O14">
        <v>21.2</v>
      </c>
      <c r="P14">
        <v>5.8</v>
      </c>
      <c r="Q14">
        <v>17.600000000000001</v>
      </c>
      <c r="R14">
        <v>10.8</v>
      </c>
      <c r="S14">
        <v>30.3</v>
      </c>
      <c r="T14">
        <v>14.7</v>
      </c>
      <c r="U14">
        <v>30.3</v>
      </c>
      <c r="V14">
        <v>9.4</v>
      </c>
      <c r="W14">
        <v>29.5</v>
      </c>
      <c r="X14">
        <v>29.8</v>
      </c>
      <c r="Y14">
        <v>39.9</v>
      </c>
      <c r="Z14">
        <v>7.3</v>
      </c>
      <c r="AA14">
        <v>21.8</v>
      </c>
      <c r="AB14">
        <v>363.5</v>
      </c>
      <c r="AC14">
        <v>370.8</v>
      </c>
      <c r="AD14">
        <v>1</v>
      </c>
      <c r="AE14">
        <v>14</v>
      </c>
      <c r="AF14">
        <v>12</v>
      </c>
      <c r="AG14">
        <v>9</v>
      </c>
      <c r="AH14">
        <v>7</v>
      </c>
      <c r="AI14">
        <v>4</v>
      </c>
      <c r="AJ14">
        <v>0.82352941176470584</v>
      </c>
      <c r="AK14">
        <v>0.70588235294117652</v>
      </c>
      <c r="AL14">
        <v>0.52941176470588236</v>
      </c>
      <c r="AM14">
        <v>0.41176470588235292</v>
      </c>
      <c r="AN14">
        <v>0.23529411764705882</v>
      </c>
    </row>
    <row r="15" spans="1:40" x14ac:dyDescent="0.25">
      <c r="A15">
        <v>2025</v>
      </c>
      <c r="B15" t="s">
        <v>220</v>
      </c>
      <c r="C15" t="s">
        <v>1594</v>
      </c>
      <c r="D15">
        <v>1</v>
      </c>
      <c r="E15" t="s">
        <v>221</v>
      </c>
      <c r="F15" t="s">
        <v>47</v>
      </c>
      <c r="G15">
        <v>7</v>
      </c>
      <c r="H15">
        <v>17</v>
      </c>
      <c r="I15">
        <v>23.2</v>
      </c>
      <c r="J15">
        <v>22.7</v>
      </c>
      <c r="K15">
        <v>24</v>
      </c>
      <c r="L15">
        <v>26.1</v>
      </c>
      <c r="M15">
        <v>27.9</v>
      </c>
      <c r="N15">
        <v>24.1</v>
      </c>
      <c r="O15">
        <v>39.1</v>
      </c>
      <c r="P15">
        <v>9.8000000000000007</v>
      </c>
      <c r="Q15">
        <v>34.299999999999997</v>
      </c>
      <c r="R15">
        <v>17.600000000000001</v>
      </c>
      <c r="S15">
        <v>35.1</v>
      </c>
      <c r="T15">
        <v>27.2</v>
      </c>
      <c r="U15">
        <v>17.399999999999999</v>
      </c>
      <c r="V15" t="s">
        <v>22</v>
      </c>
      <c r="W15">
        <v>15.7</v>
      </c>
      <c r="X15">
        <v>32.6</v>
      </c>
      <c r="Y15">
        <v>28.1</v>
      </c>
      <c r="Z15">
        <v>11.7</v>
      </c>
      <c r="AA15">
        <v>24.5</v>
      </c>
      <c r="AB15">
        <v>404.90000000000003</v>
      </c>
      <c r="AC15">
        <v>416.6</v>
      </c>
      <c r="AD15">
        <v>1</v>
      </c>
      <c r="AE15">
        <v>15</v>
      </c>
      <c r="AF15">
        <v>15</v>
      </c>
      <c r="AG15">
        <v>12</v>
      </c>
      <c r="AH15">
        <v>8</v>
      </c>
      <c r="AI15">
        <v>4</v>
      </c>
      <c r="AJ15">
        <v>0.94117647058823528</v>
      </c>
      <c r="AK15">
        <v>0.88235294117647056</v>
      </c>
      <c r="AL15">
        <v>0.70588235294117652</v>
      </c>
      <c r="AM15">
        <v>0.47058823529411764</v>
      </c>
      <c r="AN15">
        <v>0.23529411764705882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CB0B9-3B45-4540-931D-431958633316}">
  <dimension ref="A1:E479"/>
  <sheetViews>
    <sheetView workbookViewId="0">
      <selection activeCell="B2" sqref="B2"/>
    </sheetView>
  </sheetViews>
  <sheetFormatPr defaultRowHeight="15" x14ac:dyDescent="0.25"/>
  <cols>
    <col min="2" max="2" width="23" customWidth="1"/>
  </cols>
  <sheetData>
    <row r="1" spans="1:5" x14ac:dyDescent="0.25">
      <c r="A1" t="s">
        <v>521</v>
      </c>
      <c r="B1" t="s">
        <v>3</v>
      </c>
      <c r="C1" t="s">
        <v>523</v>
      </c>
      <c r="D1" t="s">
        <v>4</v>
      </c>
      <c r="E1" t="s">
        <v>1678</v>
      </c>
    </row>
    <row r="2" spans="1:5" x14ac:dyDescent="0.25">
      <c r="A2">
        <v>1</v>
      </c>
      <c r="B2" t="s">
        <v>223</v>
      </c>
      <c r="C2" t="s">
        <v>524</v>
      </c>
      <c r="D2" t="s">
        <v>75</v>
      </c>
      <c r="E2">
        <v>6</v>
      </c>
    </row>
    <row r="3" spans="1:5" x14ac:dyDescent="0.25">
      <c r="A3">
        <v>2</v>
      </c>
      <c r="B3" t="s">
        <v>222</v>
      </c>
      <c r="C3" t="s">
        <v>531</v>
      </c>
      <c r="D3" t="s">
        <v>24</v>
      </c>
      <c r="E3">
        <v>11</v>
      </c>
    </row>
    <row r="4" spans="1:5" x14ac:dyDescent="0.25">
      <c r="A4">
        <v>3</v>
      </c>
      <c r="B4" t="s">
        <v>103</v>
      </c>
      <c r="C4" t="s">
        <v>525</v>
      </c>
      <c r="D4" t="s">
        <v>89</v>
      </c>
      <c r="E4">
        <v>6</v>
      </c>
    </row>
    <row r="5" spans="1:5" x14ac:dyDescent="0.25">
      <c r="A5">
        <v>4</v>
      </c>
      <c r="B5" t="s">
        <v>100</v>
      </c>
      <c r="C5" t="s">
        <v>527</v>
      </c>
      <c r="D5" t="s">
        <v>55</v>
      </c>
      <c r="E5">
        <v>11</v>
      </c>
    </row>
    <row r="6" spans="1:5" x14ac:dyDescent="0.25">
      <c r="A6">
        <v>5</v>
      </c>
      <c r="B6" t="s">
        <v>101</v>
      </c>
      <c r="C6" t="s">
        <v>528</v>
      </c>
      <c r="D6" t="s">
        <v>49</v>
      </c>
      <c r="E6">
        <v>11</v>
      </c>
    </row>
    <row r="7" spans="1:5" x14ac:dyDescent="0.25">
      <c r="A7">
        <v>6</v>
      </c>
      <c r="B7" t="s">
        <v>221</v>
      </c>
      <c r="C7" t="s">
        <v>540</v>
      </c>
      <c r="D7" t="s">
        <v>47</v>
      </c>
      <c r="E7">
        <v>8</v>
      </c>
    </row>
    <row r="8" spans="1:5" x14ac:dyDescent="0.25">
      <c r="A8">
        <v>7</v>
      </c>
      <c r="B8" t="s">
        <v>102</v>
      </c>
      <c r="C8" t="s">
        <v>529</v>
      </c>
      <c r="D8" t="s">
        <v>75</v>
      </c>
      <c r="E8">
        <v>6</v>
      </c>
    </row>
    <row r="9" spans="1:5" x14ac:dyDescent="0.25">
      <c r="A9">
        <v>8</v>
      </c>
      <c r="B9" t="s">
        <v>224</v>
      </c>
      <c r="C9" t="s">
        <v>544</v>
      </c>
      <c r="D9" t="s">
        <v>28</v>
      </c>
      <c r="E9">
        <v>13</v>
      </c>
    </row>
    <row r="10" spans="1:5" x14ac:dyDescent="0.25">
      <c r="A10">
        <v>9</v>
      </c>
      <c r="B10" t="s">
        <v>226</v>
      </c>
      <c r="C10" t="s">
        <v>545</v>
      </c>
      <c r="D10" t="s">
        <v>61</v>
      </c>
      <c r="E10">
        <v>7</v>
      </c>
    </row>
    <row r="11" spans="1:5" x14ac:dyDescent="0.25">
      <c r="A11">
        <v>10</v>
      </c>
      <c r="B11" t="s">
        <v>231</v>
      </c>
      <c r="C11" t="s">
        <v>547</v>
      </c>
      <c r="D11" t="s">
        <v>43</v>
      </c>
      <c r="E11">
        <v>13</v>
      </c>
    </row>
    <row r="12" spans="1:5" x14ac:dyDescent="0.25">
      <c r="A12">
        <v>11</v>
      </c>
      <c r="B12" t="s">
        <v>121</v>
      </c>
      <c r="C12" t="s">
        <v>530</v>
      </c>
      <c r="D12" t="s">
        <v>30</v>
      </c>
      <c r="E12">
        <v>14</v>
      </c>
    </row>
    <row r="13" spans="1:5" x14ac:dyDescent="0.25">
      <c r="A13">
        <v>12</v>
      </c>
      <c r="B13" t="s">
        <v>120</v>
      </c>
      <c r="C13" t="s">
        <v>535</v>
      </c>
      <c r="D13" t="s">
        <v>73</v>
      </c>
      <c r="E13">
        <v>6</v>
      </c>
    </row>
    <row r="14" spans="1:5" x14ac:dyDescent="0.25">
      <c r="A14">
        <v>13</v>
      </c>
      <c r="B14" t="s">
        <v>234</v>
      </c>
      <c r="C14" t="s">
        <v>550</v>
      </c>
      <c r="D14" t="s">
        <v>35</v>
      </c>
      <c r="E14">
        <v>10</v>
      </c>
    </row>
    <row r="15" spans="1:5" x14ac:dyDescent="0.25">
      <c r="A15">
        <v>14</v>
      </c>
      <c r="B15" t="s">
        <v>227</v>
      </c>
      <c r="C15" t="s">
        <v>552</v>
      </c>
      <c r="D15" t="s">
        <v>89</v>
      </c>
      <c r="E15">
        <v>6</v>
      </c>
    </row>
    <row r="16" spans="1:5" x14ac:dyDescent="0.25">
      <c r="A16">
        <v>15</v>
      </c>
      <c r="B16" t="s">
        <v>255</v>
      </c>
      <c r="C16" t="s">
        <v>553</v>
      </c>
      <c r="D16" t="s">
        <v>51</v>
      </c>
      <c r="E16">
        <v>7</v>
      </c>
    </row>
    <row r="17" spans="1:5" x14ac:dyDescent="0.25">
      <c r="A17">
        <v>16</v>
      </c>
      <c r="B17" t="s">
        <v>242</v>
      </c>
      <c r="C17" t="s">
        <v>554</v>
      </c>
      <c r="D17" t="s">
        <v>26</v>
      </c>
      <c r="E17">
        <v>5</v>
      </c>
    </row>
    <row r="18" spans="1:5" x14ac:dyDescent="0.25">
      <c r="A18">
        <v>17</v>
      </c>
      <c r="B18" t="s">
        <v>225</v>
      </c>
      <c r="C18" t="s">
        <v>563</v>
      </c>
      <c r="D18" t="s">
        <v>84</v>
      </c>
      <c r="E18">
        <v>6</v>
      </c>
    </row>
    <row r="19" spans="1:5" x14ac:dyDescent="0.25">
      <c r="A19">
        <v>18</v>
      </c>
      <c r="B19" t="s">
        <v>42</v>
      </c>
      <c r="C19" t="s">
        <v>526</v>
      </c>
      <c r="D19" t="s">
        <v>43</v>
      </c>
      <c r="E19">
        <v>13</v>
      </c>
    </row>
    <row r="20" spans="1:5" x14ac:dyDescent="0.25">
      <c r="A20">
        <v>19</v>
      </c>
      <c r="B20" t="s">
        <v>110</v>
      </c>
      <c r="C20" t="s">
        <v>536</v>
      </c>
      <c r="D20" t="s">
        <v>510</v>
      </c>
      <c r="E20">
        <v>11</v>
      </c>
    </row>
    <row r="21" spans="1:5" x14ac:dyDescent="0.25">
      <c r="A21">
        <v>20</v>
      </c>
      <c r="B21" t="s">
        <v>228</v>
      </c>
      <c r="C21" t="s">
        <v>565</v>
      </c>
      <c r="D21" t="s">
        <v>53</v>
      </c>
      <c r="E21">
        <v>13</v>
      </c>
    </row>
    <row r="22" spans="1:5" x14ac:dyDescent="0.25">
      <c r="A22">
        <v>21</v>
      </c>
      <c r="B22" t="s">
        <v>118</v>
      </c>
      <c r="C22" t="s">
        <v>538</v>
      </c>
      <c r="D22" t="s">
        <v>24</v>
      </c>
      <c r="E22">
        <v>11</v>
      </c>
    </row>
    <row r="23" spans="1:5" x14ac:dyDescent="0.25">
      <c r="A23">
        <v>22</v>
      </c>
      <c r="B23" t="s">
        <v>20</v>
      </c>
      <c r="C23" t="s">
        <v>542</v>
      </c>
      <c r="D23" t="s">
        <v>21</v>
      </c>
      <c r="E23">
        <v>14</v>
      </c>
    </row>
    <row r="24" spans="1:5" x14ac:dyDescent="0.25">
      <c r="A24">
        <v>23</v>
      </c>
      <c r="B24" t="s">
        <v>107</v>
      </c>
      <c r="C24" t="s">
        <v>539</v>
      </c>
      <c r="D24" t="s">
        <v>41</v>
      </c>
      <c r="E24">
        <v>8</v>
      </c>
    </row>
    <row r="25" spans="1:5" x14ac:dyDescent="0.25">
      <c r="A25">
        <v>24</v>
      </c>
      <c r="B25" t="s">
        <v>104</v>
      </c>
      <c r="C25" t="s">
        <v>541</v>
      </c>
      <c r="D25" t="s">
        <v>30</v>
      </c>
      <c r="E25">
        <v>14</v>
      </c>
    </row>
    <row r="26" spans="1:5" x14ac:dyDescent="0.25">
      <c r="A26">
        <v>25</v>
      </c>
      <c r="B26" t="s">
        <v>332</v>
      </c>
      <c r="C26" t="s">
        <v>532</v>
      </c>
      <c r="D26" t="s">
        <v>61</v>
      </c>
      <c r="E26">
        <v>7</v>
      </c>
    </row>
    <row r="27" spans="1:5" x14ac:dyDescent="0.25">
      <c r="A27">
        <v>26</v>
      </c>
      <c r="B27" t="s">
        <v>201</v>
      </c>
      <c r="C27" t="s">
        <v>543</v>
      </c>
      <c r="D27" t="s">
        <v>57</v>
      </c>
      <c r="E27">
        <v>8</v>
      </c>
    </row>
    <row r="28" spans="1:5" x14ac:dyDescent="0.25">
      <c r="A28">
        <v>27</v>
      </c>
      <c r="B28" t="s">
        <v>139</v>
      </c>
      <c r="C28" t="s">
        <v>548</v>
      </c>
      <c r="D28" t="s">
        <v>26</v>
      </c>
      <c r="E28">
        <v>5</v>
      </c>
    </row>
    <row r="29" spans="1:5" x14ac:dyDescent="0.25">
      <c r="A29">
        <v>28</v>
      </c>
      <c r="B29" t="s">
        <v>105</v>
      </c>
      <c r="C29" t="s">
        <v>549</v>
      </c>
      <c r="D29" t="s">
        <v>37</v>
      </c>
      <c r="E29">
        <v>8</v>
      </c>
    </row>
    <row r="30" spans="1:5" x14ac:dyDescent="0.25">
      <c r="A30">
        <v>29</v>
      </c>
      <c r="B30" t="s">
        <v>1677</v>
      </c>
      <c r="C30" t="s">
        <v>568</v>
      </c>
      <c r="D30" t="s">
        <v>21</v>
      </c>
      <c r="E30">
        <v>14</v>
      </c>
    </row>
    <row r="31" spans="1:5" x14ac:dyDescent="0.25">
      <c r="A31">
        <v>30</v>
      </c>
      <c r="B31" t="s">
        <v>119</v>
      </c>
      <c r="C31" t="s">
        <v>555</v>
      </c>
      <c r="D31" t="s">
        <v>35</v>
      </c>
      <c r="E31">
        <v>10</v>
      </c>
    </row>
    <row r="32" spans="1:5" x14ac:dyDescent="0.25">
      <c r="A32">
        <v>31</v>
      </c>
      <c r="B32" t="s">
        <v>106</v>
      </c>
      <c r="C32" t="s">
        <v>556</v>
      </c>
      <c r="D32" t="s">
        <v>53</v>
      </c>
      <c r="E32">
        <v>13</v>
      </c>
    </row>
    <row r="33" spans="1:5" x14ac:dyDescent="0.25">
      <c r="A33">
        <v>32</v>
      </c>
      <c r="B33" t="s">
        <v>229</v>
      </c>
      <c r="C33" t="s">
        <v>569</v>
      </c>
      <c r="D33" t="s">
        <v>55</v>
      </c>
      <c r="E33">
        <v>11</v>
      </c>
    </row>
    <row r="34" spans="1:5" x14ac:dyDescent="0.25">
      <c r="A34">
        <v>33</v>
      </c>
      <c r="B34" t="s">
        <v>122</v>
      </c>
      <c r="C34" t="s">
        <v>557</v>
      </c>
      <c r="D34" t="s">
        <v>65</v>
      </c>
      <c r="E34">
        <v>10</v>
      </c>
    </row>
    <row r="35" spans="1:5" x14ac:dyDescent="0.25">
      <c r="A35">
        <v>34</v>
      </c>
      <c r="B35" t="s">
        <v>239</v>
      </c>
      <c r="C35" t="s">
        <v>571</v>
      </c>
      <c r="D35" t="s">
        <v>82</v>
      </c>
      <c r="E35">
        <v>13</v>
      </c>
    </row>
    <row r="36" spans="1:5" x14ac:dyDescent="0.25">
      <c r="A36">
        <v>35</v>
      </c>
      <c r="B36" t="s">
        <v>232</v>
      </c>
      <c r="C36" t="s">
        <v>575</v>
      </c>
      <c r="D36" t="s">
        <v>30</v>
      </c>
      <c r="E36">
        <v>14</v>
      </c>
    </row>
    <row r="37" spans="1:5" x14ac:dyDescent="0.25">
      <c r="A37">
        <v>36</v>
      </c>
      <c r="B37" t="s">
        <v>129</v>
      </c>
      <c r="C37" t="s">
        <v>558</v>
      </c>
      <c r="D37" t="s">
        <v>51</v>
      </c>
      <c r="E37">
        <v>7</v>
      </c>
    </row>
    <row r="38" spans="1:5" x14ac:dyDescent="0.25">
      <c r="A38">
        <v>37</v>
      </c>
      <c r="B38" t="s">
        <v>114</v>
      </c>
      <c r="C38" t="s">
        <v>560</v>
      </c>
      <c r="D38" t="s">
        <v>89</v>
      </c>
      <c r="E38">
        <v>6</v>
      </c>
    </row>
    <row r="39" spans="1:5" x14ac:dyDescent="0.25">
      <c r="A39">
        <v>38</v>
      </c>
      <c r="B39" t="s">
        <v>44</v>
      </c>
      <c r="C39" t="s">
        <v>546</v>
      </c>
      <c r="D39" t="s">
        <v>45</v>
      </c>
      <c r="E39">
        <v>10</v>
      </c>
    </row>
    <row r="40" spans="1:5" x14ac:dyDescent="0.25">
      <c r="A40">
        <v>39</v>
      </c>
      <c r="B40" t="s">
        <v>233</v>
      </c>
      <c r="C40" t="s">
        <v>576</v>
      </c>
      <c r="D40" t="s">
        <v>69</v>
      </c>
      <c r="E40">
        <v>11</v>
      </c>
    </row>
    <row r="41" spans="1:5" x14ac:dyDescent="0.25">
      <c r="A41">
        <v>40</v>
      </c>
      <c r="B41" t="s">
        <v>161</v>
      </c>
      <c r="C41" t="s">
        <v>562</v>
      </c>
      <c r="D41" t="s">
        <v>82</v>
      </c>
      <c r="E41">
        <v>13</v>
      </c>
    </row>
    <row r="42" spans="1:5" x14ac:dyDescent="0.25">
      <c r="A42">
        <v>41</v>
      </c>
      <c r="B42" t="s">
        <v>115</v>
      </c>
      <c r="C42" t="s">
        <v>566</v>
      </c>
      <c r="D42" t="s">
        <v>95</v>
      </c>
      <c r="E42">
        <v>5</v>
      </c>
    </row>
    <row r="43" spans="1:5" x14ac:dyDescent="0.25">
      <c r="A43">
        <v>42</v>
      </c>
      <c r="B43" t="s">
        <v>257</v>
      </c>
      <c r="C43" t="s">
        <v>579</v>
      </c>
      <c r="D43" t="s">
        <v>57</v>
      </c>
      <c r="E43">
        <v>8</v>
      </c>
    </row>
    <row r="44" spans="1:5" x14ac:dyDescent="0.25">
      <c r="A44">
        <v>43</v>
      </c>
      <c r="B44" t="s">
        <v>123</v>
      </c>
      <c r="C44" t="s">
        <v>567</v>
      </c>
      <c r="D44" t="s">
        <v>78</v>
      </c>
      <c r="E44">
        <v>10</v>
      </c>
    </row>
    <row r="45" spans="1:5" x14ac:dyDescent="0.25">
      <c r="A45">
        <v>44</v>
      </c>
      <c r="B45" t="s">
        <v>230</v>
      </c>
      <c r="C45" t="s">
        <v>582</v>
      </c>
      <c r="D45" t="s">
        <v>37</v>
      </c>
      <c r="E45">
        <v>8</v>
      </c>
    </row>
    <row r="46" spans="1:5" x14ac:dyDescent="0.25">
      <c r="A46">
        <v>45</v>
      </c>
      <c r="B46" t="s">
        <v>134</v>
      </c>
      <c r="C46" t="s">
        <v>570</v>
      </c>
      <c r="D46" t="s">
        <v>61</v>
      </c>
      <c r="E46">
        <v>7</v>
      </c>
    </row>
    <row r="47" spans="1:5" x14ac:dyDescent="0.25">
      <c r="A47">
        <v>46</v>
      </c>
      <c r="B47" t="s">
        <v>147</v>
      </c>
      <c r="C47" t="s">
        <v>573</v>
      </c>
      <c r="D47" t="s">
        <v>45</v>
      </c>
      <c r="E47">
        <v>10</v>
      </c>
    </row>
    <row r="48" spans="1:5" x14ac:dyDescent="0.25">
      <c r="A48">
        <v>47</v>
      </c>
      <c r="B48" t="s">
        <v>247</v>
      </c>
      <c r="C48" t="s">
        <v>586</v>
      </c>
      <c r="D48" t="s">
        <v>41</v>
      </c>
      <c r="E48">
        <v>8</v>
      </c>
    </row>
    <row r="49" spans="1:5" x14ac:dyDescent="0.25">
      <c r="A49">
        <v>48</v>
      </c>
      <c r="B49" t="s">
        <v>351</v>
      </c>
      <c r="C49" t="s">
        <v>533</v>
      </c>
      <c r="D49" t="s">
        <v>53</v>
      </c>
      <c r="E49">
        <v>13</v>
      </c>
    </row>
    <row r="50" spans="1:5" x14ac:dyDescent="0.25">
      <c r="A50">
        <v>49</v>
      </c>
      <c r="B50" t="s">
        <v>155</v>
      </c>
      <c r="C50" t="s">
        <v>574</v>
      </c>
      <c r="D50" t="s">
        <v>59</v>
      </c>
      <c r="E50">
        <v>7</v>
      </c>
    </row>
    <row r="51" spans="1:5" x14ac:dyDescent="0.25">
      <c r="A51">
        <v>50</v>
      </c>
      <c r="B51" t="s">
        <v>235</v>
      </c>
      <c r="C51" t="s">
        <v>587</v>
      </c>
      <c r="D51" t="s">
        <v>45</v>
      </c>
      <c r="E51">
        <v>10</v>
      </c>
    </row>
    <row r="52" spans="1:5" x14ac:dyDescent="0.25">
      <c r="A52">
        <v>51</v>
      </c>
      <c r="B52" t="s">
        <v>246</v>
      </c>
      <c r="C52" t="s">
        <v>591</v>
      </c>
      <c r="D52" t="s">
        <v>32</v>
      </c>
      <c r="E52">
        <v>11</v>
      </c>
    </row>
    <row r="53" spans="1:5" x14ac:dyDescent="0.25">
      <c r="A53">
        <v>52</v>
      </c>
      <c r="B53" t="s">
        <v>273</v>
      </c>
      <c r="C53" t="s">
        <v>593</v>
      </c>
      <c r="D53" t="s">
        <v>67</v>
      </c>
      <c r="E53">
        <v>7</v>
      </c>
    </row>
    <row r="54" spans="1:5" x14ac:dyDescent="0.25">
      <c r="A54">
        <v>53</v>
      </c>
      <c r="B54" t="s">
        <v>111</v>
      </c>
      <c r="C54" t="s">
        <v>578</v>
      </c>
      <c r="D54" t="s">
        <v>75</v>
      </c>
      <c r="E54">
        <v>6</v>
      </c>
    </row>
    <row r="55" spans="1:5" x14ac:dyDescent="0.25">
      <c r="A55">
        <v>54</v>
      </c>
      <c r="B55" t="s">
        <v>108</v>
      </c>
      <c r="C55" t="s">
        <v>580</v>
      </c>
      <c r="D55" t="s">
        <v>55</v>
      </c>
      <c r="E55">
        <v>11</v>
      </c>
    </row>
    <row r="56" spans="1:5" x14ac:dyDescent="0.25">
      <c r="A56">
        <v>55</v>
      </c>
      <c r="B56" t="s">
        <v>27</v>
      </c>
      <c r="C56" t="s">
        <v>551</v>
      </c>
      <c r="D56" t="s">
        <v>28</v>
      </c>
      <c r="E56">
        <v>13</v>
      </c>
    </row>
    <row r="57" spans="1:5" x14ac:dyDescent="0.25">
      <c r="A57">
        <v>56</v>
      </c>
      <c r="B57" t="s">
        <v>254</v>
      </c>
      <c r="C57" t="s">
        <v>597</v>
      </c>
      <c r="D57" t="s">
        <v>65</v>
      </c>
      <c r="E57">
        <v>10</v>
      </c>
    </row>
    <row r="58" spans="1:5" x14ac:dyDescent="0.25">
      <c r="A58">
        <v>57</v>
      </c>
      <c r="B58" t="s">
        <v>174</v>
      </c>
      <c r="C58" t="s">
        <v>581</v>
      </c>
      <c r="D58" t="s">
        <v>47</v>
      </c>
      <c r="E58">
        <v>8</v>
      </c>
    </row>
    <row r="59" spans="1:5" x14ac:dyDescent="0.25">
      <c r="A59">
        <v>58</v>
      </c>
      <c r="B59" t="s">
        <v>360</v>
      </c>
      <c r="C59" t="s">
        <v>534</v>
      </c>
      <c r="D59" t="s">
        <v>89</v>
      </c>
      <c r="E59">
        <v>6</v>
      </c>
    </row>
    <row r="60" spans="1:5" x14ac:dyDescent="0.25">
      <c r="A60">
        <v>59</v>
      </c>
      <c r="B60" t="s">
        <v>241</v>
      </c>
      <c r="C60" t="s">
        <v>598</v>
      </c>
      <c r="D60" t="s">
        <v>510</v>
      </c>
      <c r="E60">
        <v>11</v>
      </c>
    </row>
    <row r="61" spans="1:5" x14ac:dyDescent="0.25">
      <c r="A61">
        <v>60</v>
      </c>
      <c r="B61" t="s">
        <v>145</v>
      </c>
      <c r="C61" t="s">
        <v>583</v>
      </c>
      <c r="D61" t="s">
        <v>69</v>
      </c>
      <c r="E61">
        <v>11</v>
      </c>
    </row>
    <row r="62" spans="1:5" x14ac:dyDescent="0.25">
      <c r="A62">
        <v>61</v>
      </c>
      <c r="B62" t="s">
        <v>333</v>
      </c>
      <c r="C62" t="s">
        <v>537</v>
      </c>
      <c r="D62" t="s">
        <v>510</v>
      </c>
      <c r="E62">
        <v>11</v>
      </c>
    </row>
    <row r="63" spans="1:5" x14ac:dyDescent="0.25">
      <c r="A63">
        <v>62</v>
      </c>
      <c r="B63" t="s">
        <v>140</v>
      </c>
      <c r="C63" t="s">
        <v>585</v>
      </c>
      <c r="D63" t="s">
        <v>45</v>
      </c>
      <c r="E63">
        <v>10</v>
      </c>
    </row>
    <row r="64" spans="1:5" x14ac:dyDescent="0.25">
      <c r="A64">
        <v>63</v>
      </c>
      <c r="B64" t="s">
        <v>126</v>
      </c>
      <c r="C64" t="s">
        <v>590</v>
      </c>
      <c r="D64" t="s">
        <v>67</v>
      </c>
      <c r="E64">
        <v>7</v>
      </c>
    </row>
    <row r="65" spans="1:5" x14ac:dyDescent="0.25">
      <c r="A65">
        <v>64</v>
      </c>
      <c r="B65" t="s">
        <v>1676</v>
      </c>
      <c r="C65" t="s">
        <v>605</v>
      </c>
      <c r="D65" t="s">
        <v>49</v>
      </c>
      <c r="E65">
        <v>11</v>
      </c>
    </row>
    <row r="66" spans="1:5" x14ac:dyDescent="0.25">
      <c r="A66">
        <v>65</v>
      </c>
      <c r="B66" t="s">
        <v>365</v>
      </c>
      <c r="C66" t="s">
        <v>559</v>
      </c>
      <c r="D66" t="s">
        <v>59</v>
      </c>
      <c r="E66">
        <v>7</v>
      </c>
    </row>
    <row r="67" spans="1:5" x14ac:dyDescent="0.25">
      <c r="A67">
        <v>66</v>
      </c>
      <c r="B67" t="s">
        <v>1675</v>
      </c>
      <c r="C67" t="s">
        <v>592</v>
      </c>
      <c r="D67" t="s">
        <v>63</v>
      </c>
      <c r="E67">
        <v>9</v>
      </c>
    </row>
    <row r="68" spans="1:5" x14ac:dyDescent="0.25">
      <c r="A68">
        <v>67</v>
      </c>
      <c r="B68" t="s">
        <v>337</v>
      </c>
      <c r="C68" t="s">
        <v>561</v>
      </c>
      <c r="D68" t="s">
        <v>45</v>
      </c>
      <c r="E68">
        <v>10</v>
      </c>
    </row>
    <row r="69" spans="1:5" x14ac:dyDescent="0.25">
      <c r="A69">
        <v>68</v>
      </c>
      <c r="B69" t="s">
        <v>141</v>
      </c>
      <c r="C69" t="s">
        <v>595</v>
      </c>
      <c r="D69" t="s">
        <v>67</v>
      </c>
      <c r="E69">
        <v>7</v>
      </c>
    </row>
    <row r="70" spans="1:5" x14ac:dyDescent="0.25">
      <c r="A70">
        <v>69</v>
      </c>
      <c r="B70" t="s">
        <v>237</v>
      </c>
      <c r="C70" t="s">
        <v>607</v>
      </c>
      <c r="D70" t="s">
        <v>71</v>
      </c>
      <c r="E70">
        <v>9</v>
      </c>
    </row>
    <row r="71" spans="1:5" x14ac:dyDescent="0.25">
      <c r="A71">
        <v>70</v>
      </c>
      <c r="B71" t="s">
        <v>148</v>
      </c>
      <c r="C71" t="s">
        <v>596</v>
      </c>
      <c r="D71" t="s">
        <v>21</v>
      </c>
      <c r="E71">
        <v>14</v>
      </c>
    </row>
    <row r="72" spans="1:5" x14ac:dyDescent="0.25">
      <c r="A72">
        <v>71</v>
      </c>
      <c r="B72" t="s">
        <v>68</v>
      </c>
      <c r="C72" t="s">
        <v>564</v>
      </c>
      <c r="D72" t="s">
        <v>69</v>
      </c>
      <c r="E72">
        <v>11</v>
      </c>
    </row>
    <row r="73" spans="1:5" x14ac:dyDescent="0.25">
      <c r="A73">
        <v>72</v>
      </c>
      <c r="B73" t="s">
        <v>340</v>
      </c>
      <c r="C73" t="s">
        <v>572</v>
      </c>
      <c r="D73" t="s">
        <v>35</v>
      </c>
      <c r="E73">
        <v>10</v>
      </c>
    </row>
    <row r="74" spans="1:5" x14ac:dyDescent="0.25">
      <c r="A74">
        <v>73</v>
      </c>
      <c r="B74" t="s">
        <v>245</v>
      </c>
      <c r="C74" t="s">
        <v>608</v>
      </c>
      <c r="D74" t="s">
        <v>510</v>
      </c>
      <c r="E74">
        <v>11</v>
      </c>
    </row>
    <row r="75" spans="1:5" x14ac:dyDescent="0.25">
      <c r="A75">
        <v>74</v>
      </c>
      <c r="B75" t="s">
        <v>1674</v>
      </c>
      <c r="C75" t="s">
        <v>599</v>
      </c>
      <c r="D75" t="s">
        <v>37</v>
      </c>
      <c r="E75">
        <v>8</v>
      </c>
    </row>
    <row r="76" spans="1:5" x14ac:dyDescent="0.25">
      <c r="A76">
        <v>75</v>
      </c>
      <c r="B76" t="s">
        <v>336</v>
      </c>
      <c r="C76" t="s">
        <v>594</v>
      </c>
      <c r="D76" t="s">
        <v>30</v>
      </c>
      <c r="E76">
        <v>14</v>
      </c>
    </row>
    <row r="77" spans="1:5" x14ac:dyDescent="0.25">
      <c r="A77">
        <v>76</v>
      </c>
      <c r="B77" t="s">
        <v>243</v>
      </c>
      <c r="C77" t="s">
        <v>609</v>
      </c>
      <c r="D77" t="s">
        <v>63</v>
      </c>
      <c r="E77">
        <v>9</v>
      </c>
    </row>
    <row r="78" spans="1:5" x14ac:dyDescent="0.25">
      <c r="A78">
        <v>77</v>
      </c>
      <c r="B78" t="s">
        <v>125</v>
      </c>
      <c r="C78" t="s">
        <v>600</v>
      </c>
      <c r="D78" t="s">
        <v>71</v>
      </c>
      <c r="E78">
        <v>9</v>
      </c>
    </row>
    <row r="79" spans="1:5" x14ac:dyDescent="0.25">
      <c r="A79">
        <v>78</v>
      </c>
      <c r="B79" t="s">
        <v>335</v>
      </c>
      <c r="C79" t="s">
        <v>601</v>
      </c>
      <c r="D79" t="s">
        <v>67</v>
      </c>
      <c r="E79">
        <v>7</v>
      </c>
    </row>
    <row r="80" spans="1:5" x14ac:dyDescent="0.25">
      <c r="A80">
        <v>79</v>
      </c>
      <c r="B80" t="s">
        <v>74</v>
      </c>
      <c r="C80" t="s">
        <v>577</v>
      </c>
      <c r="D80" t="s">
        <v>75</v>
      </c>
      <c r="E80">
        <v>6</v>
      </c>
    </row>
    <row r="81" spans="1:5" x14ac:dyDescent="0.25">
      <c r="A81">
        <v>80</v>
      </c>
      <c r="B81" t="s">
        <v>1070</v>
      </c>
      <c r="C81" t="s">
        <v>614</v>
      </c>
      <c r="D81" t="s">
        <v>95</v>
      </c>
      <c r="E81">
        <v>5</v>
      </c>
    </row>
    <row r="82" spans="1:5" x14ac:dyDescent="0.25">
      <c r="A82">
        <v>81</v>
      </c>
      <c r="B82" t="s">
        <v>341</v>
      </c>
      <c r="C82" t="s">
        <v>602</v>
      </c>
      <c r="D82" t="s">
        <v>51</v>
      </c>
      <c r="E82">
        <v>7</v>
      </c>
    </row>
    <row r="83" spans="1:5" x14ac:dyDescent="0.25">
      <c r="A83">
        <v>82</v>
      </c>
      <c r="B83" t="s">
        <v>240</v>
      </c>
      <c r="C83" t="s">
        <v>618</v>
      </c>
      <c r="D83" t="s">
        <v>78</v>
      </c>
      <c r="E83">
        <v>10</v>
      </c>
    </row>
    <row r="84" spans="1:5" x14ac:dyDescent="0.25">
      <c r="A84">
        <v>83</v>
      </c>
      <c r="B84" t="s">
        <v>23</v>
      </c>
      <c r="C84" t="s">
        <v>584</v>
      </c>
      <c r="D84" t="s">
        <v>24</v>
      </c>
      <c r="E84">
        <v>11</v>
      </c>
    </row>
    <row r="85" spans="1:5" x14ac:dyDescent="0.25">
      <c r="A85">
        <v>84</v>
      </c>
      <c r="B85" t="s">
        <v>112</v>
      </c>
      <c r="C85" t="s">
        <v>603</v>
      </c>
      <c r="D85" t="s">
        <v>78</v>
      </c>
      <c r="E85">
        <v>10</v>
      </c>
    </row>
    <row r="86" spans="1:5" x14ac:dyDescent="0.25">
      <c r="A86">
        <v>85</v>
      </c>
      <c r="B86" t="s">
        <v>133</v>
      </c>
      <c r="C86" t="s">
        <v>610</v>
      </c>
      <c r="D86" t="s">
        <v>51</v>
      </c>
      <c r="E86">
        <v>7</v>
      </c>
    </row>
    <row r="87" spans="1:5" x14ac:dyDescent="0.25">
      <c r="A87">
        <v>86</v>
      </c>
      <c r="B87" t="s">
        <v>109</v>
      </c>
      <c r="C87" t="s">
        <v>611</v>
      </c>
      <c r="D87" t="s">
        <v>21</v>
      </c>
      <c r="E87">
        <v>14</v>
      </c>
    </row>
    <row r="88" spans="1:5" x14ac:dyDescent="0.25">
      <c r="A88">
        <v>87</v>
      </c>
      <c r="B88" t="s">
        <v>31</v>
      </c>
      <c r="C88" t="s">
        <v>588</v>
      </c>
      <c r="D88" t="s">
        <v>32</v>
      </c>
      <c r="E88">
        <v>11</v>
      </c>
    </row>
    <row r="89" spans="1:5" x14ac:dyDescent="0.25">
      <c r="A89">
        <v>88</v>
      </c>
      <c r="B89" t="s">
        <v>177</v>
      </c>
      <c r="C89" t="s">
        <v>613</v>
      </c>
      <c r="D89" t="s">
        <v>65</v>
      </c>
      <c r="E89">
        <v>10</v>
      </c>
    </row>
    <row r="90" spans="1:5" x14ac:dyDescent="0.25">
      <c r="A90">
        <v>89</v>
      </c>
      <c r="B90" t="s">
        <v>238</v>
      </c>
      <c r="C90" t="s">
        <v>620</v>
      </c>
      <c r="D90" t="s">
        <v>71</v>
      </c>
      <c r="E90">
        <v>9</v>
      </c>
    </row>
    <row r="91" spans="1:5" x14ac:dyDescent="0.25">
      <c r="A91">
        <v>90</v>
      </c>
      <c r="B91" t="s">
        <v>143</v>
      </c>
      <c r="C91" t="s">
        <v>616</v>
      </c>
      <c r="D91" t="s">
        <v>28</v>
      </c>
      <c r="E91">
        <v>13</v>
      </c>
    </row>
    <row r="92" spans="1:5" x14ac:dyDescent="0.25">
      <c r="A92">
        <v>91</v>
      </c>
      <c r="B92" t="s">
        <v>260</v>
      </c>
      <c r="C92" t="s">
        <v>621</v>
      </c>
      <c r="D92" t="s">
        <v>55</v>
      </c>
      <c r="E92">
        <v>11</v>
      </c>
    </row>
    <row r="93" spans="1:5" x14ac:dyDescent="0.25">
      <c r="A93">
        <v>92</v>
      </c>
      <c r="B93" t="s">
        <v>214</v>
      </c>
      <c r="C93" t="s">
        <v>619</v>
      </c>
      <c r="D93" t="s">
        <v>69</v>
      </c>
      <c r="E93">
        <v>11</v>
      </c>
    </row>
    <row r="94" spans="1:5" x14ac:dyDescent="0.25">
      <c r="A94">
        <v>93</v>
      </c>
      <c r="B94" t="s">
        <v>113</v>
      </c>
      <c r="C94" t="s">
        <v>622</v>
      </c>
      <c r="D94" t="s">
        <v>63</v>
      </c>
      <c r="E94">
        <v>9</v>
      </c>
    </row>
    <row r="95" spans="1:5" x14ac:dyDescent="0.25">
      <c r="A95">
        <v>94</v>
      </c>
      <c r="B95" t="s">
        <v>258</v>
      </c>
      <c r="C95" t="s">
        <v>623</v>
      </c>
      <c r="D95" t="s">
        <v>95</v>
      </c>
      <c r="E95">
        <v>5</v>
      </c>
    </row>
    <row r="96" spans="1:5" x14ac:dyDescent="0.25">
      <c r="A96">
        <v>95</v>
      </c>
      <c r="B96" t="s">
        <v>127</v>
      </c>
      <c r="C96" t="s">
        <v>624</v>
      </c>
      <c r="D96" t="s">
        <v>28</v>
      </c>
      <c r="E96">
        <v>13</v>
      </c>
    </row>
    <row r="97" spans="1:5" x14ac:dyDescent="0.25">
      <c r="A97">
        <v>96</v>
      </c>
      <c r="B97" t="s">
        <v>236</v>
      </c>
      <c r="C97" t="s">
        <v>628</v>
      </c>
      <c r="D97" t="s">
        <v>65</v>
      </c>
      <c r="E97">
        <v>10</v>
      </c>
    </row>
    <row r="98" spans="1:5" x14ac:dyDescent="0.25">
      <c r="A98">
        <v>97</v>
      </c>
      <c r="B98" t="s">
        <v>117</v>
      </c>
      <c r="C98" t="s">
        <v>625</v>
      </c>
      <c r="D98" t="s">
        <v>71</v>
      </c>
      <c r="E98">
        <v>9</v>
      </c>
    </row>
    <row r="99" spans="1:5" x14ac:dyDescent="0.25">
      <c r="A99">
        <v>98</v>
      </c>
      <c r="B99" t="s">
        <v>334</v>
      </c>
      <c r="C99" t="s">
        <v>604</v>
      </c>
      <c r="D99" t="s">
        <v>55</v>
      </c>
      <c r="E99">
        <v>11</v>
      </c>
    </row>
    <row r="100" spans="1:5" x14ac:dyDescent="0.25">
      <c r="A100">
        <v>99</v>
      </c>
      <c r="B100" t="s">
        <v>345</v>
      </c>
      <c r="C100" t="s">
        <v>615</v>
      </c>
      <c r="D100" t="s">
        <v>57</v>
      </c>
      <c r="E100">
        <v>8</v>
      </c>
    </row>
    <row r="101" spans="1:5" x14ac:dyDescent="0.25">
      <c r="A101">
        <v>100</v>
      </c>
      <c r="B101" t="s">
        <v>342</v>
      </c>
      <c r="C101" t="s">
        <v>630</v>
      </c>
      <c r="D101" t="s">
        <v>26</v>
      </c>
      <c r="E101">
        <v>5</v>
      </c>
    </row>
    <row r="102" spans="1:5" x14ac:dyDescent="0.25">
      <c r="A102">
        <v>101</v>
      </c>
      <c r="B102" t="s">
        <v>263</v>
      </c>
      <c r="C102" t="s">
        <v>629</v>
      </c>
      <c r="D102" t="s">
        <v>78</v>
      </c>
      <c r="E102">
        <v>10</v>
      </c>
    </row>
    <row r="103" spans="1:5" x14ac:dyDescent="0.25">
      <c r="A103">
        <v>102</v>
      </c>
      <c r="B103" t="s">
        <v>256</v>
      </c>
      <c r="C103" t="s">
        <v>633</v>
      </c>
      <c r="D103" t="s">
        <v>73</v>
      </c>
      <c r="E103">
        <v>6</v>
      </c>
    </row>
    <row r="104" spans="1:5" x14ac:dyDescent="0.25">
      <c r="A104">
        <v>103</v>
      </c>
      <c r="B104" t="s">
        <v>250</v>
      </c>
      <c r="C104" t="s">
        <v>637</v>
      </c>
      <c r="D104" t="s">
        <v>45</v>
      </c>
      <c r="E104">
        <v>10</v>
      </c>
    </row>
    <row r="105" spans="1:5" x14ac:dyDescent="0.25">
      <c r="A105">
        <v>104</v>
      </c>
      <c r="B105" t="s">
        <v>339</v>
      </c>
      <c r="C105" t="s">
        <v>640</v>
      </c>
      <c r="D105" t="s">
        <v>75</v>
      </c>
      <c r="E105">
        <v>6</v>
      </c>
    </row>
    <row r="106" spans="1:5" x14ac:dyDescent="0.25">
      <c r="A106">
        <v>105</v>
      </c>
      <c r="B106" t="s">
        <v>355</v>
      </c>
      <c r="C106" t="s">
        <v>641</v>
      </c>
      <c r="D106" t="s">
        <v>47</v>
      </c>
      <c r="E106">
        <v>8</v>
      </c>
    </row>
    <row r="107" spans="1:5" x14ac:dyDescent="0.25">
      <c r="A107">
        <v>106</v>
      </c>
      <c r="B107" t="s">
        <v>1673</v>
      </c>
      <c r="C107" t="s">
        <v>626</v>
      </c>
      <c r="D107" t="s">
        <v>35</v>
      </c>
      <c r="E107">
        <v>10</v>
      </c>
    </row>
    <row r="108" spans="1:5" x14ac:dyDescent="0.25">
      <c r="A108">
        <v>107</v>
      </c>
      <c r="B108" t="s">
        <v>144</v>
      </c>
      <c r="C108" t="s">
        <v>631</v>
      </c>
      <c r="D108" t="s">
        <v>73</v>
      </c>
      <c r="E108">
        <v>6</v>
      </c>
    </row>
    <row r="109" spans="1:5" x14ac:dyDescent="0.25">
      <c r="A109">
        <v>108</v>
      </c>
      <c r="B109" t="s">
        <v>98</v>
      </c>
      <c r="C109" t="s">
        <v>589</v>
      </c>
      <c r="D109" t="s">
        <v>57</v>
      </c>
      <c r="E109">
        <v>8</v>
      </c>
    </row>
    <row r="110" spans="1:5" x14ac:dyDescent="0.25">
      <c r="A110">
        <v>109</v>
      </c>
      <c r="B110" t="s">
        <v>338</v>
      </c>
      <c r="C110" t="s">
        <v>644</v>
      </c>
      <c r="D110" t="s">
        <v>78</v>
      </c>
      <c r="E110">
        <v>10</v>
      </c>
    </row>
    <row r="111" spans="1:5" x14ac:dyDescent="0.25">
      <c r="A111">
        <v>110</v>
      </c>
      <c r="B111" t="s">
        <v>116</v>
      </c>
      <c r="C111" t="s">
        <v>632</v>
      </c>
      <c r="D111" t="s">
        <v>59</v>
      </c>
      <c r="E111">
        <v>7</v>
      </c>
    </row>
    <row r="112" spans="1:5" x14ac:dyDescent="0.25">
      <c r="A112">
        <v>111</v>
      </c>
      <c r="B112" t="s">
        <v>46</v>
      </c>
      <c r="C112" t="s">
        <v>606</v>
      </c>
      <c r="D112" t="s">
        <v>47</v>
      </c>
      <c r="E112">
        <v>8</v>
      </c>
    </row>
    <row r="113" spans="1:5" x14ac:dyDescent="0.25">
      <c r="A113">
        <v>112</v>
      </c>
      <c r="B113" t="s">
        <v>252</v>
      </c>
      <c r="C113" t="s">
        <v>638</v>
      </c>
      <c r="D113" t="s">
        <v>59</v>
      </c>
      <c r="E113">
        <v>7</v>
      </c>
    </row>
    <row r="114" spans="1:5" x14ac:dyDescent="0.25">
      <c r="A114">
        <v>113</v>
      </c>
      <c r="B114" t="s">
        <v>253</v>
      </c>
      <c r="C114" t="s">
        <v>639</v>
      </c>
      <c r="D114" t="s">
        <v>59</v>
      </c>
      <c r="E114">
        <v>7</v>
      </c>
    </row>
    <row r="115" spans="1:5" x14ac:dyDescent="0.25">
      <c r="A115">
        <v>114</v>
      </c>
      <c r="B115" t="s">
        <v>25</v>
      </c>
      <c r="C115" t="s">
        <v>612</v>
      </c>
      <c r="D115" t="s">
        <v>26</v>
      </c>
      <c r="E115">
        <v>5</v>
      </c>
    </row>
    <row r="116" spans="1:5" x14ac:dyDescent="0.25">
      <c r="A116">
        <v>115</v>
      </c>
      <c r="B116" t="s">
        <v>131</v>
      </c>
      <c r="C116" t="s">
        <v>634</v>
      </c>
      <c r="D116" t="s">
        <v>67</v>
      </c>
      <c r="E116">
        <v>7</v>
      </c>
    </row>
    <row r="117" spans="1:5" x14ac:dyDescent="0.25">
      <c r="A117">
        <v>116</v>
      </c>
      <c r="B117" t="s">
        <v>60</v>
      </c>
      <c r="C117" t="s">
        <v>617</v>
      </c>
      <c r="D117" t="s">
        <v>61</v>
      </c>
      <c r="E117">
        <v>7</v>
      </c>
    </row>
    <row r="118" spans="1:5" x14ac:dyDescent="0.25">
      <c r="A118">
        <v>117</v>
      </c>
      <c r="B118" t="s">
        <v>188</v>
      </c>
      <c r="C118" t="s">
        <v>635</v>
      </c>
      <c r="D118" t="s">
        <v>69</v>
      </c>
      <c r="E118">
        <v>11</v>
      </c>
    </row>
    <row r="119" spans="1:5" x14ac:dyDescent="0.25">
      <c r="A119">
        <v>118</v>
      </c>
      <c r="B119" t="s">
        <v>158</v>
      </c>
      <c r="C119" t="s">
        <v>643</v>
      </c>
      <c r="D119" t="s">
        <v>26</v>
      </c>
      <c r="E119">
        <v>5</v>
      </c>
    </row>
    <row r="120" spans="1:5" x14ac:dyDescent="0.25">
      <c r="A120">
        <v>119</v>
      </c>
      <c r="B120" t="s">
        <v>369</v>
      </c>
      <c r="C120" t="s">
        <v>646</v>
      </c>
      <c r="D120" t="s">
        <v>73</v>
      </c>
      <c r="E120">
        <v>6</v>
      </c>
    </row>
    <row r="121" spans="1:5" x14ac:dyDescent="0.25">
      <c r="A121">
        <v>120</v>
      </c>
      <c r="B121" t="s">
        <v>343</v>
      </c>
      <c r="C121" t="s">
        <v>649</v>
      </c>
      <c r="D121" t="s">
        <v>65</v>
      </c>
      <c r="E121">
        <v>10</v>
      </c>
    </row>
    <row r="122" spans="1:5" x14ac:dyDescent="0.25">
      <c r="A122">
        <v>121</v>
      </c>
      <c r="B122" t="s">
        <v>34</v>
      </c>
      <c r="C122" t="s">
        <v>627</v>
      </c>
      <c r="D122" t="s">
        <v>35</v>
      </c>
      <c r="E122">
        <v>10</v>
      </c>
    </row>
    <row r="123" spans="1:5" x14ac:dyDescent="0.25">
      <c r="A123">
        <v>122</v>
      </c>
      <c r="B123" t="s">
        <v>346</v>
      </c>
      <c r="C123" t="s">
        <v>657</v>
      </c>
      <c r="D123" t="s">
        <v>69</v>
      </c>
      <c r="E123">
        <v>11</v>
      </c>
    </row>
    <row r="124" spans="1:5" x14ac:dyDescent="0.25">
      <c r="A124">
        <v>123</v>
      </c>
      <c r="B124" t="s">
        <v>136</v>
      </c>
      <c r="C124" t="s">
        <v>645</v>
      </c>
      <c r="D124" t="s">
        <v>510</v>
      </c>
      <c r="E124">
        <v>11</v>
      </c>
    </row>
    <row r="125" spans="1:5" x14ac:dyDescent="0.25">
      <c r="A125">
        <v>124</v>
      </c>
      <c r="B125" t="s">
        <v>29</v>
      </c>
      <c r="C125" t="s">
        <v>636</v>
      </c>
      <c r="D125" t="s">
        <v>30</v>
      </c>
      <c r="E125">
        <v>14</v>
      </c>
    </row>
    <row r="126" spans="1:5" x14ac:dyDescent="0.25">
      <c r="A126">
        <v>125</v>
      </c>
      <c r="B126" t="s">
        <v>357</v>
      </c>
      <c r="C126" t="s">
        <v>659</v>
      </c>
      <c r="D126" t="s">
        <v>37</v>
      </c>
      <c r="E126">
        <v>8</v>
      </c>
    </row>
    <row r="127" spans="1:5" x14ac:dyDescent="0.25">
      <c r="A127">
        <v>126</v>
      </c>
      <c r="B127" t="s">
        <v>146</v>
      </c>
      <c r="C127" t="s">
        <v>647</v>
      </c>
      <c r="D127" t="s">
        <v>41</v>
      </c>
      <c r="E127">
        <v>8</v>
      </c>
    </row>
    <row r="128" spans="1:5" x14ac:dyDescent="0.25">
      <c r="A128">
        <v>127</v>
      </c>
      <c r="B128" t="s">
        <v>52</v>
      </c>
      <c r="C128" t="s">
        <v>642</v>
      </c>
      <c r="D128" t="s">
        <v>53</v>
      </c>
      <c r="E128">
        <v>13</v>
      </c>
    </row>
    <row r="129" spans="1:5" x14ac:dyDescent="0.25">
      <c r="A129">
        <v>128</v>
      </c>
      <c r="B129" t="s">
        <v>124</v>
      </c>
      <c r="C129" t="s">
        <v>651</v>
      </c>
      <c r="D129" t="s">
        <v>47</v>
      </c>
      <c r="E129">
        <v>8</v>
      </c>
    </row>
    <row r="130" spans="1:5" x14ac:dyDescent="0.25">
      <c r="A130">
        <v>129</v>
      </c>
      <c r="B130" t="s">
        <v>1672</v>
      </c>
      <c r="C130" t="s">
        <v>654</v>
      </c>
      <c r="D130" t="s">
        <v>32</v>
      </c>
      <c r="E130">
        <v>11</v>
      </c>
    </row>
    <row r="131" spans="1:5" x14ac:dyDescent="0.25">
      <c r="A131">
        <v>130</v>
      </c>
      <c r="B131" t="s">
        <v>261</v>
      </c>
      <c r="C131" t="s">
        <v>648</v>
      </c>
      <c r="D131" t="s">
        <v>73</v>
      </c>
      <c r="E131">
        <v>6</v>
      </c>
    </row>
    <row r="132" spans="1:5" x14ac:dyDescent="0.25">
      <c r="A132">
        <v>131</v>
      </c>
      <c r="B132" t="s">
        <v>248</v>
      </c>
      <c r="C132" t="s">
        <v>650</v>
      </c>
      <c r="D132" t="s">
        <v>57</v>
      </c>
      <c r="E132">
        <v>8</v>
      </c>
    </row>
    <row r="133" spans="1:5" x14ac:dyDescent="0.25">
      <c r="A133">
        <v>132</v>
      </c>
      <c r="B133" t="s">
        <v>168</v>
      </c>
      <c r="C133" t="s">
        <v>658</v>
      </c>
      <c r="D133" t="s">
        <v>95</v>
      </c>
      <c r="E133">
        <v>5</v>
      </c>
    </row>
    <row r="134" spans="1:5" x14ac:dyDescent="0.25">
      <c r="A134">
        <v>133</v>
      </c>
      <c r="B134" t="s">
        <v>138</v>
      </c>
      <c r="C134" t="s">
        <v>660</v>
      </c>
      <c r="D134" t="s">
        <v>49</v>
      </c>
      <c r="E134">
        <v>11</v>
      </c>
    </row>
    <row r="135" spans="1:5" x14ac:dyDescent="0.25">
      <c r="A135">
        <v>134</v>
      </c>
      <c r="B135" t="s">
        <v>135</v>
      </c>
      <c r="C135" t="s">
        <v>662</v>
      </c>
      <c r="D135" t="s">
        <v>61</v>
      </c>
      <c r="E135">
        <v>7</v>
      </c>
    </row>
    <row r="136" spans="1:5" x14ac:dyDescent="0.25">
      <c r="A136">
        <v>135</v>
      </c>
      <c r="B136" t="s">
        <v>271</v>
      </c>
      <c r="C136" t="s">
        <v>652</v>
      </c>
      <c r="D136" t="s">
        <v>67</v>
      </c>
      <c r="E136">
        <v>7</v>
      </c>
    </row>
    <row r="137" spans="1:5" x14ac:dyDescent="0.25">
      <c r="A137">
        <v>136</v>
      </c>
      <c r="B137" t="s">
        <v>287</v>
      </c>
      <c r="C137" t="s">
        <v>653</v>
      </c>
      <c r="D137" t="s">
        <v>51</v>
      </c>
      <c r="E137">
        <v>7</v>
      </c>
    </row>
    <row r="138" spans="1:5" x14ac:dyDescent="0.25">
      <c r="A138">
        <v>137</v>
      </c>
      <c r="B138" t="s">
        <v>376</v>
      </c>
      <c r="C138" t="s">
        <v>663</v>
      </c>
      <c r="D138" t="s">
        <v>84</v>
      </c>
      <c r="E138">
        <v>6</v>
      </c>
    </row>
    <row r="139" spans="1:5" x14ac:dyDescent="0.25">
      <c r="A139">
        <v>138</v>
      </c>
      <c r="B139" t="s">
        <v>249</v>
      </c>
      <c r="C139" t="s">
        <v>656</v>
      </c>
      <c r="D139" t="s">
        <v>41</v>
      </c>
      <c r="E139">
        <v>8</v>
      </c>
    </row>
    <row r="140" spans="1:5" x14ac:dyDescent="0.25">
      <c r="A140">
        <v>139</v>
      </c>
      <c r="B140" t="s">
        <v>1671</v>
      </c>
      <c r="C140" t="s">
        <v>666</v>
      </c>
      <c r="D140" t="s">
        <v>47</v>
      </c>
      <c r="E140">
        <v>8</v>
      </c>
    </row>
    <row r="141" spans="1:5" x14ac:dyDescent="0.25">
      <c r="A141">
        <v>140</v>
      </c>
      <c r="B141" t="s">
        <v>62</v>
      </c>
      <c r="C141" t="s">
        <v>673</v>
      </c>
      <c r="D141" t="s">
        <v>59</v>
      </c>
      <c r="E141">
        <v>7</v>
      </c>
    </row>
    <row r="142" spans="1:5" x14ac:dyDescent="0.25">
      <c r="A142">
        <v>141</v>
      </c>
      <c r="B142" t="s">
        <v>36</v>
      </c>
      <c r="C142" t="s">
        <v>674</v>
      </c>
      <c r="D142" t="s">
        <v>37</v>
      </c>
      <c r="E142">
        <v>8</v>
      </c>
    </row>
    <row r="143" spans="1:5" x14ac:dyDescent="0.25">
      <c r="A143">
        <v>142</v>
      </c>
      <c r="B143" t="s">
        <v>344</v>
      </c>
      <c r="C143" t="s">
        <v>671</v>
      </c>
      <c r="D143" t="s">
        <v>49</v>
      </c>
      <c r="E143">
        <v>11</v>
      </c>
    </row>
    <row r="144" spans="1:5" x14ac:dyDescent="0.25">
      <c r="A144">
        <v>143</v>
      </c>
      <c r="B144" t="s">
        <v>259</v>
      </c>
      <c r="C144" t="s">
        <v>661</v>
      </c>
      <c r="D144" t="s">
        <v>21</v>
      </c>
      <c r="E144">
        <v>14</v>
      </c>
    </row>
    <row r="145" spans="1:5" x14ac:dyDescent="0.25">
      <c r="A145">
        <v>144</v>
      </c>
      <c r="B145" t="s">
        <v>66</v>
      </c>
      <c r="C145" t="s">
        <v>678</v>
      </c>
      <c r="D145" t="s">
        <v>67</v>
      </c>
      <c r="E145">
        <v>7</v>
      </c>
    </row>
    <row r="146" spans="1:5" x14ac:dyDescent="0.25">
      <c r="A146">
        <v>145</v>
      </c>
      <c r="B146" t="s">
        <v>244</v>
      </c>
      <c r="C146" t="s">
        <v>665</v>
      </c>
      <c r="D146" t="s">
        <v>49</v>
      </c>
      <c r="E146">
        <v>11</v>
      </c>
    </row>
    <row r="147" spans="1:5" x14ac:dyDescent="0.25">
      <c r="A147">
        <v>146</v>
      </c>
      <c r="B147" t="s">
        <v>1670</v>
      </c>
      <c r="C147" t="s">
        <v>667</v>
      </c>
      <c r="D147" t="s">
        <v>32</v>
      </c>
      <c r="E147">
        <v>11</v>
      </c>
    </row>
    <row r="148" spans="1:5" x14ac:dyDescent="0.25">
      <c r="A148">
        <v>147</v>
      </c>
      <c r="B148" t="s">
        <v>353</v>
      </c>
      <c r="C148" t="s">
        <v>682</v>
      </c>
      <c r="D148" t="s">
        <v>63</v>
      </c>
      <c r="E148">
        <v>9</v>
      </c>
    </row>
    <row r="149" spans="1:5" x14ac:dyDescent="0.25">
      <c r="A149">
        <v>148</v>
      </c>
      <c r="B149" t="s">
        <v>352</v>
      </c>
      <c r="C149" t="s">
        <v>692</v>
      </c>
      <c r="D149" t="s">
        <v>41</v>
      </c>
      <c r="E149">
        <v>8</v>
      </c>
    </row>
    <row r="150" spans="1:5" x14ac:dyDescent="0.25">
      <c r="A150">
        <v>149</v>
      </c>
      <c r="B150" t="s">
        <v>160</v>
      </c>
      <c r="C150" t="s">
        <v>669</v>
      </c>
      <c r="D150" t="s">
        <v>43</v>
      </c>
      <c r="E150">
        <v>13</v>
      </c>
    </row>
    <row r="151" spans="1:5" x14ac:dyDescent="0.25">
      <c r="A151">
        <v>150</v>
      </c>
      <c r="B151" t="s">
        <v>348</v>
      </c>
      <c r="C151" t="s">
        <v>700</v>
      </c>
      <c r="D151" t="s">
        <v>28</v>
      </c>
      <c r="E151">
        <v>13</v>
      </c>
    </row>
    <row r="152" spans="1:5" x14ac:dyDescent="0.25">
      <c r="A152">
        <v>151</v>
      </c>
      <c r="B152" t="s">
        <v>266</v>
      </c>
      <c r="C152" t="s">
        <v>668</v>
      </c>
      <c r="D152" t="s">
        <v>37</v>
      </c>
      <c r="E152">
        <v>8</v>
      </c>
    </row>
    <row r="153" spans="1:5" x14ac:dyDescent="0.25">
      <c r="A153">
        <v>152</v>
      </c>
      <c r="B153" t="s">
        <v>264</v>
      </c>
      <c r="C153" t="s">
        <v>670</v>
      </c>
      <c r="D153" t="s">
        <v>63</v>
      </c>
      <c r="E153">
        <v>9</v>
      </c>
    </row>
    <row r="154" spans="1:5" x14ac:dyDescent="0.25">
      <c r="A154">
        <v>153</v>
      </c>
      <c r="B154" t="s">
        <v>1669</v>
      </c>
      <c r="C154" t="s">
        <v>675</v>
      </c>
      <c r="D154" t="s">
        <v>78</v>
      </c>
      <c r="E154">
        <v>10</v>
      </c>
    </row>
    <row r="155" spans="1:5" x14ac:dyDescent="0.25">
      <c r="A155">
        <v>154</v>
      </c>
      <c r="B155" t="s">
        <v>38</v>
      </c>
      <c r="C155" t="s">
        <v>679</v>
      </c>
      <c r="D155" t="s">
        <v>510</v>
      </c>
      <c r="E155">
        <v>11</v>
      </c>
    </row>
    <row r="156" spans="1:5" x14ac:dyDescent="0.25">
      <c r="A156">
        <v>155</v>
      </c>
      <c r="B156" t="s">
        <v>289</v>
      </c>
      <c r="C156" t="s">
        <v>680</v>
      </c>
      <c r="D156" t="s">
        <v>35</v>
      </c>
      <c r="E156">
        <v>10</v>
      </c>
    </row>
    <row r="157" spans="1:5" x14ac:dyDescent="0.25">
      <c r="A157">
        <v>156</v>
      </c>
      <c r="B157" t="s">
        <v>413</v>
      </c>
      <c r="C157" t="s">
        <v>672</v>
      </c>
      <c r="D157" t="s">
        <v>65</v>
      </c>
      <c r="E157">
        <v>10</v>
      </c>
    </row>
    <row r="158" spans="1:5" x14ac:dyDescent="0.25">
      <c r="A158">
        <v>157</v>
      </c>
      <c r="B158" t="s">
        <v>276</v>
      </c>
      <c r="C158" t="s">
        <v>681</v>
      </c>
      <c r="D158" t="s">
        <v>75</v>
      </c>
      <c r="E158">
        <v>6</v>
      </c>
    </row>
    <row r="159" spans="1:5" x14ac:dyDescent="0.25">
      <c r="A159">
        <v>158</v>
      </c>
      <c r="B159" t="s">
        <v>50</v>
      </c>
      <c r="C159" t="s">
        <v>685</v>
      </c>
      <c r="D159" t="s">
        <v>51</v>
      </c>
      <c r="E159">
        <v>7</v>
      </c>
    </row>
    <row r="160" spans="1:5" x14ac:dyDescent="0.25">
      <c r="A160">
        <v>159</v>
      </c>
      <c r="B160" t="s">
        <v>137</v>
      </c>
      <c r="C160" t="s">
        <v>676</v>
      </c>
      <c r="D160" t="s">
        <v>43</v>
      </c>
      <c r="E160">
        <v>13</v>
      </c>
    </row>
    <row r="161" spans="1:5" x14ac:dyDescent="0.25">
      <c r="A161">
        <v>160</v>
      </c>
      <c r="B161" t="s">
        <v>350</v>
      </c>
      <c r="C161" t="s">
        <v>709</v>
      </c>
      <c r="D161" t="s">
        <v>95</v>
      </c>
      <c r="E161">
        <v>5</v>
      </c>
    </row>
    <row r="162" spans="1:5" x14ac:dyDescent="0.25">
      <c r="A162">
        <v>161</v>
      </c>
      <c r="B162" t="s">
        <v>275</v>
      </c>
      <c r="C162" t="s">
        <v>684</v>
      </c>
      <c r="D162" t="s">
        <v>32</v>
      </c>
      <c r="E162">
        <v>11</v>
      </c>
    </row>
    <row r="163" spans="1:5" x14ac:dyDescent="0.25">
      <c r="A163">
        <v>162</v>
      </c>
      <c r="B163" t="s">
        <v>1668</v>
      </c>
      <c r="C163" t="s">
        <v>677</v>
      </c>
      <c r="D163" t="s">
        <v>82</v>
      </c>
      <c r="E163">
        <v>13</v>
      </c>
    </row>
    <row r="164" spans="1:5" x14ac:dyDescent="0.25">
      <c r="A164">
        <v>163</v>
      </c>
      <c r="B164" t="s">
        <v>1071</v>
      </c>
      <c r="C164" t="s">
        <v>688</v>
      </c>
      <c r="D164" t="s">
        <v>69</v>
      </c>
      <c r="E164">
        <v>11</v>
      </c>
    </row>
    <row r="165" spans="1:5" x14ac:dyDescent="0.25">
      <c r="A165">
        <v>164</v>
      </c>
      <c r="B165" t="s">
        <v>132</v>
      </c>
      <c r="C165" t="s">
        <v>683</v>
      </c>
      <c r="D165" t="s">
        <v>73</v>
      </c>
      <c r="E165">
        <v>6</v>
      </c>
    </row>
    <row r="166" spans="1:5" x14ac:dyDescent="0.25">
      <c r="A166">
        <v>165</v>
      </c>
      <c r="B166" t="s">
        <v>190</v>
      </c>
      <c r="C166" t="s">
        <v>687</v>
      </c>
      <c r="D166" t="s">
        <v>51</v>
      </c>
      <c r="E166">
        <v>7</v>
      </c>
    </row>
    <row r="167" spans="1:5" x14ac:dyDescent="0.25">
      <c r="A167">
        <v>166</v>
      </c>
      <c r="B167" t="s">
        <v>72</v>
      </c>
      <c r="C167" t="s">
        <v>690</v>
      </c>
      <c r="D167" t="s">
        <v>73</v>
      </c>
      <c r="E167">
        <v>6</v>
      </c>
    </row>
    <row r="168" spans="1:5" x14ac:dyDescent="0.25">
      <c r="A168">
        <v>167</v>
      </c>
      <c r="B168" t="s">
        <v>153</v>
      </c>
      <c r="C168" t="s">
        <v>691</v>
      </c>
      <c r="D168" t="s">
        <v>84</v>
      </c>
      <c r="E168">
        <v>6</v>
      </c>
    </row>
    <row r="169" spans="1:5" x14ac:dyDescent="0.25">
      <c r="A169">
        <v>168</v>
      </c>
      <c r="B169" t="s">
        <v>196</v>
      </c>
      <c r="C169" t="s">
        <v>695</v>
      </c>
      <c r="D169" t="s">
        <v>67</v>
      </c>
      <c r="E169">
        <v>7</v>
      </c>
    </row>
    <row r="170" spans="1:5" x14ac:dyDescent="0.25">
      <c r="A170">
        <v>169</v>
      </c>
      <c r="B170" t="s">
        <v>312</v>
      </c>
      <c r="C170" t="s">
        <v>689</v>
      </c>
      <c r="D170" t="s">
        <v>30</v>
      </c>
      <c r="E170">
        <v>14</v>
      </c>
    </row>
    <row r="171" spans="1:5" x14ac:dyDescent="0.25">
      <c r="A171">
        <v>170</v>
      </c>
      <c r="B171" t="s">
        <v>40</v>
      </c>
      <c r="C171" t="s">
        <v>693</v>
      </c>
      <c r="D171" t="s">
        <v>41</v>
      </c>
      <c r="E171">
        <v>8</v>
      </c>
    </row>
    <row r="172" spans="1:5" x14ac:dyDescent="0.25">
      <c r="A172">
        <v>171</v>
      </c>
      <c r="B172" t="s">
        <v>283</v>
      </c>
      <c r="C172" t="s">
        <v>694</v>
      </c>
      <c r="D172" t="s">
        <v>24</v>
      </c>
      <c r="E172">
        <v>11</v>
      </c>
    </row>
    <row r="173" spans="1:5" x14ac:dyDescent="0.25">
      <c r="A173">
        <v>172</v>
      </c>
      <c r="B173" t="s">
        <v>1667</v>
      </c>
      <c r="C173" t="s">
        <v>697</v>
      </c>
      <c r="D173" t="s">
        <v>82</v>
      </c>
      <c r="E173">
        <v>13</v>
      </c>
    </row>
    <row r="174" spans="1:5" x14ac:dyDescent="0.25">
      <c r="A174">
        <v>173</v>
      </c>
      <c r="B174" t="s">
        <v>172</v>
      </c>
      <c r="C174" t="s">
        <v>708</v>
      </c>
      <c r="D174" t="s">
        <v>82</v>
      </c>
      <c r="E174">
        <v>13</v>
      </c>
    </row>
    <row r="175" spans="1:5" x14ac:dyDescent="0.25">
      <c r="A175">
        <v>174</v>
      </c>
      <c r="B175" t="s">
        <v>96</v>
      </c>
      <c r="C175" t="s">
        <v>698</v>
      </c>
      <c r="D175" t="s">
        <v>84</v>
      </c>
      <c r="E175">
        <v>6</v>
      </c>
    </row>
    <row r="176" spans="1:5" x14ac:dyDescent="0.25">
      <c r="A176">
        <v>175</v>
      </c>
      <c r="B176" t="s">
        <v>349</v>
      </c>
      <c r="C176" t="s">
        <v>720</v>
      </c>
      <c r="D176" t="s">
        <v>71</v>
      </c>
      <c r="E176">
        <v>9</v>
      </c>
    </row>
    <row r="177" spans="1:5" x14ac:dyDescent="0.25">
      <c r="A177">
        <v>176</v>
      </c>
      <c r="B177" t="s">
        <v>182</v>
      </c>
      <c r="C177" t="s">
        <v>711</v>
      </c>
      <c r="D177" t="s">
        <v>35</v>
      </c>
      <c r="E177">
        <v>10</v>
      </c>
    </row>
    <row r="178" spans="1:5" x14ac:dyDescent="0.25">
      <c r="A178">
        <v>177</v>
      </c>
      <c r="B178" t="s">
        <v>347</v>
      </c>
      <c r="C178" t="s">
        <v>734</v>
      </c>
      <c r="D178" t="s">
        <v>21</v>
      </c>
      <c r="E178">
        <v>14</v>
      </c>
    </row>
    <row r="179" spans="1:5" x14ac:dyDescent="0.25">
      <c r="A179">
        <v>178</v>
      </c>
      <c r="B179" t="s">
        <v>156</v>
      </c>
      <c r="C179" t="s">
        <v>713</v>
      </c>
      <c r="D179" t="s">
        <v>30</v>
      </c>
      <c r="E179">
        <v>14</v>
      </c>
    </row>
    <row r="180" spans="1:5" x14ac:dyDescent="0.25">
      <c r="A180">
        <v>179</v>
      </c>
      <c r="B180" t="s">
        <v>1223</v>
      </c>
      <c r="C180" t="s">
        <v>710</v>
      </c>
      <c r="D180" t="s">
        <v>55</v>
      </c>
      <c r="E180">
        <v>11</v>
      </c>
    </row>
    <row r="181" spans="1:5" x14ac:dyDescent="0.25">
      <c r="A181">
        <v>180</v>
      </c>
      <c r="B181" t="s">
        <v>151</v>
      </c>
      <c r="C181" t="s">
        <v>717</v>
      </c>
      <c r="D181" t="s">
        <v>32</v>
      </c>
      <c r="E181">
        <v>11</v>
      </c>
    </row>
    <row r="182" spans="1:5" x14ac:dyDescent="0.25">
      <c r="A182">
        <v>181</v>
      </c>
      <c r="B182" t="s">
        <v>181</v>
      </c>
      <c r="C182" t="s">
        <v>721</v>
      </c>
      <c r="D182" t="s">
        <v>75</v>
      </c>
      <c r="E182">
        <v>6</v>
      </c>
    </row>
    <row r="183" spans="1:5" x14ac:dyDescent="0.25">
      <c r="A183">
        <v>182</v>
      </c>
      <c r="B183" t="s">
        <v>1666</v>
      </c>
      <c r="C183" t="s">
        <v>699</v>
      </c>
      <c r="D183" t="s">
        <v>43</v>
      </c>
      <c r="E183">
        <v>13</v>
      </c>
    </row>
    <row r="184" spans="1:5" x14ac:dyDescent="0.25">
      <c r="A184">
        <v>183</v>
      </c>
      <c r="B184" t="s">
        <v>1665</v>
      </c>
      <c r="C184" t="s">
        <v>739</v>
      </c>
      <c r="D184" t="s">
        <v>43</v>
      </c>
      <c r="E184">
        <v>13</v>
      </c>
    </row>
    <row r="185" spans="1:5" x14ac:dyDescent="0.25">
      <c r="A185">
        <v>184</v>
      </c>
      <c r="B185" t="s">
        <v>410</v>
      </c>
      <c r="C185" t="s">
        <v>722</v>
      </c>
      <c r="D185" t="s">
        <v>41</v>
      </c>
      <c r="E185">
        <v>8</v>
      </c>
    </row>
    <row r="186" spans="1:5" x14ac:dyDescent="0.25">
      <c r="A186">
        <v>185</v>
      </c>
      <c r="B186" t="s">
        <v>281</v>
      </c>
      <c r="C186" t="s">
        <v>702</v>
      </c>
      <c r="D186" t="s">
        <v>61</v>
      </c>
      <c r="E186">
        <v>7</v>
      </c>
    </row>
    <row r="187" spans="1:5" x14ac:dyDescent="0.25">
      <c r="A187">
        <v>186</v>
      </c>
      <c r="B187" t="s">
        <v>354</v>
      </c>
      <c r="C187" t="s">
        <v>742</v>
      </c>
      <c r="D187" t="s">
        <v>82</v>
      </c>
      <c r="E187">
        <v>13</v>
      </c>
    </row>
    <row r="188" spans="1:5" x14ac:dyDescent="0.25">
      <c r="A188">
        <v>187</v>
      </c>
      <c r="B188" t="s">
        <v>48</v>
      </c>
      <c r="C188" t="s">
        <v>715</v>
      </c>
      <c r="D188" t="s">
        <v>49</v>
      </c>
      <c r="E188">
        <v>11</v>
      </c>
    </row>
    <row r="189" spans="1:5" x14ac:dyDescent="0.25">
      <c r="A189">
        <v>188</v>
      </c>
      <c r="B189" t="s">
        <v>150</v>
      </c>
      <c r="C189" t="s">
        <v>723</v>
      </c>
      <c r="D189" t="s">
        <v>510</v>
      </c>
      <c r="E189">
        <v>11</v>
      </c>
    </row>
    <row r="190" spans="1:5" x14ac:dyDescent="0.25">
      <c r="A190">
        <v>189</v>
      </c>
      <c r="B190" t="s">
        <v>1664</v>
      </c>
      <c r="C190" t="s">
        <v>725</v>
      </c>
      <c r="D190" t="s">
        <v>24</v>
      </c>
      <c r="E190">
        <v>11</v>
      </c>
    </row>
    <row r="191" spans="1:5" x14ac:dyDescent="0.25">
      <c r="A191">
        <v>190</v>
      </c>
      <c r="B191" t="s">
        <v>80</v>
      </c>
      <c r="C191" t="s">
        <v>719</v>
      </c>
      <c r="D191" t="s">
        <v>63</v>
      </c>
      <c r="E191">
        <v>9</v>
      </c>
    </row>
    <row r="192" spans="1:5" x14ac:dyDescent="0.25">
      <c r="A192">
        <v>191</v>
      </c>
      <c r="B192" t="s">
        <v>216</v>
      </c>
      <c r="C192" t="s">
        <v>727</v>
      </c>
      <c r="D192" t="s">
        <v>63</v>
      </c>
      <c r="E192">
        <v>9</v>
      </c>
    </row>
    <row r="193" spans="1:5" x14ac:dyDescent="0.25">
      <c r="A193">
        <v>192</v>
      </c>
      <c r="B193" t="s">
        <v>1663</v>
      </c>
      <c r="C193" t="s">
        <v>728</v>
      </c>
      <c r="D193" t="s">
        <v>53</v>
      </c>
      <c r="E193">
        <v>13</v>
      </c>
    </row>
    <row r="194" spans="1:5" x14ac:dyDescent="0.25">
      <c r="A194">
        <v>193</v>
      </c>
      <c r="B194" t="s">
        <v>262</v>
      </c>
      <c r="C194" t="s">
        <v>703</v>
      </c>
      <c r="D194" t="s">
        <v>51</v>
      </c>
      <c r="E194">
        <v>7</v>
      </c>
    </row>
    <row r="195" spans="1:5" x14ac:dyDescent="0.25">
      <c r="A195">
        <v>194</v>
      </c>
      <c r="B195" t="s">
        <v>64</v>
      </c>
      <c r="C195" t="s">
        <v>724</v>
      </c>
      <c r="D195" t="s">
        <v>65</v>
      </c>
      <c r="E195">
        <v>10</v>
      </c>
    </row>
    <row r="196" spans="1:5" x14ac:dyDescent="0.25">
      <c r="A196">
        <v>195</v>
      </c>
      <c r="B196" t="s">
        <v>272</v>
      </c>
      <c r="C196" t="s">
        <v>705</v>
      </c>
      <c r="D196" t="s">
        <v>65</v>
      </c>
      <c r="E196">
        <v>10</v>
      </c>
    </row>
    <row r="197" spans="1:5" x14ac:dyDescent="0.25">
      <c r="A197">
        <v>196</v>
      </c>
      <c r="B197" t="s">
        <v>1662</v>
      </c>
      <c r="C197" t="s">
        <v>707</v>
      </c>
      <c r="D197" t="s">
        <v>63</v>
      </c>
      <c r="E197">
        <v>9</v>
      </c>
    </row>
    <row r="198" spans="1:5" x14ac:dyDescent="0.25">
      <c r="A198">
        <v>197</v>
      </c>
      <c r="B198" t="s">
        <v>1661</v>
      </c>
      <c r="C198" t="s">
        <v>729</v>
      </c>
      <c r="D198" t="s">
        <v>26</v>
      </c>
      <c r="E198">
        <v>5</v>
      </c>
    </row>
    <row r="199" spans="1:5" x14ac:dyDescent="0.25">
      <c r="A199">
        <v>198</v>
      </c>
      <c r="B199" t="s">
        <v>70</v>
      </c>
      <c r="C199" t="s">
        <v>743</v>
      </c>
      <c r="D199" t="s">
        <v>71</v>
      </c>
      <c r="E199">
        <v>9</v>
      </c>
    </row>
    <row r="200" spans="1:5" x14ac:dyDescent="0.25">
      <c r="A200">
        <v>199</v>
      </c>
      <c r="B200" t="s">
        <v>1660</v>
      </c>
      <c r="C200" t="s">
        <v>714</v>
      </c>
      <c r="D200" t="s">
        <v>26</v>
      </c>
      <c r="E200">
        <v>5</v>
      </c>
    </row>
    <row r="201" spans="1:5" x14ac:dyDescent="0.25">
      <c r="A201">
        <v>200</v>
      </c>
      <c r="B201" t="s">
        <v>1444</v>
      </c>
      <c r="C201" t="s">
        <v>730</v>
      </c>
      <c r="D201" t="s">
        <v>59</v>
      </c>
      <c r="E201">
        <v>7</v>
      </c>
    </row>
    <row r="202" spans="1:5" x14ac:dyDescent="0.25">
      <c r="A202">
        <v>201</v>
      </c>
      <c r="B202" t="s">
        <v>356</v>
      </c>
      <c r="C202" t="s">
        <v>755</v>
      </c>
      <c r="D202" t="s">
        <v>24</v>
      </c>
      <c r="E202">
        <v>11</v>
      </c>
    </row>
    <row r="203" spans="1:5" x14ac:dyDescent="0.25">
      <c r="A203">
        <v>202</v>
      </c>
      <c r="B203" t="s">
        <v>318</v>
      </c>
      <c r="C203" t="s">
        <v>716</v>
      </c>
      <c r="D203" t="s">
        <v>82</v>
      </c>
      <c r="E203">
        <v>13</v>
      </c>
    </row>
    <row r="204" spans="1:5" x14ac:dyDescent="0.25">
      <c r="A204">
        <v>203</v>
      </c>
      <c r="B204" t="s">
        <v>184</v>
      </c>
      <c r="C204" t="s">
        <v>732</v>
      </c>
      <c r="D204" t="s">
        <v>78</v>
      </c>
      <c r="E204">
        <v>10</v>
      </c>
    </row>
    <row r="205" spans="1:5" x14ac:dyDescent="0.25">
      <c r="A205">
        <v>204</v>
      </c>
      <c r="B205" t="s">
        <v>1659</v>
      </c>
      <c r="C205" t="s">
        <v>718</v>
      </c>
      <c r="D205" t="s">
        <v>59</v>
      </c>
      <c r="E205">
        <v>7</v>
      </c>
    </row>
    <row r="206" spans="1:5" x14ac:dyDescent="0.25">
      <c r="A206">
        <v>205</v>
      </c>
      <c r="B206" t="s">
        <v>311</v>
      </c>
      <c r="C206" t="s">
        <v>726</v>
      </c>
      <c r="D206" t="s">
        <v>49</v>
      </c>
      <c r="E206">
        <v>11</v>
      </c>
    </row>
    <row r="207" spans="1:5" x14ac:dyDescent="0.25">
      <c r="A207">
        <v>206</v>
      </c>
      <c r="B207" t="s">
        <v>85</v>
      </c>
      <c r="C207" t="s">
        <v>745</v>
      </c>
      <c r="D207" t="s">
        <v>51</v>
      </c>
      <c r="E207">
        <v>7</v>
      </c>
    </row>
    <row r="208" spans="1:5" x14ac:dyDescent="0.25">
      <c r="A208">
        <v>207</v>
      </c>
      <c r="B208" t="s">
        <v>280</v>
      </c>
      <c r="C208" t="s">
        <v>731</v>
      </c>
      <c r="D208" t="s">
        <v>53</v>
      </c>
      <c r="E208">
        <v>13</v>
      </c>
    </row>
    <row r="209" spans="1:5" x14ac:dyDescent="0.25">
      <c r="A209">
        <v>208</v>
      </c>
      <c r="B209" t="s">
        <v>1658</v>
      </c>
      <c r="C209" t="s">
        <v>735</v>
      </c>
      <c r="D209" t="s">
        <v>57</v>
      </c>
      <c r="E209">
        <v>8</v>
      </c>
    </row>
    <row r="210" spans="1:5" x14ac:dyDescent="0.25">
      <c r="A210">
        <v>209</v>
      </c>
      <c r="B210" t="s">
        <v>1657</v>
      </c>
      <c r="C210" t="s">
        <v>733</v>
      </c>
      <c r="D210" t="s">
        <v>47</v>
      </c>
      <c r="E210">
        <v>8</v>
      </c>
    </row>
    <row r="211" spans="1:5" x14ac:dyDescent="0.25">
      <c r="A211">
        <v>210</v>
      </c>
      <c r="B211" t="s">
        <v>54</v>
      </c>
      <c r="C211" t="s">
        <v>750</v>
      </c>
      <c r="D211" t="s">
        <v>55</v>
      </c>
      <c r="E211">
        <v>11</v>
      </c>
    </row>
    <row r="212" spans="1:5" x14ac:dyDescent="0.25">
      <c r="A212">
        <v>211</v>
      </c>
      <c r="B212" t="s">
        <v>152</v>
      </c>
      <c r="C212" t="s">
        <v>736</v>
      </c>
      <c r="D212" t="s">
        <v>49</v>
      </c>
      <c r="E212">
        <v>11</v>
      </c>
    </row>
    <row r="213" spans="1:5" x14ac:dyDescent="0.25">
      <c r="A213">
        <v>212</v>
      </c>
      <c r="B213" t="s">
        <v>202</v>
      </c>
      <c r="C213" t="s">
        <v>737</v>
      </c>
      <c r="D213" t="s">
        <v>53</v>
      </c>
      <c r="E213">
        <v>13</v>
      </c>
    </row>
    <row r="214" spans="1:5" x14ac:dyDescent="0.25">
      <c r="A214">
        <v>213</v>
      </c>
      <c r="B214" t="s">
        <v>1656</v>
      </c>
      <c r="C214" t="s">
        <v>747</v>
      </c>
      <c r="D214" t="s">
        <v>73</v>
      </c>
      <c r="E214">
        <v>6</v>
      </c>
    </row>
    <row r="215" spans="1:5" x14ac:dyDescent="0.25">
      <c r="A215">
        <v>214</v>
      </c>
      <c r="B215" t="s">
        <v>178</v>
      </c>
      <c r="C215" t="s">
        <v>738</v>
      </c>
      <c r="D215" t="s">
        <v>57</v>
      </c>
      <c r="E215">
        <v>8</v>
      </c>
    </row>
    <row r="216" spans="1:5" x14ac:dyDescent="0.25">
      <c r="A216">
        <v>215</v>
      </c>
      <c r="B216" t="s">
        <v>1655</v>
      </c>
      <c r="C216" t="s">
        <v>740</v>
      </c>
      <c r="D216" t="s">
        <v>65</v>
      </c>
      <c r="E216">
        <v>10</v>
      </c>
    </row>
    <row r="217" spans="1:5" x14ac:dyDescent="0.25">
      <c r="A217">
        <v>216</v>
      </c>
      <c r="B217" t="s">
        <v>299</v>
      </c>
      <c r="C217" t="s">
        <v>753</v>
      </c>
      <c r="D217" t="s">
        <v>21</v>
      </c>
      <c r="E217">
        <v>14</v>
      </c>
    </row>
    <row r="218" spans="1:5" x14ac:dyDescent="0.25">
      <c r="A218">
        <v>217</v>
      </c>
      <c r="B218" t="s">
        <v>366</v>
      </c>
      <c r="C218" t="s">
        <v>759</v>
      </c>
      <c r="D218" t="s">
        <v>43</v>
      </c>
      <c r="E218">
        <v>13</v>
      </c>
    </row>
    <row r="219" spans="1:5" x14ac:dyDescent="0.25">
      <c r="A219">
        <v>218</v>
      </c>
      <c r="B219" t="s">
        <v>368</v>
      </c>
      <c r="C219" t="s">
        <v>762</v>
      </c>
      <c r="D219" t="s">
        <v>32</v>
      </c>
      <c r="E219">
        <v>11</v>
      </c>
    </row>
    <row r="220" spans="1:5" x14ac:dyDescent="0.25">
      <c r="A220">
        <v>219</v>
      </c>
      <c r="B220" t="s">
        <v>1228</v>
      </c>
      <c r="C220" t="s">
        <v>754</v>
      </c>
      <c r="D220" t="s">
        <v>47</v>
      </c>
      <c r="E220">
        <v>8</v>
      </c>
    </row>
    <row r="221" spans="1:5" x14ac:dyDescent="0.25">
      <c r="A221">
        <v>220</v>
      </c>
      <c r="B221" t="s">
        <v>79</v>
      </c>
      <c r="C221" t="s">
        <v>756</v>
      </c>
      <c r="D221" t="s">
        <v>47</v>
      </c>
      <c r="E221">
        <v>8</v>
      </c>
    </row>
    <row r="222" spans="1:5" x14ac:dyDescent="0.25">
      <c r="A222">
        <v>221</v>
      </c>
      <c r="B222" t="s">
        <v>77</v>
      </c>
      <c r="C222" t="s">
        <v>760</v>
      </c>
      <c r="D222" t="s">
        <v>78</v>
      </c>
      <c r="E222">
        <v>10</v>
      </c>
    </row>
    <row r="223" spans="1:5" x14ac:dyDescent="0.25">
      <c r="A223">
        <v>222</v>
      </c>
      <c r="B223" t="s">
        <v>290</v>
      </c>
      <c r="C223" t="s">
        <v>767</v>
      </c>
      <c r="D223" t="s">
        <v>84</v>
      </c>
      <c r="E223">
        <v>6</v>
      </c>
    </row>
    <row r="224" spans="1:5" x14ac:dyDescent="0.25">
      <c r="A224">
        <v>223</v>
      </c>
      <c r="B224" t="s">
        <v>1654</v>
      </c>
      <c r="C224" t="s">
        <v>741</v>
      </c>
      <c r="D224" t="s">
        <v>71</v>
      </c>
      <c r="E224">
        <v>9</v>
      </c>
    </row>
    <row r="225" spans="1:5" x14ac:dyDescent="0.25">
      <c r="A225">
        <v>224</v>
      </c>
      <c r="B225" t="s">
        <v>200</v>
      </c>
      <c r="C225" t="s">
        <v>744</v>
      </c>
      <c r="D225" t="s">
        <v>47</v>
      </c>
      <c r="E225">
        <v>8</v>
      </c>
    </row>
    <row r="226" spans="1:5" x14ac:dyDescent="0.25">
      <c r="A226">
        <v>225</v>
      </c>
      <c r="B226" t="s">
        <v>364</v>
      </c>
      <c r="C226" t="s">
        <v>810</v>
      </c>
      <c r="D226" t="s">
        <v>24</v>
      </c>
      <c r="E226">
        <v>11</v>
      </c>
    </row>
    <row r="227" spans="1:5" x14ac:dyDescent="0.25">
      <c r="A227">
        <v>226</v>
      </c>
      <c r="B227" t="s">
        <v>1653</v>
      </c>
      <c r="C227" t="s">
        <v>748</v>
      </c>
      <c r="D227" t="s">
        <v>84</v>
      </c>
      <c r="E227">
        <v>6</v>
      </c>
    </row>
    <row r="228" spans="1:5" x14ac:dyDescent="0.25">
      <c r="A228">
        <v>227</v>
      </c>
      <c r="B228" t="s">
        <v>159</v>
      </c>
      <c r="C228" t="s">
        <v>751</v>
      </c>
      <c r="D228" t="s">
        <v>61</v>
      </c>
      <c r="E228">
        <v>7</v>
      </c>
    </row>
    <row r="229" spans="1:5" x14ac:dyDescent="0.25">
      <c r="A229">
        <v>228</v>
      </c>
      <c r="B229" t="s">
        <v>128</v>
      </c>
      <c r="C229" t="s">
        <v>752</v>
      </c>
      <c r="D229" t="s">
        <v>51</v>
      </c>
      <c r="E229">
        <v>7</v>
      </c>
    </row>
    <row r="230" spans="1:5" x14ac:dyDescent="0.25">
      <c r="A230">
        <v>229</v>
      </c>
      <c r="B230" t="s">
        <v>269</v>
      </c>
      <c r="C230" t="s">
        <v>768</v>
      </c>
      <c r="D230" t="s">
        <v>49</v>
      </c>
      <c r="E230">
        <v>11</v>
      </c>
    </row>
    <row r="231" spans="1:5" x14ac:dyDescent="0.25">
      <c r="A231">
        <v>230</v>
      </c>
      <c r="B231" t="s">
        <v>386</v>
      </c>
      <c r="C231" t="s">
        <v>813</v>
      </c>
      <c r="D231" t="s">
        <v>32</v>
      </c>
      <c r="E231">
        <v>11</v>
      </c>
    </row>
    <row r="232" spans="1:5" x14ac:dyDescent="0.25">
      <c r="A232">
        <v>231</v>
      </c>
      <c r="B232" t="s">
        <v>93</v>
      </c>
      <c r="C232" t="s">
        <v>766</v>
      </c>
      <c r="D232" t="s">
        <v>89</v>
      </c>
      <c r="E232">
        <v>6</v>
      </c>
    </row>
    <row r="233" spans="1:5" x14ac:dyDescent="0.25">
      <c r="A233">
        <v>232</v>
      </c>
      <c r="B233" t="s">
        <v>307</v>
      </c>
      <c r="C233" t="s">
        <v>772</v>
      </c>
      <c r="D233" t="s">
        <v>67</v>
      </c>
      <c r="E233">
        <v>7</v>
      </c>
    </row>
    <row r="234" spans="1:5" x14ac:dyDescent="0.25">
      <c r="A234">
        <v>233</v>
      </c>
      <c r="B234" t="s">
        <v>277</v>
      </c>
      <c r="C234" t="s">
        <v>775</v>
      </c>
      <c r="D234" t="s">
        <v>89</v>
      </c>
      <c r="E234">
        <v>6</v>
      </c>
    </row>
    <row r="235" spans="1:5" x14ac:dyDescent="0.25">
      <c r="A235">
        <v>234</v>
      </c>
      <c r="B235" t="s">
        <v>1652</v>
      </c>
      <c r="C235" t="s">
        <v>773</v>
      </c>
      <c r="D235" t="s">
        <v>35</v>
      </c>
      <c r="E235">
        <v>10</v>
      </c>
    </row>
    <row r="236" spans="1:5" x14ac:dyDescent="0.25">
      <c r="A236">
        <v>235</v>
      </c>
      <c r="B236" t="s">
        <v>1651</v>
      </c>
      <c r="C236" t="s">
        <v>827</v>
      </c>
      <c r="D236" t="s">
        <v>21</v>
      </c>
      <c r="E236">
        <v>14</v>
      </c>
    </row>
    <row r="237" spans="1:5" x14ac:dyDescent="0.25">
      <c r="A237">
        <v>236</v>
      </c>
      <c r="B237" t="s">
        <v>1650</v>
      </c>
      <c r="C237" t="s">
        <v>758</v>
      </c>
      <c r="D237" t="s">
        <v>84</v>
      </c>
      <c r="E237">
        <v>6</v>
      </c>
    </row>
    <row r="238" spans="1:5" x14ac:dyDescent="0.25">
      <c r="A238">
        <v>237</v>
      </c>
      <c r="B238" t="s">
        <v>195</v>
      </c>
      <c r="C238" t="s">
        <v>761</v>
      </c>
      <c r="D238" t="s">
        <v>49</v>
      </c>
      <c r="E238">
        <v>11</v>
      </c>
    </row>
    <row r="239" spans="1:5" x14ac:dyDescent="0.25">
      <c r="A239">
        <v>238</v>
      </c>
      <c r="B239" t="s">
        <v>285</v>
      </c>
      <c r="C239" t="s">
        <v>777</v>
      </c>
      <c r="D239" t="s">
        <v>26</v>
      </c>
      <c r="E239">
        <v>5</v>
      </c>
    </row>
    <row r="240" spans="1:5" x14ac:dyDescent="0.25">
      <c r="A240">
        <v>239</v>
      </c>
      <c r="B240" t="s">
        <v>130</v>
      </c>
      <c r="C240" t="s">
        <v>763</v>
      </c>
      <c r="D240" t="s">
        <v>78</v>
      </c>
      <c r="E240">
        <v>10</v>
      </c>
    </row>
    <row r="241" spans="1:5" x14ac:dyDescent="0.25">
      <c r="A241">
        <v>240</v>
      </c>
      <c r="B241" t="s">
        <v>1649</v>
      </c>
      <c r="C241" t="s">
        <v>780</v>
      </c>
      <c r="D241" t="s">
        <v>28</v>
      </c>
      <c r="E241">
        <v>13</v>
      </c>
    </row>
    <row r="242" spans="1:5" x14ac:dyDescent="0.25">
      <c r="A242">
        <v>241</v>
      </c>
      <c r="B242" t="s">
        <v>194</v>
      </c>
      <c r="C242" t="s">
        <v>765</v>
      </c>
      <c r="D242" t="s">
        <v>37</v>
      </c>
      <c r="E242">
        <v>8</v>
      </c>
    </row>
    <row r="243" spans="1:5" x14ac:dyDescent="0.25">
      <c r="A243">
        <v>242</v>
      </c>
      <c r="B243" t="s">
        <v>81</v>
      </c>
      <c r="C243" t="s">
        <v>776</v>
      </c>
      <c r="D243" t="s">
        <v>82</v>
      </c>
      <c r="E243">
        <v>13</v>
      </c>
    </row>
    <row r="244" spans="1:5" x14ac:dyDescent="0.25">
      <c r="A244">
        <v>243</v>
      </c>
      <c r="B244" t="s">
        <v>267</v>
      </c>
      <c r="C244" t="s">
        <v>789</v>
      </c>
      <c r="D244" t="s">
        <v>61</v>
      </c>
      <c r="E244">
        <v>7</v>
      </c>
    </row>
    <row r="245" spans="1:5" x14ac:dyDescent="0.25">
      <c r="A245">
        <v>244</v>
      </c>
      <c r="B245" t="s">
        <v>90</v>
      </c>
      <c r="C245" t="s">
        <v>778</v>
      </c>
      <c r="D245" t="s">
        <v>43</v>
      </c>
      <c r="E245">
        <v>13</v>
      </c>
    </row>
    <row r="246" spans="1:5" x14ac:dyDescent="0.25">
      <c r="A246">
        <v>245</v>
      </c>
      <c r="B246" t="s">
        <v>288</v>
      </c>
      <c r="C246" t="s">
        <v>798</v>
      </c>
      <c r="D246" t="s">
        <v>84</v>
      </c>
      <c r="E246">
        <v>6</v>
      </c>
    </row>
    <row r="247" spans="1:5" x14ac:dyDescent="0.25">
      <c r="A247">
        <v>246</v>
      </c>
      <c r="B247" t="s">
        <v>170</v>
      </c>
      <c r="C247" t="s">
        <v>770</v>
      </c>
      <c r="D247" t="s">
        <v>95</v>
      </c>
      <c r="E247">
        <v>5</v>
      </c>
    </row>
    <row r="248" spans="1:5" x14ac:dyDescent="0.25">
      <c r="A248">
        <v>247</v>
      </c>
      <c r="B248" t="s">
        <v>217</v>
      </c>
      <c r="C248" t="s">
        <v>771</v>
      </c>
      <c r="D248" t="s">
        <v>84</v>
      </c>
      <c r="E248">
        <v>6</v>
      </c>
    </row>
    <row r="249" spans="1:5" x14ac:dyDescent="0.25">
      <c r="A249">
        <v>248</v>
      </c>
      <c r="B249" t="s">
        <v>169</v>
      </c>
      <c r="C249" t="s">
        <v>774</v>
      </c>
      <c r="D249" t="s">
        <v>89</v>
      </c>
      <c r="E249">
        <v>6</v>
      </c>
    </row>
    <row r="250" spans="1:5" x14ac:dyDescent="0.25">
      <c r="A250">
        <v>249</v>
      </c>
      <c r="B250" t="s">
        <v>1648</v>
      </c>
      <c r="C250" t="s">
        <v>806</v>
      </c>
      <c r="D250" t="s">
        <v>53</v>
      </c>
      <c r="E250">
        <v>13</v>
      </c>
    </row>
    <row r="251" spans="1:5" x14ac:dyDescent="0.25">
      <c r="A251">
        <v>250</v>
      </c>
      <c r="B251" t="s">
        <v>209</v>
      </c>
      <c r="C251" t="s">
        <v>779</v>
      </c>
      <c r="D251" t="s">
        <v>24</v>
      </c>
      <c r="E251">
        <v>11</v>
      </c>
    </row>
    <row r="252" spans="1:5" x14ac:dyDescent="0.25">
      <c r="A252">
        <v>251</v>
      </c>
      <c r="B252" t="s">
        <v>83</v>
      </c>
      <c r="C252" t="s">
        <v>801</v>
      </c>
      <c r="D252" t="s">
        <v>95</v>
      </c>
      <c r="E252">
        <v>5</v>
      </c>
    </row>
    <row r="253" spans="1:5" x14ac:dyDescent="0.25">
      <c r="A253">
        <v>252</v>
      </c>
      <c r="B253" t="s">
        <v>329</v>
      </c>
      <c r="C253" t="s">
        <v>807</v>
      </c>
      <c r="D253" t="s">
        <v>28</v>
      </c>
      <c r="E253">
        <v>13</v>
      </c>
    </row>
    <row r="254" spans="1:5" x14ac:dyDescent="0.25">
      <c r="A254">
        <v>253</v>
      </c>
      <c r="B254" t="s">
        <v>180</v>
      </c>
      <c r="C254" t="s">
        <v>781</v>
      </c>
      <c r="D254" t="s">
        <v>26</v>
      </c>
      <c r="E254">
        <v>5</v>
      </c>
    </row>
    <row r="255" spans="1:5" x14ac:dyDescent="0.25">
      <c r="A255">
        <v>254</v>
      </c>
      <c r="B255" t="e">
        <v>#N/A</v>
      </c>
      <c r="C255" t="s">
        <v>782</v>
      </c>
      <c r="D255" t="e">
        <v>#N/A</v>
      </c>
      <c r="E255" t="e">
        <v>#N/A</v>
      </c>
    </row>
    <row r="256" spans="1:5" x14ac:dyDescent="0.25">
      <c r="A256">
        <v>255</v>
      </c>
      <c r="B256" t="s">
        <v>426</v>
      </c>
      <c r="C256" t="s">
        <v>783</v>
      </c>
      <c r="D256" t="s">
        <v>47</v>
      </c>
      <c r="E256">
        <v>8</v>
      </c>
    </row>
    <row r="257" spans="1:5" x14ac:dyDescent="0.25">
      <c r="A257">
        <v>256</v>
      </c>
      <c r="B257" t="s">
        <v>1217</v>
      </c>
      <c r="C257" t="s">
        <v>784</v>
      </c>
      <c r="D257" t="s">
        <v>41</v>
      </c>
      <c r="E257">
        <v>8</v>
      </c>
    </row>
    <row r="258" spans="1:5" x14ac:dyDescent="0.25">
      <c r="A258">
        <v>257</v>
      </c>
      <c r="B258" t="s">
        <v>1647</v>
      </c>
      <c r="C258" t="s">
        <v>802</v>
      </c>
      <c r="D258" t="s">
        <v>510</v>
      </c>
      <c r="E258">
        <v>11</v>
      </c>
    </row>
    <row r="259" spans="1:5" x14ac:dyDescent="0.25">
      <c r="A259">
        <v>258</v>
      </c>
      <c r="B259" t="s">
        <v>219</v>
      </c>
      <c r="C259" t="s">
        <v>785</v>
      </c>
      <c r="D259" t="s">
        <v>43</v>
      </c>
      <c r="E259">
        <v>13</v>
      </c>
    </row>
    <row r="260" spans="1:5" x14ac:dyDescent="0.25">
      <c r="A260">
        <v>259</v>
      </c>
      <c r="B260" t="s">
        <v>1086</v>
      </c>
      <c r="C260" t="s">
        <v>808</v>
      </c>
      <c r="D260" t="s">
        <v>89</v>
      </c>
      <c r="E260">
        <v>6</v>
      </c>
    </row>
    <row r="261" spans="1:5" x14ac:dyDescent="0.25">
      <c r="A261">
        <v>260</v>
      </c>
      <c r="B261" t="s">
        <v>56</v>
      </c>
      <c r="C261" t="s">
        <v>821</v>
      </c>
      <c r="D261" t="s">
        <v>57</v>
      </c>
      <c r="E261">
        <v>8</v>
      </c>
    </row>
    <row r="262" spans="1:5" x14ac:dyDescent="0.25">
      <c r="A262">
        <v>261</v>
      </c>
      <c r="B262" t="s">
        <v>1646</v>
      </c>
      <c r="C262" t="s">
        <v>787</v>
      </c>
      <c r="D262" t="s">
        <v>53</v>
      </c>
      <c r="E262">
        <v>13</v>
      </c>
    </row>
    <row r="263" spans="1:5" x14ac:dyDescent="0.25">
      <c r="A263">
        <v>262</v>
      </c>
      <c r="B263" t="s">
        <v>149</v>
      </c>
      <c r="C263" t="s">
        <v>791</v>
      </c>
      <c r="D263" t="s">
        <v>63</v>
      </c>
      <c r="E263">
        <v>9</v>
      </c>
    </row>
    <row r="264" spans="1:5" x14ac:dyDescent="0.25">
      <c r="A264">
        <v>263</v>
      </c>
      <c r="B264" t="s">
        <v>323</v>
      </c>
      <c r="C264" t="s">
        <v>809</v>
      </c>
      <c r="D264" t="s">
        <v>51</v>
      </c>
      <c r="E264">
        <v>7</v>
      </c>
    </row>
    <row r="265" spans="1:5" x14ac:dyDescent="0.25">
      <c r="A265">
        <v>264</v>
      </c>
      <c r="B265" t="s">
        <v>417</v>
      </c>
      <c r="C265" t="s">
        <v>792</v>
      </c>
      <c r="D265" t="s">
        <v>84</v>
      </c>
      <c r="E265">
        <v>6</v>
      </c>
    </row>
    <row r="266" spans="1:5" x14ac:dyDescent="0.25">
      <c r="A266">
        <v>265</v>
      </c>
      <c r="B266" t="s">
        <v>1216</v>
      </c>
      <c r="C266" t="s">
        <v>825</v>
      </c>
      <c r="D266" t="s">
        <v>49</v>
      </c>
      <c r="E266">
        <v>11</v>
      </c>
    </row>
    <row r="267" spans="1:5" x14ac:dyDescent="0.25">
      <c r="A267">
        <v>266</v>
      </c>
      <c r="B267" t="s">
        <v>301</v>
      </c>
      <c r="C267" t="s">
        <v>816</v>
      </c>
      <c r="D267" t="s">
        <v>69</v>
      </c>
      <c r="E267">
        <v>11</v>
      </c>
    </row>
    <row r="268" spans="1:5" x14ac:dyDescent="0.25">
      <c r="A268">
        <v>267</v>
      </c>
      <c r="B268" t="s">
        <v>91</v>
      </c>
      <c r="C268" t="s">
        <v>829</v>
      </c>
      <c r="D268" t="s">
        <v>71</v>
      </c>
      <c r="E268">
        <v>9</v>
      </c>
    </row>
    <row r="269" spans="1:5" x14ac:dyDescent="0.25">
      <c r="A269">
        <v>268</v>
      </c>
      <c r="B269" t="s">
        <v>162</v>
      </c>
      <c r="C269" t="s">
        <v>793</v>
      </c>
      <c r="D269" t="s">
        <v>57</v>
      </c>
      <c r="E269">
        <v>8</v>
      </c>
    </row>
    <row r="270" spans="1:5" x14ac:dyDescent="0.25">
      <c r="A270">
        <v>269</v>
      </c>
      <c r="B270" t="s">
        <v>142</v>
      </c>
      <c r="C270" t="s">
        <v>794</v>
      </c>
      <c r="D270" t="s">
        <v>35</v>
      </c>
      <c r="E270">
        <v>10</v>
      </c>
    </row>
    <row r="271" spans="1:5" x14ac:dyDescent="0.25">
      <c r="A271">
        <v>270</v>
      </c>
      <c r="B271" t="s">
        <v>1264</v>
      </c>
      <c r="C271" t="s">
        <v>837</v>
      </c>
      <c r="D271" t="s">
        <v>51</v>
      </c>
      <c r="E271">
        <v>7</v>
      </c>
    </row>
    <row r="272" spans="1:5" x14ac:dyDescent="0.25">
      <c r="A272">
        <v>271</v>
      </c>
      <c r="B272" t="s">
        <v>1645</v>
      </c>
      <c r="C272" t="s">
        <v>795</v>
      </c>
      <c r="D272" t="s">
        <v>35</v>
      </c>
      <c r="E272">
        <v>10</v>
      </c>
    </row>
    <row r="273" spans="1:5" x14ac:dyDescent="0.25">
      <c r="A273">
        <v>272</v>
      </c>
      <c r="B273" t="s">
        <v>1644</v>
      </c>
      <c r="C273" t="s">
        <v>796</v>
      </c>
      <c r="D273" t="s">
        <v>45</v>
      </c>
      <c r="E273">
        <v>10</v>
      </c>
    </row>
    <row r="274" spans="1:5" x14ac:dyDescent="0.25">
      <c r="A274">
        <v>273</v>
      </c>
      <c r="B274" t="e">
        <v>#N/A</v>
      </c>
      <c r="C274" t="s">
        <v>838</v>
      </c>
      <c r="D274" t="e">
        <v>#N/A</v>
      </c>
      <c r="E274" t="e">
        <v>#N/A</v>
      </c>
    </row>
    <row r="275" spans="1:5" x14ac:dyDescent="0.25">
      <c r="A275">
        <v>274</v>
      </c>
      <c r="B275" t="s">
        <v>1643</v>
      </c>
      <c r="C275" t="s">
        <v>800</v>
      </c>
      <c r="D275" t="s">
        <v>43</v>
      </c>
      <c r="E275">
        <v>13</v>
      </c>
    </row>
    <row r="276" spans="1:5" x14ac:dyDescent="0.25">
      <c r="A276">
        <v>275</v>
      </c>
      <c r="B276" t="s">
        <v>934</v>
      </c>
      <c r="C276" t="s">
        <v>804</v>
      </c>
      <c r="D276" t="s">
        <v>71</v>
      </c>
      <c r="E276">
        <v>9</v>
      </c>
    </row>
    <row r="277" spans="1:5" x14ac:dyDescent="0.25">
      <c r="A277">
        <v>276</v>
      </c>
      <c r="B277" t="s">
        <v>199</v>
      </c>
      <c r="C277" t="s">
        <v>817</v>
      </c>
      <c r="D277" t="s">
        <v>47</v>
      </c>
      <c r="E277">
        <v>8</v>
      </c>
    </row>
    <row r="278" spans="1:5" x14ac:dyDescent="0.25">
      <c r="A278">
        <v>277</v>
      </c>
      <c r="B278" t="s">
        <v>205</v>
      </c>
      <c r="C278" t="s">
        <v>820</v>
      </c>
      <c r="D278" t="s">
        <v>61</v>
      </c>
      <c r="E278">
        <v>7</v>
      </c>
    </row>
    <row r="279" spans="1:5" x14ac:dyDescent="0.25">
      <c r="A279">
        <v>278</v>
      </c>
      <c r="B279" t="s">
        <v>1642</v>
      </c>
      <c r="C279" t="s">
        <v>824</v>
      </c>
      <c r="D279" t="s">
        <v>51</v>
      </c>
      <c r="E279">
        <v>7</v>
      </c>
    </row>
    <row r="280" spans="1:5" x14ac:dyDescent="0.25">
      <c r="A280">
        <v>279</v>
      </c>
      <c r="B280" t="s">
        <v>193</v>
      </c>
      <c r="C280" t="s">
        <v>832</v>
      </c>
      <c r="D280" t="s">
        <v>45</v>
      </c>
      <c r="E280">
        <v>10</v>
      </c>
    </row>
    <row r="281" spans="1:5" x14ac:dyDescent="0.25">
      <c r="A281">
        <v>280</v>
      </c>
      <c r="B281" t="s">
        <v>164</v>
      </c>
      <c r="C281" t="s">
        <v>833</v>
      </c>
      <c r="D281" t="s">
        <v>510</v>
      </c>
      <c r="E281">
        <v>11</v>
      </c>
    </row>
    <row r="282" spans="1:5" x14ac:dyDescent="0.25">
      <c r="A282">
        <v>281</v>
      </c>
      <c r="B282" t="e">
        <v>#N/A</v>
      </c>
      <c r="C282" t="s">
        <v>841</v>
      </c>
      <c r="D282" t="e">
        <v>#N/A</v>
      </c>
      <c r="E282" t="e">
        <v>#N/A</v>
      </c>
    </row>
    <row r="283" spans="1:5" x14ac:dyDescent="0.25">
      <c r="A283">
        <v>282</v>
      </c>
      <c r="B283" t="s">
        <v>1076</v>
      </c>
      <c r="C283" t="s">
        <v>842</v>
      </c>
      <c r="D283" t="s">
        <v>53</v>
      </c>
      <c r="E283">
        <v>13</v>
      </c>
    </row>
    <row r="284" spans="1:5" x14ac:dyDescent="0.25">
      <c r="A284">
        <v>283</v>
      </c>
      <c r="B284" t="s">
        <v>1641</v>
      </c>
      <c r="C284" t="s">
        <v>849</v>
      </c>
      <c r="D284" t="s">
        <v>37</v>
      </c>
      <c r="E284">
        <v>8</v>
      </c>
    </row>
    <row r="285" spans="1:5" x14ac:dyDescent="0.25">
      <c r="A285">
        <v>284</v>
      </c>
      <c r="B285" t="s">
        <v>358</v>
      </c>
      <c r="C285" t="s">
        <v>830</v>
      </c>
      <c r="D285" t="s">
        <v>89</v>
      </c>
      <c r="E285">
        <v>6</v>
      </c>
    </row>
    <row r="286" spans="1:5" x14ac:dyDescent="0.25">
      <c r="A286">
        <v>285</v>
      </c>
      <c r="B286" t="s">
        <v>1640</v>
      </c>
      <c r="C286" t="s">
        <v>851</v>
      </c>
      <c r="D286" t="s">
        <v>61</v>
      </c>
      <c r="E286">
        <v>7</v>
      </c>
    </row>
    <row r="287" spans="1:5" x14ac:dyDescent="0.25">
      <c r="A287">
        <v>286</v>
      </c>
      <c r="B287" t="s">
        <v>154</v>
      </c>
      <c r="C287" t="s">
        <v>855</v>
      </c>
      <c r="D287" t="s">
        <v>63</v>
      </c>
      <c r="E287">
        <v>9</v>
      </c>
    </row>
    <row r="288" spans="1:5" x14ac:dyDescent="0.25">
      <c r="A288">
        <v>287</v>
      </c>
      <c r="B288" t="s">
        <v>76</v>
      </c>
      <c r="C288" t="s">
        <v>856</v>
      </c>
      <c r="D288" t="s">
        <v>61</v>
      </c>
      <c r="E288">
        <v>7</v>
      </c>
    </row>
    <row r="289" spans="1:5" x14ac:dyDescent="0.25">
      <c r="A289">
        <v>288</v>
      </c>
      <c r="B289" t="s">
        <v>359</v>
      </c>
      <c r="C289" t="s">
        <v>839</v>
      </c>
      <c r="D289" t="s">
        <v>26</v>
      </c>
      <c r="E289">
        <v>5</v>
      </c>
    </row>
    <row r="290" spans="1:5" x14ac:dyDescent="0.25">
      <c r="A290">
        <v>289</v>
      </c>
      <c r="B290" t="s">
        <v>1639</v>
      </c>
      <c r="C290" t="s">
        <v>843</v>
      </c>
      <c r="D290" t="s">
        <v>67</v>
      </c>
      <c r="E290">
        <v>7</v>
      </c>
    </row>
    <row r="291" spans="1:5" x14ac:dyDescent="0.25">
      <c r="A291">
        <v>290</v>
      </c>
      <c r="B291" t="s">
        <v>167</v>
      </c>
      <c r="C291" t="s">
        <v>857</v>
      </c>
      <c r="D291" t="s">
        <v>21</v>
      </c>
      <c r="E291">
        <v>14</v>
      </c>
    </row>
    <row r="292" spans="1:5" x14ac:dyDescent="0.25">
      <c r="A292">
        <v>291</v>
      </c>
      <c r="B292" t="s">
        <v>1638</v>
      </c>
      <c r="C292" t="s">
        <v>861</v>
      </c>
      <c r="D292" t="s">
        <v>45</v>
      </c>
      <c r="E292">
        <v>10</v>
      </c>
    </row>
    <row r="293" spans="1:5" x14ac:dyDescent="0.25">
      <c r="A293">
        <v>292</v>
      </c>
      <c r="B293" t="s">
        <v>165</v>
      </c>
      <c r="C293" t="s">
        <v>862</v>
      </c>
      <c r="D293" t="s">
        <v>78</v>
      </c>
      <c r="E293">
        <v>10</v>
      </c>
    </row>
    <row r="294" spans="1:5" x14ac:dyDescent="0.25">
      <c r="A294">
        <v>293</v>
      </c>
      <c r="B294" t="s">
        <v>361</v>
      </c>
      <c r="C294" t="s">
        <v>848</v>
      </c>
      <c r="D294" t="s">
        <v>73</v>
      </c>
      <c r="E294">
        <v>6</v>
      </c>
    </row>
    <row r="295" spans="1:5" x14ac:dyDescent="0.25">
      <c r="A295">
        <v>294</v>
      </c>
      <c r="B295" t="e">
        <v>#N/A</v>
      </c>
      <c r="C295" t="s">
        <v>854</v>
      </c>
      <c r="D295" t="e">
        <v>#N/A</v>
      </c>
      <c r="E295" t="e">
        <v>#N/A</v>
      </c>
    </row>
    <row r="296" spans="1:5" x14ac:dyDescent="0.25">
      <c r="A296">
        <v>296</v>
      </c>
      <c r="B296" t="s">
        <v>292</v>
      </c>
      <c r="C296" t="s">
        <v>865</v>
      </c>
      <c r="D296" t="s">
        <v>59</v>
      </c>
      <c r="E296">
        <v>7</v>
      </c>
    </row>
    <row r="297" spans="1:5" x14ac:dyDescent="0.25">
      <c r="A297">
        <v>298</v>
      </c>
      <c r="B297" t="s">
        <v>1213</v>
      </c>
      <c r="C297" t="s">
        <v>870</v>
      </c>
      <c r="D297" t="s">
        <v>71</v>
      </c>
      <c r="E297">
        <v>9</v>
      </c>
    </row>
    <row r="298" spans="1:5" x14ac:dyDescent="0.25">
      <c r="A298">
        <v>299</v>
      </c>
      <c r="B298" t="s">
        <v>1637</v>
      </c>
      <c r="C298" t="s">
        <v>875</v>
      </c>
      <c r="D298" t="s">
        <v>59</v>
      </c>
      <c r="E298">
        <v>7</v>
      </c>
    </row>
    <row r="299" spans="1:5" x14ac:dyDescent="0.25">
      <c r="A299">
        <v>300</v>
      </c>
      <c r="B299" t="s">
        <v>1222</v>
      </c>
      <c r="C299" t="s">
        <v>874</v>
      </c>
      <c r="D299" t="s">
        <v>49</v>
      </c>
      <c r="E299">
        <v>11</v>
      </c>
    </row>
    <row r="300" spans="1:5" x14ac:dyDescent="0.25">
      <c r="A300">
        <v>301</v>
      </c>
      <c r="B300" t="s">
        <v>282</v>
      </c>
      <c r="C300" t="s">
        <v>877</v>
      </c>
      <c r="D300" t="s">
        <v>26</v>
      </c>
      <c r="E300">
        <v>5</v>
      </c>
    </row>
    <row r="301" spans="1:5" x14ac:dyDescent="0.25">
      <c r="A301">
        <v>302</v>
      </c>
      <c r="B301" t="s">
        <v>1225</v>
      </c>
      <c r="C301" t="s">
        <v>868</v>
      </c>
      <c r="D301" t="s">
        <v>95</v>
      </c>
      <c r="E301">
        <v>5</v>
      </c>
    </row>
    <row r="302" spans="1:5" x14ac:dyDescent="0.25">
      <c r="A302">
        <v>305</v>
      </c>
      <c r="B302" t="s">
        <v>198</v>
      </c>
      <c r="C302" t="s">
        <v>872</v>
      </c>
      <c r="D302" t="s">
        <v>82</v>
      </c>
      <c r="E302">
        <v>13</v>
      </c>
    </row>
    <row r="303" spans="1:5" x14ac:dyDescent="0.25">
      <c r="A303">
        <v>306</v>
      </c>
      <c r="B303" t="s">
        <v>1232</v>
      </c>
      <c r="C303" t="s">
        <v>873</v>
      </c>
      <c r="D303" t="s">
        <v>69</v>
      </c>
      <c r="E303">
        <v>11</v>
      </c>
    </row>
    <row r="304" spans="1:5" x14ac:dyDescent="0.25">
      <c r="A304">
        <v>307</v>
      </c>
      <c r="B304" t="s">
        <v>405</v>
      </c>
      <c r="C304" t="s">
        <v>879</v>
      </c>
      <c r="D304" t="s">
        <v>47</v>
      </c>
      <c r="E304">
        <v>8</v>
      </c>
    </row>
    <row r="305" spans="1:5" x14ac:dyDescent="0.25">
      <c r="A305">
        <v>308</v>
      </c>
      <c r="B305" t="s">
        <v>212</v>
      </c>
      <c r="C305" t="s">
        <v>880</v>
      </c>
      <c r="D305" t="s">
        <v>59</v>
      </c>
      <c r="E305">
        <v>7</v>
      </c>
    </row>
    <row r="306" spans="1:5" x14ac:dyDescent="0.25">
      <c r="A306">
        <v>309</v>
      </c>
      <c r="B306" t="s">
        <v>88</v>
      </c>
      <c r="C306" t="s">
        <v>860</v>
      </c>
      <c r="D306" t="s">
        <v>37</v>
      </c>
      <c r="E306">
        <v>8</v>
      </c>
    </row>
    <row r="307" spans="1:5" x14ac:dyDescent="0.25">
      <c r="A307">
        <v>312</v>
      </c>
      <c r="B307" t="s">
        <v>302</v>
      </c>
      <c r="C307" t="s">
        <v>883</v>
      </c>
      <c r="D307" t="s">
        <v>78</v>
      </c>
      <c r="E307">
        <v>10</v>
      </c>
    </row>
    <row r="308" spans="1:5" x14ac:dyDescent="0.25">
      <c r="A308">
        <v>313</v>
      </c>
      <c r="B308" t="s">
        <v>1636</v>
      </c>
      <c r="C308" t="s">
        <v>890</v>
      </c>
      <c r="D308" t="s">
        <v>89</v>
      </c>
      <c r="E308">
        <v>6</v>
      </c>
    </row>
    <row r="309" spans="1:5" x14ac:dyDescent="0.25">
      <c r="A309">
        <v>314</v>
      </c>
      <c r="B309" t="s">
        <v>462</v>
      </c>
      <c r="C309" t="s">
        <v>895</v>
      </c>
      <c r="D309" t="s">
        <v>57</v>
      </c>
      <c r="E309">
        <v>8</v>
      </c>
    </row>
    <row r="310" spans="1:5" x14ac:dyDescent="0.25">
      <c r="A310">
        <v>316</v>
      </c>
      <c r="B310" t="s">
        <v>187</v>
      </c>
      <c r="C310" t="s">
        <v>905</v>
      </c>
      <c r="D310" t="s">
        <v>95</v>
      </c>
      <c r="E310">
        <v>5</v>
      </c>
    </row>
    <row r="311" spans="1:5" x14ac:dyDescent="0.25">
      <c r="A311">
        <v>318</v>
      </c>
      <c r="B311" t="s">
        <v>488</v>
      </c>
      <c r="C311" t="s">
        <v>893</v>
      </c>
      <c r="D311" t="s">
        <v>95</v>
      </c>
      <c r="E311">
        <v>5</v>
      </c>
    </row>
    <row r="312" spans="1:5" x14ac:dyDescent="0.25">
      <c r="A312">
        <v>320</v>
      </c>
      <c r="B312" t="s">
        <v>286</v>
      </c>
      <c r="C312" t="s">
        <v>904</v>
      </c>
      <c r="D312" t="s">
        <v>47</v>
      </c>
      <c r="E312">
        <v>8</v>
      </c>
    </row>
    <row r="313" spans="1:5" x14ac:dyDescent="0.25">
      <c r="A313">
        <v>321</v>
      </c>
      <c r="B313" t="s">
        <v>1635</v>
      </c>
      <c r="C313" t="s">
        <v>882</v>
      </c>
      <c r="D313" t="s">
        <v>82</v>
      </c>
      <c r="E313">
        <v>13</v>
      </c>
    </row>
    <row r="314" spans="1:5" x14ac:dyDescent="0.25">
      <c r="A314">
        <v>323</v>
      </c>
      <c r="B314" t="s">
        <v>1634</v>
      </c>
      <c r="C314" t="s">
        <v>884</v>
      </c>
      <c r="D314" t="s">
        <v>45</v>
      </c>
      <c r="E314">
        <v>10</v>
      </c>
    </row>
    <row r="315" spans="1:5" x14ac:dyDescent="0.25">
      <c r="A315">
        <v>324</v>
      </c>
      <c r="B315" t="s">
        <v>265</v>
      </c>
      <c r="C315" t="s">
        <v>945</v>
      </c>
      <c r="D315" t="s">
        <v>57</v>
      </c>
      <c r="E315">
        <v>8</v>
      </c>
    </row>
    <row r="316" spans="1:5" x14ac:dyDescent="0.25">
      <c r="A316">
        <v>325</v>
      </c>
      <c r="B316" t="s">
        <v>322</v>
      </c>
      <c r="C316" t="s">
        <v>946</v>
      </c>
      <c r="D316" t="s">
        <v>95</v>
      </c>
      <c r="E316">
        <v>5</v>
      </c>
    </row>
    <row r="317" spans="1:5" x14ac:dyDescent="0.25">
      <c r="A317">
        <v>327</v>
      </c>
      <c r="B317" t="s">
        <v>1351</v>
      </c>
      <c r="C317" t="s">
        <v>939</v>
      </c>
      <c r="D317" t="s">
        <v>84</v>
      </c>
      <c r="E317">
        <v>6</v>
      </c>
    </row>
    <row r="318" spans="1:5" x14ac:dyDescent="0.25">
      <c r="A318">
        <v>328</v>
      </c>
      <c r="B318" t="s">
        <v>183</v>
      </c>
      <c r="C318" t="s">
        <v>940</v>
      </c>
      <c r="D318" t="s">
        <v>75</v>
      </c>
      <c r="E318">
        <v>6</v>
      </c>
    </row>
    <row r="319" spans="1:5" x14ac:dyDescent="0.25">
      <c r="A319">
        <v>329</v>
      </c>
      <c r="B319" t="s">
        <v>1072</v>
      </c>
      <c r="C319" t="s">
        <v>887</v>
      </c>
      <c r="D319" t="s">
        <v>59</v>
      </c>
      <c r="E319">
        <v>7</v>
      </c>
    </row>
    <row r="320" spans="1:5" x14ac:dyDescent="0.25">
      <c r="A320">
        <v>330</v>
      </c>
      <c r="B320" t="s">
        <v>1330</v>
      </c>
      <c r="C320" t="s">
        <v>888</v>
      </c>
      <c r="D320" t="s">
        <v>95</v>
      </c>
      <c r="E320">
        <v>5</v>
      </c>
    </row>
    <row r="321" spans="1:5" x14ac:dyDescent="0.25">
      <c r="A321">
        <v>331</v>
      </c>
      <c r="B321" t="s">
        <v>1633</v>
      </c>
      <c r="C321" t="s">
        <v>941</v>
      </c>
      <c r="D321" t="s">
        <v>55</v>
      </c>
      <c r="E321">
        <v>11</v>
      </c>
    </row>
    <row r="322" spans="1:5" x14ac:dyDescent="0.25">
      <c r="A322">
        <v>332</v>
      </c>
      <c r="B322" t="s">
        <v>1079</v>
      </c>
      <c r="C322" t="s">
        <v>947</v>
      </c>
      <c r="D322" t="s">
        <v>75</v>
      </c>
      <c r="E322">
        <v>6</v>
      </c>
    </row>
    <row r="323" spans="1:5" x14ac:dyDescent="0.25">
      <c r="A323">
        <v>333</v>
      </c>
      <c r="B323" t="s">
        <v>176</v>
      </c>
      <c r="C323" t="s">
        <v>942</v>
      </c>
      <c r="D323" t="s">
        <v>30</v>
      </c>
      <c r="E323">
        <v>14</v>
      </c>
    </row>
    <row r="324" spans="1:5" x14ac:dyDescent="0.25">
      <c r="A324">
        <v>335</v>
      </c>
      <c r="B324" t="s">
        <v>430</v>
      </c>
      <c r="C324" t="s">
        <v>943</v>
      </c>
      <c r="D324" t="s">
        <v>55</v>
      </c>
      <c r="E324">
        <v>11</v>
      </c>
    </row>
    <row r="325" spans="1:5" x14ac:dyDescent="0.25">
      <c r="A325">
        <v>336</v>
      </c>
      <c r="B325" t="s">
        <v>163</v>
      </c>
      <c r="C325" t="s">
        <v>944</v>
      </c>
      <c r="D325" t="s">
        <v>41</v>
      </c>
      <c r="E325">
        <v>8</v>
      </c>
    </row>
    <row r="326" spans="1:5" x14ac:dyDescent="0.25">
      <c r="A326">
        <v>338</v>
      </c>
      <c r="B326" t="s">
        <v>394</v>
      </c>
      <c r="C326" t="s">
        <v>952</v>
      </c>
      <c r="D326" t="s">
        <v>45</v>
      </c>
      <c r="E326">
        <v>10</v>
      </c>
    </row>
    <row r="327" spans="1:5" x14ac:dyDescent="0.25">
      <c r="A327">
        <v>342</v>
      </c>
      <c r="B327" t="s">
        <v>1214</v>
      </c>
      <c r="C327" t="s">
        <v>948</v>
      </c>
      <c r="D327" t="s">
        <v>43</v>
      </c>
      <c r="E327">
        <v>13</v>
      </c>
    </row>
    <row r="328" spans="1:5" x14ac:dyDescent="0.25">
      <c r="A328">
        <v>343</v>
      </c>
      <c r="B328" t="s">
        <v>1266</v>
      </c>
      <c r="C328" t="s">
        <v>894</v>
      </c>
      <c r="D328" t="s">
        <v>28</v>
      </c>
      <c r="E328">
        <v>13</v>
      </c>
    </row>
    <row r="329" spans="1:5" x14ac:dyDescent="0.25">
      <c r="A329">
        <v>344</v>
      </c>
      <c r="B329" t="s">
        <v>1252</v>
      </c>
      <c r="C329" t="s">
        <v>949</v>
      </c>
      <c r="D329" t="s">
        <v>55</v>
      </c>
      <c r="E329">
        <v>11</v>
      </c>
    </row>
    <row r="330" spans="1:5" x14ac:dyDescent="0.25">
      <c r="A330">
        <v>347</v>
      </c>
      <c r="B330" t="s">
        <v>1632</v>
      </c>
      <c r="C330" t="s">
        <v>899</v>
      </c>
      <c r="D330" t="s">
        <v>95</v>
      </c>
      <c r="E330">
        <v>5</v>
      </c>
    </row>
    <row r="331" spans="1:5" x14ac:dyDescent="0.25">
      <c r="A331">
        <v>348</v>
      </c>
      <c r="B331" t="s">
        <v>454</v>
      </c>
      <c r="C331" t="s">
        <v>897</v>
      </c>
      <c r="D331" t="s">
        <v>69</v>
      </c>
      <c r="E331">
        <v>11</v>
      </c>
    </row>
    <row r="332" spans="1:5" x14ac:dyDescent="0.25">
      <c r="A332">
        <v>349</v>
      </c>
      <c r="B332" t="s">
        <v>1220</v>
      </c>
      <c r="C332" t="s">
        <v>951</v>
      </c>
      <c r="D332" t="s">
        <v>26</v>
      </c>
      <c r="E332">
        <v>5</v>
      </c>
    </row>
    <row r="333" spans="1:5" x14ac:dyDescent="0.25">
      <c r="A333">
        <v>351</v>
      </c>
      <c r="B333" t="s">
        <v>203</v>
      </c>
      <c r="C333" t="s">
        <v>953</v>
      </c>
      <c r="D333" t="s">
        <v>32</v>
      </c>
      <c r="E333">
        <v>11</v>
      </c>
    </row>
    <row r="334" spans="1:5" x14ac:dyDescent="0.25">
      <c r="A334">
        <v>352</v>
      </c>
      <c r="B334" t="s">
        <v>300</v>
      </c>
      <c r="C334" t="s">
        <v>954</v>
      </c>
      <c r="D334" t="s">
        <v>37</v>
      </c>
      <c r="E334">
        <v>8</v>
      </c>
    </row>
    <row r="335" spans="1:5" x14ac:dyDescent="0.25">
      <c r="A335">
        <v>354</v>
      </c>
      <c r="B335" t="s">
        <v>1631</v>
      </c>
      <c r="C335" t="s">
        <v>955</v>
      </c>
      <c r="D335" t="s">
        <v>84</v>
      </c>
      <c r="E335">
        <v>6</v>
      </c>
    </row>
    <row r="336" spans="1:5" x14ac:dyDescent="0.25">
      <c r="A336">
        <v>356</v>
      </c>
      <c r="B336" t="s">
        <v>1235</v>
      </c>
      <c r="C336" t="s">
        <v>900</v>
      </c>
      <c r="D336" t="s">
        <v>35</v>
      </c>
      <c r="E336">
        <v>10</v>
      </c>
    </row>
    <row r="337" spans="1:5" x14ac:dyDescent="0.25">
      <c r="A337">
        <v>357</v>
      </c>
      <c r="B337" t="s">
        <v>476</v>
      </c>
      <c r="C337" t="s">
        <v>959</v>
      </c>
      <c r="D337" t="s">
        <v>57</v>
      </c>
      <c r="E337">
        <v>8</v>
      </c>
    </row>
    <row r="338" spans="1:5" x14ac:dyDescent="0.25">
      <c r="A338">
        <v>358</v>
      </c>
      <c r="B338" t="e">
        <v>#N/A</v>
      </c>
      <c r="C338" t="s">
        <v>963</v>
      </c>
      <c r="D338" t="e">
        <v>#N/A</v>
      </c>
      <c r="E338" t="e">
        <v>#N/A</v>
      </c>
    </row>
    <row r="339" spans="1:5" x14ac:dyDescent="0.25">
      <c r="A339">
        <v>359</v>
      </c>
      <c r="B339" t="s">
        <v>1261</v>
      </c>
      <c r="C339" t="s">
        <v>962</v>
      </c>
      <c r="D339" t="s">
        <v>28</v>
      </c>
      <c r="E339">
        <v>13</v>
      </c>
    </row>
    <row r="340" spans="1:5" x14ac:dyDescent="0.25">
      <c r="A340">
        <v>360</v>
      </c>
      <c r="B340" t="s">
        <v>1233</v>
      </c>
      <c r="C340" t="s">
        <v>967</v>
      </c>
      <c r="D340" t="s">
        <v>73</v>
      </c>
      <c r="E340">
        <v>6</v>
      </c>
    </row>
    <row r="341" spans="1:5" x14ac:dyDescent="0.25">
      <c r="A341">
        <v>361</v>
      </c>
      <c r="B341" t="s">
        <v>1630</v>
      </c>
      <c r="C341" t="s">
        <v>950</v>
      </c>
      <c r="D341" t="s">
        <v>78</v>
      </c>
      <c r="E341">
        <v>10</v>
      </c>
    </row>
    <row r="342" spans="1:5" x14ac:dyDescent="0.25">
      <c r="A342">
        <v>362</v>
      </c>
      <c r="B342" t="s">
        <v>477</v>
      </c>
      <c r="C342" t="s">
        <v>971</v>
      </c>
      <c r="D342" t="s">
        <v>57</v>
      </c>
      <c r="E342">
        <v>8</v>
      </c>
    </row>
    <row r="343" spans="1:5" x14ac:dyDescent="0.25">
      <c r="A343">
        <v>363</v>
      </c>
      <c r="B343" t="s">
        <v>439</v>
      </c>
      <c r="C343" t="s">
        <v>956</v>
      </c>
      <c r="D343" t="s">
        <v>24</v>
      </c>
      <c r="E343">
        <v>11</v>
      </c>
    </row>
    <row r="344" spans="1:5" x14ac:dyDescent="0.25">
      <c r="A344">
        <v>364</v>
      </c>
      <c r="B344" t="s">
        <v>1629</v>
      </c>
      <c r="C344" t="s">
        <v>968</v>
      </c>
      <c r="D344" t="s">
        <v>510</v>
      </c>
      <c r="E344">
        <v>11</v>
      </c>
    </row>
    <row r="345" spans="1:5" x14ac:dyDescent="0.25">
      <c r="A345">
        <v>365</v>
      </c>
      <c r="B345" t="s">
        <v>1219</v>
      </c>
      <c r="C345" t="s">
        <v>975</v>
      </c>
      <c r="D345" t="s">
        <v>510</v>
      </c>
      <c r="E345">
        <v>11</v>
      </c>
    </row>
    <row r="346" spans="1:5" x14ac:dyDescent="0.25">
      <c r="A346">
        <v>366</v>
      </c>
      <c r="B346" t="s">
        <v>412</v>
      </c>
      <c r="C346" t="s">
        <v>979</v>
      </c>
      <c r="D346" t="s">
        <v>28</v>
      </c>
      <c r="E346">
        <v>13</v>
      </c>
    </row>
    <row r="347" spans="1:5" x14ac:dyDescent="0.25">
      <c r="A347">
        <v>367</v>
      </c>
      <c r="B347" t="s">
        <v>324</v>
      </c>
      <c r="C347" t="s">
        <v>972</v>
      </c>
      <c r="D347" t="s">
        <v>30</v>
      </c>
      <c r="E347">
        <v>14</v>
      </c>
    </row>
    <row r="348" spans="1:5" x14ac:dyDescent="0.25">
      <c r="A348">
        <v>368</v>
      </c>
      <c r="B348" t="s">
        <v>448</v>
      </c>
      <c r="C348" t="s">
        <v>958</v>
      </c>
      <c r="D348" t="s">
        <v>21</v>
      </c>
      <c r="E348">
        <v>14</v>
      </c>
    </row>
    <row r="349" spans="1:5" x14ac:dyDescent="0.25">
      <c r="A349">
        <v>369</v>
      </c>
      <c r="B349" t="s">
        <v>403</v>
      </c>
      <c r="C349" t="s">
        <v>973</v>
      </c>
      <c r="D349" t="s">
        <v>69</v>
      </c>
      <c r="E349">
        <v>11</v>
      </c>
    </row>
    <row r="350" spans="1:5" x14ac:dyDescent="0.25">
      <c r="A350">
        <v>370</v>
      </c>
      <c r="B350" t="s">
        <v>1628</v>
      </c>
      <c r="C350" t="s">
        <v>982</v>
      </c>
      <c r="D350" t="s">
        <v>73</v>
      </c>
      <c r="E350">
        <v>6</v>
      </c>
    </row>
    <row r="351" spans="1:5" x14ac:dyDescent="0.25">
      <c r="A351">
        <v>371</v>
      </c>
      <c r="B351" t="e">
        <v>#N/A</v>
      </c>
      <c r="C351" t="s">
        <v>960</v>
      </c>
      <c r="D351" t="e">
        <v>#N/A</v>
      </c>
      <c r="E351" t="e">
        <v>#N/A</v>
      </c>
    </row>
    <row r="352" spans="1:5" x14ac:dyDescent="0.25">
      <c r="A352">
        <v>372</v>
      </c>
      <c r="B352" t="s">
        <v>166</v>
      </c>
      <c r="C352" t="s">
        <v>985</v>
      </c>
      <c r="D352" t="s">
        <v>65</v>
      </c>
      <c r="E352">
        <v>10</v>
      </c>
    </row>
    <row r="353" spans="1:5" x14ac:dyDescent="0.25">
      <c r="A353">
        <v>373</v>
      </c>
      <c r="B353" t="s">
        <v>279</v>
      </c>
      <c r="C353" t="s">
        <v>976</v>
      </c>
      <c r="D353" t="s">
        <v>82</v>
      </c>
      <c r="E353">
        <v>13</v>
      </c>
    </row>
    <row r="354" spans="1:5" x14ac:dyDescent="0.25">
      <c r="A354">
        <v>374</v>
      </c>
      <c r="B354" t="s">
        <v>907</v>
      </c>
      <c r="C354" t="s">
        <v>987</v>
      </c>
      <c r="D354" t="s">
        <v>59</v>
      </c>
      <c r="E354">
        <v>7</v>
      </c>
    </row>
    <row r="355" spans="1:5" x14ac:dyDescent="0.25">
      <c r="A355">
        <v>375</v>
      </c>
      <c r="B355" t="s">
        <v>485</v>
      </c>
      <c r="C355" t="s">
        <v>995</v>
      </c>
      <c r="D355" t="s">
        <v>69</v>
      </c>
      <c r="E355">
        <v>11</v>
      </c>
    </row>
    <row r="356" spans="1:5" x14ac:dyDescent="0.25">
      <c r="A356">
        <v>376</v>
      </c>
      <c r="B356" t="s">
        <v>210</v>
      </c>
      <c r="C356" t="s">
        <v>1002</v>
      </c>
      <c r="D356" t="s">
        <v>59</v>
      </c>
      <c r="E356">
        <v>7</v>
      </c>
    </row>
    <row r="357" spans="1:5" x14ac:dyDescent="0.25">
      <c r="A357">
        <v>377</v>
      </c>
      <c r="B357" t="s">
        <v>921</v>
      </c>
      <c r="C357" t="s">
        <v>1004</v>
      </c>
      <c r="D357" t="s">
        <v>21</v>
      </c>
      <c r="E357">
        <v>14</v>
      </c>
    </row>
    <row r="358" spans="1:5" x14ac:dyDescent="0.25">
      <c r="A358">
        <v>378</v>
      </c>
      <c r="B358" t="s">
        <v>467</v>
      </c>
      <c r="C358" t="s">
        <v>1005</v>
      </c>
      <c r="D358" t="s">
        <v>30</v>
      </c>
      <c r="E358">
        <v>14</v>
      </c>
    </row>
    <row r="359" spans="1:5" x14ac:dyDescent="0.25">
      <c r="A359">
        <v>379</v>
      </c>
      <c r="B359" t="s">
        <v>445</v>
      </c>
      <c r="C359" t="s">
        <v>961</v>
      </c>
      <c r="D359" t="s">
        <v>69</v>
      </c>
      <c r="E359">
        <v>11</v>
      </c>
    </row>
    <row r="360" spans="1:5" x14ac:dyDescent="0.25">
      <c r="A360">
        <v>380</v>
      </c>
      <c r="B360" t="s">
        <v>507</v>
      </c>
      <c r="C360" t="s">
        <v>903</v>
      </c>
      <c r="D360" t="s">
        <v>75</v>
      </c>
      <c r="E360">
        <v>6</v>
      </c>
    </row>
    <row r="361" spans="1:5" x14ac:dyDescent="0.25">
      <c r="A361">
        <v>381</v>
      </c>
      <c r="B361" t="s">
        <v>1240</v>
      </c>
      <c r="C361" t="s">
        <v>906</v>
      </c>
      <c r="D361" t="s">
        <v>84</v>
      </c>
      <c r="E361">
        <v>6</v>
      </c>
    </row>
    <row r="362" spans="1:5" x14ac:dyDescent="0.25">
      <c r="A362">
        <v>382</v>
      </c>
      <c r="B362" t="s">
        <v>94</v>
      </c>
      <c r="C362" t="s">
        <v>969</v>
      </c>
      <c r="D362" t="s">
        <v>95</v>
      </c>
      <c r="E362">
        <v>5</v>
      </c>
    </row>
    <row r="363" spans="1:5" x14ac:dyDescent="0.25">
      <c r="A363">
        <v>383</v>
      </c>
      <c r="B363" t="s">
        <v>294</v>
      </c>
      <c r="C363" t="s">
        <v>981</v>
      </c>
      <c r="D363" t="s">
        <v>73</v>
      </c>
      <c r="E363">
        <v>6</v>
      </c>
    </row>
    <row r="364" spans="1:5" x14ac:dyDescent="0.25">
      <c r="A364">
        <v>384</v>
      </c>
      <c r="B364" t="s">
        <v>1627</v>
      </c>
      <c r="C364" t="s">
        <v>988</v>
      </c>
      <c r="D364" t="s">
        <v>71</v>
      </c>
      <c r="E364">
        <v>9</v>
      </c>
    </row>
    <row r="365" spans="1:5" x14ac:dyDescent="0.25">
      <c r="A365">
        <v>385</v>
      </c>
      <c r="B365" t="e">
        <v>#N/A</v>
      </c>
      <c r="C365" t="s">
        <v>965</v>
      </c>
      <c r="D365" t="e">
        <v>#N/A</v>
      </c>
      <c r="E365" t="e">
        <v>#N/A</v>
      </c>
    </row>
    <row r="366" spans="1:5" x14ac:dyDescent="0.25">
      <c r="A366">
        <v>386</v>
      </c>
      <c r="B366" t="s">
        <v>87</v>
      </c>
      <c r="C366" t="s">
        <v>970</v>
      </c>
      <c r="D366" t="s">
        <v>45</v>
      </c>
      <c r="E366">
        <v>10</v>
      </c>
    </row>
    <row r="367" spans="1:5" x14ac:dyDescent="0.25">
      <c r="A367">
        <v>387</v>
      </c>
      <c r="B367" t="s">
        <v>1253</v>
      </c>
      <c r="C367" t="s">
        <v>974</v>
      </c>
      <c r="D367" t="s">
        <v>89</v>
      </c>
      <c r="E367">
        <v>6</v>
      </c>
    </row>
    <row r="368" spans="1:5" x14ac:dyDescent="0.25">
      <c r="A368">
        <v>388</v>
      </c>
      <c r="B368" t="s">
        <v>1626</v>
      </c>
      <c r="C368" t="s">
        <v>977</v>
      </c>
      <c r="D368" t="s">
        <v>37</v>
      </c>
      <c r="E368">
        <v>8</v>
      </c>
    </row>
    <row r="369" spans="1:5" x14ac:dyDescent="0.25">
      <c r="A369">
        <v>389</v>
      </c>
      <c r="B369" t="s">
        <v>1275</v>
      </c>
      <c r="C369" t="s">
        <v>983</v>
      </c>
      <c r="D369" t="s">
        <v>82</v>
      </c>
      <c r="E369">
        <v>13</v>
      </c>
    </row>
    <row r="370" spans="1:5" x14ac:dyDescent="0.25">
      <c r="A370">
        <v>390</v>
      </c>
      <c r="B370" t="s">
        <v>304</v>
      </c>
      <c r="C370" t="s">
        <v>996</v>
      </c>
      <c r="D370" t="s">
        <v>43</v>
      </c>
      <c r="E370">
        <v>13</v>
      </c>
    </row>
    <row r="371" spans="1:5" x14ac:dyDescent="0.25">
      <c r="A371">
        <v>391</v>
      </c>
      <c r="B371" t="s">
        <v>377</v>
      </c>
      <c r="C371" t="s">
        <v>978</v>
      </c>
      <c r="D371" t="s">
        <v>28</v>
      </c>
      <c r="E371">
        <v>13</v>
      </c>
    </row>
    <row r="372" spans="1:5" x14ac:dyDescent="0.25">
      <c r="A372">
        <v>392</v>
      </c>
      <c r="B372" t="s">
        <v>1258</v>
      </c>
      <c r="C372" t="s">
        <v>980</v>
      </c>
      <c r="D372" t="s">
        <v>71</v>
      </c>
      <c r="E372">
        <v>9</v>
      </c>
    </row>
    <row r="373" spans="1:5" x14ac:dyDescent="0.25">
      <c r="A373">
        <v>393</v>
      </c>
      <c r="B373" t="s">
        <v>1625</v>
      </c>
      <c r="C373" t="s">
        <v>984</v>
      </c>
      <c r="D373" t="s">
        <v>55</v>
      </c>
      <c r="E373">
        <v>11</v>
      </c>
    </row>
    <row r="374" spans="1:5" x14ac:dyDescent="0.25">
      <c r="A374">
        <v>394</v>
      </c>
      <c r="B374" t="s">
        <v>1624</v>
      </c>
      <c r="C374" t="s">
        <v>1008</v>
      </c>
      <c r="D374" t="s">
        <v>37</v>
      </c>
      <c r="E374">
        <v>8</v>
      </c>
    </row>
    <row r="375" spans="1:5" x14ac:dyDescent="0.25">
      <c r="A375">
        <v>395</v>
      </c>
      <c r="B375" t="s">
        <v>1078</v>
      </c>
      <c r="C375" t="s">
        <v>1009</v>
      </c>
      <c r="D375" t="s">
        <v>47</v>
      </c>
      <c r="E375">
        <v>8</v>
      </c>
    </row>
    <row r="376" spans="1:5" x14ac:dyDescent="0.25">
      <c r="A376">
        <v>396</v>
      </c>
      <c r="B376" t="s">
        <v>208</v>
      </c>
      <c r="C376" t="s">
        <v>1014</v>
      </c>
      <c r="D376" t="s">
        <v>59</v>
      </c>
      <c r="E376">
        <v>7</v>
      </c>
    </row>
    <row r="377" spans="1:5" x14ac:dyDescent="0.25">
      <c r="A377">
        <v>397</v>
      </c>
      <c r="B377" t="s">
        <v>1243</v>
      </c>
      <c r="C377" t="s">
        <v>1018</v>
      </c>
      <c r="D377" t="s">
        <v>47</v>
      </c>
      <c r="E377">
        <v>8</v>
      </c>
    </row>
    <row r="378" spans="1:5" x14ac:dyDescent="0.25">
      <c r="A378">
        <v>398</v>
      </c>
      <c r="B378" t="s">
        <v>1251</v>
      </c>
      <c r="C378" t="s">
        <v>989</v>
      </c>
      <c r="D378" t="s">
        <v>55</v>
      </c>
      <c r="E378">
        <v>11</v>
      </c>
    </row>
    <row r="379" spans="1:5" x14ac:dyDescent="0.25">
      <c r="A379">
        <v>399</v>
      </c>
      <c r="B379" t="s">
        <v>481</v>
      </c>
      <c r="C379" t="s">
        <v>1019</v>
      </c>
      <c r="D379" t="s">
        <v>69</v>
      </c>
      <c r="E379">
        <v>11</v>
      </c>
    </row>
    <row r="380" spans="1:5" x14ac:dyDescent="0.25">
      <c r="A380">
        <v>400</v>
      </c>
      <c r="B380" t="s">
        <v>1227</v>
      </c>
      <c r="C380" t="s">
        <v>1021</v>
      </c>
      <c r="D380" t="s">
        <v>82</v>
      </c>
      <c r="E380">
        <v>13</v>
      </c>
    </row>
    <row r="381" spans="1:5" x14ac:dyDescent="0.25">
      <c r="A381">
        <v>401</v>
      </c>
      <c r="B381" t="s">
        <v>293</v>
      </c>
      <c r="C381" t="s">
        <v>1007</v>
      </c>
      <c r="D381" t="s">
        <v>30</v>
      </c>
      <c r="E381">
        <v>14</v>
      </c>
    </row>
    <row r="382" spans="1:5" x14ac:dyDescent="0.25">
      <c r="A382">
        <v>402</v>
      </c>
      <c r="B382" t="s">
        <v>173</v>
      </c>
      <c r="C382" t="s">
        <v>1026</v>
      </c>
      <c r="D382" t="s">
        <v>57</v>
      </c>
      <c r="E382">
        <v>8</v>
      </c>
    </row>
    <row r="383" spans="1:5" x14ac:dyDescent="0.25">
      <c r="A383">
        <v>404</v>
      </c>
      <c r="B383" t="s">
        <v>211</v>
      </c>
      <c r="C383" t="s">
        <v>1027</v>
      </c>
      <c r="D383" t="s">
        <v>510</v>
      </c>
      <c r="E383">
        <v>11</v>
      </c>
    </row>
    <row r="384" spans="1:5" x14ac:dyDescent="0.25">
      <c r="A384">
        <v>405</v>
      </c>
      <c r="B384" t="s">
        <v>456</v>
      </c>
      <c r="C384" t="s">
        <v>990</v>
      </c>
      <c r="D384" t="s">
        <v>53</v>
      </c>
      <c r="E384">
        <v>13</v>
      </c>
    </row>
    <row r="385" spans="1:5" x14ac:dyDescent="0.25">
      <c r="A385">
        <v>406</v>
      </c>
      <c r="B385" t="e">
        <v>#N/A</v>
      </c>
      <c r="C385" t="s">
        <v>993</v>
      </c>
      <c r="D385" t="e">
        <v>#N/A</v>
      </c>
      <c r="E385" t="e">
        <v>#N/A</v>
      </c>
    </row>
    <row r="386" spans="1:5" x14ac:dyDescent="0.25">
      <c r="A386">
        <v>407</v>
      </c>
      <c r="B386" t="s">
        <v>1239</v>
      </c>
      <c r="C386" t="s">
        <v>1010</v>
      </c>
      <c r="D386" t="s">
        <v>69</v>
      </c>
      <c r="E386">
        <v>11</v>
      </c>
    </row>
    <row r="387" spans="1:5" x14ac:dyDescent="0.25">
      <c r="A387">
        <v>408</v>
      </c>
      <c r="B387" t="s">
        <v>308</v>
      </c>
      <c r="C387" t="s">
        <v>1024</v>
      </c>
      <c r="D387" t="s">
        <v>53</v>
      </c>
      <c r="E387">
        <v>13</v>
      </c>
    </row>
    <row r="388" spans="1:5" x14ac:dyDescent="0.25">
      <c r="A388">
        <v>409</v>
      </c>
      <c r="B388" t="e">
        <v>#N/A</v>
      </c>
      <c r="C388" t="s">
        <v>1030</v>
      </c>
      <c r="D388" t="e">
        <v>#N/A</v>
      </c>
      <c r="E388" t="e">
        <v>#N/A</v>
      </c>
    </row>
    <row r="389" spans="1:5" x14ac:dyDescent="0.25">
      <c r="A389">
        <v>410</v>
      </c>
      <c r="B389" t="s">
        <v>437</v>
      </c>
      <c r="C389" t="s">
        <v>998</v>
      </c>
      <c r="D389" t="s">
        <v>26</v>
      </c>
      <c r="E389">
        <v>5</v>
      </c>
    </row>
    <row r="390" spans="1:5" x14ac:dyDescent="0.25">
      <c r="A390">
        <v>411</v>
      </c>
      <c r="B390" t="e">
        <v>#N/A</v>
      </c>
      <c r="C390" t="s">
        <v>999</v>
      </c>
      <c r="D390" t="e">
        <v>#N/A</v>
      </c>
      <c r="E390" t="e">
        <v>#N/A</v>
      </c>
    </row>
    <row r="391" spans="1:5" x14ac:dyDescent="0.25">
      <c r="A391">
        <v>412</v>
      </c>
      <c r="B391" t="s">
        <v>197</v>
      </c>
      <c r="C391" t="s">
        <v>1031</v>
      </c>
      <c r="D391" t="s">
        <v>32</v>
      </c>
      <c r="E391">
        <v>11</v>
      </c>
    </row>
    <row r="392" spans="1:5" x14ac:dyDescent="0.25">
      <c r="A392">
        <v>413</v>
      </c>
      <c r="B392" t="s">
        <v>284</v>
      </c>
      <c r="C392" t="s">
        <v>1038</v>
      </c>
      <c r="D392" t="s">
        <v>37</v>
      </c>
      <c r="E392">
        <v>8</v>
      </c>
    </row>
    <row r="393" spans="1:5" x14ac:dyDescent="0.25">
      <c r="A393">
        <v>414</v>
      </c>
      <c r="B393" t="s">
        <v>185</v>
      </c>
      <c r="C393" t="s">
        <v>1037</v>
      </c>
      <c r="D393" t="s">
        <v>57</v>
      </c>
      <c r="E393">
        <v>8</v>
      </c>
    </row>
    <row r="394" spans="1:5" x14ac:dyDescent="0.25">
      <c r="A394">
        <v>415</v>
      </c>
      <c r="B394" t="s">
        <v>385</v>
      </c>
      <c r="C394" t="s">
        <v>991</v>
      </c>
      <c r="D394" t="s">
        <v>49</v>
      </c>
      <c r="E394">
        <v>11</v>
      </c>
    </row>
    <row r="395" spans="1:5" x14ac:dyDescent="0.25">
      <c r="A395">
        <v>416</v>
      </c>
      <c r="B395" t="s">
        <v>303</v>
      </c>
      <c r="C395" t="s">
        <v>1039</v>
      </c>
      <c r="D395" t="s">
        <v>41</v>
      </c>
      <c r="E395">
        <v>8</v>
      </c>
    </row>
    <row r="396" spans="1:5" x14ac:dyDescent="0.25">
      <c r="A396">
        <v>417</v>
      </c>
      <c r="B396" t="s">
        <v>313</v>
      </c>
      <c r="C396" t="s">
        <v>1041</v>
      </c>
      <c r="D396" t="s">
        <v>32</v>
      </c>
      <c r="E396">
        <v>11</v>
      </c>
    </row>
    <row r="397" spans="1:5" x14ac:dyDescent="0.25">
      <c r="A397">
        <v>418</v>
      </c>
      <c r="B397" t="s">
        <v>1215</v>
      </c>
      <c r="C397" t="s">
        <v>1043</v>
      </c>
      <c r="D397" t="s">
        <v>89</v>
      </c>
      <c r="E397">
        <v>6</v>
      </c>
    </row>
    <row r="398" spans="1:5" x14ac:dyDescent="0.25">
      <c r="A398">
        <v>419</v>
      </c>
      <c r="B398" t="s">
        <v>268</v>
      </c>
      <c r="C398" t="s">
        <v>1047</v>
      </c>
      <c r="D398" t="s">
        <v>63</v>
      </c>
      <c r="E398">
        <v>9</v>
      </c>
    </row>
    <row r="399" spans="1:5" x14ac:dyDescent="0.25">
      <c r="A399">
        <v>420</v>
      </c>
      <c r="B399" t="s">
        <v>519</v>
      </c>
      <c r="C399" t="s">
        <v>992</v>
      </c>
      <c r="D399" t="s">
        <v>45</v>
      </c>
      <c r="E399">
        <v>10</v>
      </c>
    </row>
    <row r="400" spans="1:5" x14ac:dyDescent="0.25">
      <c r="A400">
        <v>421</v>
      </c>
      <c r="B400" t="s">
        <v>387</v>
      </c>
      <c r="C400" t="s">
        <v>994</v>
      </c>
      <c r="D400" t="s">
        <v>35</v>
      </c>
      <c r="E400">
        <v>10</v>
      </c>
    </row>
    <row r="401" spans="1:5" x14ac:dyDescent="0.25">
      <c r="A401">
        <v>422</v>
      </c>
      <c r="B401" t="s">
        <v>1623</v>
      </c>
      <c r="C401" t="s">
        <v>1054</v>
      </c>
      <c r="D401" t="s">
        <v>510</v>
      </c>
      <c r="E401">
        <v>11</v>
      </c>
    </row>
    <row r="402" spans="1:5" x14ac:dyDescent="0.25">
      <c r="A402">
        <v>423</v>
      </c>
      <c r="B402" t="s">
        <v>367</v>
      </c>
      <c r="C402" t="s">
        <v>1003</v>
      </c>
      <c r="D402" t="s">
        <v>37</v>
      </c>
      <c r="E402">
        <v>8</v>
      </c>
    </row>
    <row r="403" spans="1:5" x14ac:dyDescent="0.25">
      <c r="A403">
        <v>424</v>
      </c>
      <c r="B403" t="s">
        <v>511</v>
      </c>
      <c r="C403" t="s">
        <v>1032</v>
      </c>
      <c r="D403" t="s">
        <v>95</v>
      </c>
      <c r="E403">
        <v>5</v>
      </c>
    </row>
    <row r="404" spans="1:5" x14ac:dyDescent="0.25">
      <c r="A404">
        <v>425</v>
      </c>
      <c r="B404" t="s">
        <v>1622</v>
      </c>
      <c r="C404" t="s">
        <v>1000</v>
      </c>
      <c r="D404" t="s">
        <v>53</v>
      </c>
      <c r="E404">
        <v>13</v>
      </c>
    </row>
    <row r="405" spans="1:5" x14ac:dyDescent="0.25">
      <c r="A405">
        <v>426</v>
      </c>
      <c r="B405" t="s">
        <v>1621</v>
      </c>
      <c r="C405" t="s">
        <v>1033</v>
      </c>
      <c r="D405" t="s">
        <v>71</v>
      </c>
      <c r="E405">
        <v>9</v>
      </c>
    </row>
    <row r="406" spans="1:5" x14ac:dyDescent="0.25">
      <c r="A406">
        <v>427</v>
      </c>
      <c r="B406" t="s">
        <v>372</v>
      </c>
      <c r="C406" t="s">
        <v>1034</v>
      </c>
      <c r="D406" t="s">
        <v>41</v>
      </c>
      <c r="E406">
        <v>8</v>
      </c>
    </row>
    <row r="407" spans="1:5" x14ac:dyDescent="0.25">
      <c r="A407">
        <v>428</v>
      </c>
      <c r="B407" t="s">
        <v>314</v>
      </c>
      <c r="C407" t="s">
        <v>1067</v>
      </c>
      <c r="D407" t="s">
        <v>35</v>
      </c>
      <c r="E407">
        <v>10</v>
      </c>
    </row>
    <row r="408" spans="1:5" x14ac:dyDescent="0.25">
      <c r="A408">
        <v>429</v>
      </c>
      <c r="B408" t="s">
        <v>1218</v>
      </c>
      <c r="C408" t="s">
        <v>1068</v>
      </c>
      <c r="D408" t="s">
        <v>55</v>
      </c>
      <c r="E408">
        <v>11</v>
      </c>
    </row>
    <row r="409" spans="1:5" x14ac:dyDescent="0.25">
      <c r="A409">
        <v>430</v>
      </c>
      <c r="B409" t="s">
        <v>391</v>
      </c>
      <c r="C409" t="s">
        <v>1118</v>
      </c>
      <c r="D409" t="s">
        <v>47</v>
      </c>
      <c r="E409">
        <v>8</v>
      </c>
    </row>
    <row r="410" spans="1:5" x14ac:dyDescent="0.25">
      <c r="A410">
        <v>431</v>
      </c>
      <c r="B410" t="s">
        <v>459</v>
      </c>
      <c r="C410" t="s">
        <v>1001</v>
      </c>
      <c r="D410" t="s">
        <v>63</v>
      </c>
      <c r="E410">
        <v>9</v>
      </c>
    </row>
    <row r="411" spans="1:5" x14ac:dyDescent="0.25">
      <c r="A411">
        <v>433</v>
      </c>
      <c r="B411" t="s">
        <v>515</v>
      </c>
      <c r="C411" t="s">
        <v>1035</v>
      </c>
      <c r="D411" t="s">
        <v>67</v>
      </c>
      <c r="E411">
        <v>7</v>
      </c>
    </row>
    <row r="412" spans="1:5" x14ac:dyDescent="0.25">
      <c r="A412">
        <v>434</v>
      </c>
      <c r="B412" t="s">
        <v>458</v>
      </c>
      <c r="C412" t="s">
        <v>1006</v>
      </c>
      <c r="D412" t="s">
        <v>41</v>
      </c>
      <c r="E412">
        <v>8</v>
      </c>
    </row>
    <row r="413" spans="1:5" x14ac:dyDescent="0.25">
      <c r="A413">
        <v>435</v>
      </c>
      <c r="B413" t="s">
        <v>916</v>
      </c>
      <c r="C413" t="s">
        <v>1045</v>
      </c>
      <c r="D413" t="s">
        <v>61</v>
      </c>
      <c r="E413">
        <v>7</v>
      </c>
    </row>
    <row r="414" spans="1:5" x14ac:dyDescent="0.25">
      <c r="A414">
        <v>436</v>
      </c>
      <c r="B414" t="s">
        <v>374</v>
      </c>
      <c r="C414" t="s">
        <v>1042</v>
      </c>
      <c r="D414" t="s">
        <v>65</v>
      </c>
      <c r="E414">
        <v>10</v>
      </c>
    </row>
    <row r="415" spans="1:5" x14ac:dyDescent="0.25">
      <c r="A415">
        <v>437</v>
      </c>
      <c r="B415" t="s">
        <v>1620</v>
      </c>
      <c r="C415" t="s">
        <v>1011</v>
      </c>
      <c r="D415" t="s">
        <v>37</v>
      </c>
      <c r="E415">
        <v>8</v>
      </c>
    </row>
    <row r="416" spans="1:5" x14ac:dyDescent="0.25">
      <c r="A416">
        <v>438</v>
      </c>
      <c r="B416" t="s">
        <v>1237</v>
      </c>
      <c r="C416" t="s">
        <v>1044</v>
      </c>
      <c r="D416" t="s">
        <v>61</v>
      </c>
      <c r="E416">
        <v>7</v>
      </c>
    </row>
    <row r="417" spans="1:5" x14ac:dyDescent="0.25">
      <c r="A417">
        <v>439</v>
      </c>
      <c r="B417" t="s">
        <v>1619</v>
      </c>
      <c r="C417" t="s">
        <v>1050</v>
      </c>
      <c r="D417" t="s">
        <v>24</v>
      </c>
      <c r="E417">
        <v>11</v>
      </c>
    </row>
    <row r="418" spans="1:5" x14ac:dyDescent="0.25">
      <c r="A418">
        <v>440</v>
      </c>
      <c r="B418" t="s">
        <v>915</v>
      </c>
      <c r="C418" t="s">
        <v>1059</v>
      </c>
      <c r="D418" t="s">
        <v>51</v>
      </c>
      <c r="E418">
        <v>7</v>
      </c>
    </row>
    <row r="419" spans="1:5" x14ac:dyDescent="0.25">
      <c r="A419">
        <v>441</v>
      </c>
      <c r="B419" t="s">
        <v>1241</v>
      </c>
      <c r="C419" t="s">
        <v>1123</v>
      </c>
      <c r="D419" t="s">
        <v>78</v>
      </c>
      <c r="E419">
        <v>10</v>
      </c>
    </row>
    <row r="420" spans="1:5" x14ac:dyDescent="0.25">
      <c r="A420">
        <v>442</v>
      </c>
      <c r="B420" t="s">
        <v>362</v>
      </c>
      <c r="C420" t="s">
        <v>1125</v>
      </c>
      <c r="D420" t="s">
        <v>47</v>
      </c>
      <c r="E420">
        <v>8</v>
      </c>
    </row>
    <row r="421" spans="1:5" x14ac:dyDescent="0.25">
      <c r="A421">
        <v>443</v>
      </c>
      <c r="B421" t="s">
        <v>444</v>
      </c>
      <c r="C421" t="s">
        <v>1013</v>
      </c>
      <c r="D421" t="s">
        <v>73</v>
      </c>
      <c r="E421">
        <v>6</v>
      </c>
    </row>
    <row r="422" spans="1:5" x14ac:dyDescent="0.25">
      <c r="A422">
        <v>444</v>
      </c>
      <c r="B422" t="s">
        <v>157</v>
      </c>
      <c r="C422" t="s">
        <v>1048</v>
      </c>
      <c r="D422" t="s">
        <v>510</v>
      </c>
      <c r="E422">
        <v>11</v>
      </c>
    </row>
    <row r="423" spans="1:5" x14ac:dyDescent="0.25">
      <c r="A423">
        <v>445</v>
      </c>
      <c r="B423" t="s">
        <v>443</v>
      </c>
      <c r="C423" t="s">
        <v>1016</v>
      </c>
      <c r="D423" t="s">
        <v>95</v>
      </c>
      <c r="E423">
        <v>5</v>
      </c>
    </row>
    <row r="424" spans="1:5" x14ac:dyDescent="0.25">
      <c r="A424">
        <v>446</v>
      </c>
      <c r="B424" t="s">
        <v>379</v>
      </c>
      <c r="C424" t="s">
        <v>1127</v>
      </c>
      <c r="D424" t="s">
        <v>57</v>
      </c>
      <c r="E424">
        <v>8</v>
      </c>
    </row>
    <row r="425" spans="1:5" x14ac:dyDescent="0.25">
      <c r="A425">
        <v>447</v>
      </c>
      <c r="B425" t="s">
        <v>512</v>
      </c>
      <c r="C425" t="s">
        <v>1128</v>
      </c>
      <c r="D425" t="s">
        <v>510</v>
      </c>
      <c r="E425">
        <v>11</v>
      </c>
    </row>
    <row r="426" spans="1:5" x14ac:dyDescent="0.25">
      <c r="A426">
        <v>448</v>
      </c>
      <c r="B426" t="s">
        <v>328</v>
      </c>
      <c r="C426" t="s">
        <v>1119</v>
      </c>
      <c r="D426" t="s">
        <v>47</v>
      </c>
      <c r="E426">
        <v>8</v>
      </c>
    </row>
    <row r="427" spans="1:5" x14ac:dyDescent="0.25">
      <c r="A427">
        <v>449</v>
      </c>
      <c r="B427" t="s">
        <v>382</v>
      </c>
      <c r="C427" t="s">
        <v>1134</v>
      </c>
      <c r="D427" t="s">
        <v>21</v>
      </c>
      <c r="E427">
        <v>14</v>
      </c>
    </row>
    <row r="428" spans="1:5" x14ac:dyDescent="0.25">
      <c r="A428">
        <v>450</v>
      </c>
      <c r="B428" t="s">
        <v>1618</v>
      </c>
      <c r="C428" t="s">
        <v>1052</v>
      </c>
      <c r="D428" t="s">
        <v>71</v>
      </c>
      <c r="E428">
        <v>9</v>
      </c>
    </row>
    <row r="429" spans="1:5" x14ac:dyDescent="0.25">
      <c r="A429">
        <v>451</v>
      </c>
      <c r="B429" t="s">
        <v>388</v>
      </c>
      <c r="C429" t="s">
        <v>1136</v>
      </c>
      <c r="D429" t="s">
        <v>53</v>
      </c>
      <c r="E429">
        <v>13</v>
      </c>
    </row>
    <row r="430" spans="1:5" x14ac:dyDescent="0.25">
      <c r="A430">
        <v>452</v>
      </c>
      <c r="B430" t="e">
        <v>#N/A</v>
      </c>
      <c r="C430" t="s">
        <v>1056</v>
      </c>
      <c r="D430" t="e">
        <v>#N/A</v>
      </c>
      <c r="E430" t="e">
        <v>#N/A</v>
      </c>
    </row>
    <row r="431" spans="1:5" x14ac:dyDescent="0.25">
      <c r="A431">
        <v>453</v>
      </c>
      <c r="B431" t="s">
        <v>291</v>
      </c>
      <c r="C431" t="s">
        <v>1120</v>
      </c>
      <c r="D431" t="s">
        <v>37</v>
      </c>
      <c r="E431">
        <v>8</v>
      </c>
    </row>
    <row r="432" spans="1:5" x14ac:dyDescent="0.25">
      <c r="A432">
        <v>454</v>
      </c>
      <c r="B432" t="s">
        <v>1276</v>
      </c>
      <c r="C432" t="s">
        <v>1122</v>
      </c>
      <c r="D432" t="s">
        <v>24</v>
      </c>
      <c r="E432">
        <v>11</v>
      </c>
    </row>
    <row r="433" spans="1:5" x14ac:dyDescent="0.25">
      <c r="A433">
        <v>455</v>
      </c>
      <c r="B433" t="s">
        <v>175</v>
      </c>
      <c r="C433" t="s">
        <v>1058</v>
      </c>
      <c r="D433" t="s">
        <v>24</v>
      </c>
      <c r="E433">
        <v>11</v>
      </c>
    </row>
    <row r="434" spans="1:5" x14ac:dyDescent="0.25">
      <c r="A434">
        <v>456</v>
      </c>
      <c r="B434" t="s">
        <v>1617</v>
      </c>
      <c r="C434" t="s">
        <v>1060</v>
      </c>
      <c r="D434" t="s">
        <v>41</v>
      </c>
      <c r="E434">
        <v>8</v>
      </c>
    </row>
    <row r="435" spans="1:5" x14ac:dyDescent="0.25">
      <c r="A435">
        <v>457</v>
      </c>
      <c r="B435" t="s">
        <v>1231</v>
      </c>
      <c r="C435" t="s">
        <v>1142</v>
      </c>
      <c r="D435" t="s">
        <v>30</v>
      </c>
      <c r="E435">
        <v>14</v>
      </c>
    </row>
    <row r="436" spans="1:5" x14ac:dyDescent="0.25">
      <c r="A436">
        <v>458</v>
      </c>
      <c r="B436" t="s">
        <v>1616</v>
      </c>
      <c r="C436" t="s">
        <v>1062</v>
      </c>
      <c r="D436" t="s">
        <v>89</v>
      </c>
      <c r="E436">
        <v>6</v>
      </c>
    </row>
    <row r="437" spans="1:5" x14ac:dyDescent="0.25">
      <c r="A437">
        <v>459</v>
      </c>
      <c r="B437" t="s">
        <v>298</v>
      </c>
      <c r="C437" t="s">
        <v>1124</v>
      </c>
      <c r="D437" t="s">
        <v>21</v>
      </c>
      <c r="E437">
        <v>14</v>
      </c>
    </row>
    <row r="438" spans="1:5" x14ac:dyDescent="0.25">
      <c r="A438">
        <v>460</v>
      </c>
      <c r="B438" t="s">
        <v>92</v>
      </c>
      <c r="C438" t="s">
        <v>1017</v>
      </c>
      <c r="D438" t="s">
        <v>55</v>
      </c>
      <c r="E438">
        <v>11</v>
      </c>
    </row>
    <row r="439" spans="1:5" x14ac:dyDescent="0.25">
      <c r="A439">
        <v>462</v>
      </c>
      <c r="B439" t="s">
        <v>1615</v>
      </c>
      <c r="C439" t="s">
        <v>1144</v>
      </c>
      <c r="D439" t="s">
        <v>55</v>
      </c>
      <c r="E439">
        <v>11</v>
      </c>
    </row>
    <row r="440" spans="1:5" x14ac:dyDescent="0.25">
      <c r="A440">
        <v>463</v>
      </c>
      <c r="B440" t="s">
        <v>1221</v>
      </c>
      <c r="C440" t="s">
        <v>1063</v>
      </c>
      <c r="D440" t="s">
        <v>51</v>
      </c>
      <c r="E440">
        <v>7</v>
      </c>
    </row>
    <row r="441" spans="1:5" x14ac:dyDescent="0.25">
      <c r="A441">
        <v>464</v>
      </c>
      <c r="B441" t="s">
        <v>1614</v>
      </c>
      <c r="C441" t="s">
        <v>1064</v>
      </c>
      <c r="D441" t="s">
        <v>95</v>
      </c>
      <c r="E441">
        <v>5</v>
      </c>
    </row>
    <row r="442" spans="1:5" x14ac:dyDescent="0.25">
      <c r="A442">
        <v>466</v>
      </c>
      <c r="B442" t="s">
        <v>373</v>
      </c>
      <c r="C442" t="s">
        <v>1150</v>
      </c>
      <c r="D442" t="s">
        <v>69</v>
      </c>
      <c r="E442">
        <v>11</v>
      </c>
    </row>
    <row r="443" spans="1:5" x14ac:dyDescent="0.25">
      <c r="A443">
        <v>467</v>
      </c>
      <c r="B443" t="s">
        <v>1613</v>
      </c>
      <c r="C443" t="s">
        <v>1020</v>
      </c>
      <c r="D443" t="s">
        <v>41</v>
      </c>
      <c r="E443">
        <v>8</v>
      </c>
    </row>
    <row r="444" spans="1:5" x14ac:dyDescent="0.25">
      <c r="A444">
        <v>468</v>
      </c>
      <c r="B444" t="e">
        <v>#N/A</v>
      </c>
      <c r="C444" t="s">
        <v>1135</v>
      </c>
      <c r="D444" t="e">
        <v>#N/A</v>
      </c>
      <c r="E444" t="e">
        <v>#N/A</v>
      </c>
    </row>
    <row r="445" spans="1:5" x14ac:dyDescent="0.25">
      <c r="A445">
        <v>469</v>
      </c>
      <c r="B445" t="s">
        <v>1612</v>
      </c>
      <c r="C445" t="s">
        <v>1149</v>
      </c>
      <c r="D445" t="s">
        <v>75</v>
      </c>
      <c r="E445">
        <v>6</v>
      </c>
    </row>
    <row r="446" spans="1:5" x14ac:dyDescent="0.25">
      <c r="A446">
        <v>470</v>
      </c>
      <c r="B446" t="e">
        <v>#N/A</v>
      </c>
      <c r="C446" t="s">
        <v>1130</v>
      </c>
      <c r="D446" t="e">
        <v>#N/A</v>
      </c>
      <c r="E446" t="e">
        <v>#N/A</v>
      </c>
    </row>
    <row r="447" spans="1:5" x14ac:dyDescent="0.25">
      <c r="A447">
        <v>471</v>
      </c>
      <c r="B447" t="e">
        <v>#N/A</v>
      </c>
      <c r="C447" t="s">
        <v>1152</v>
      </c>
      <c r="D447" t="e">
        <v>#N/A</v>
      </c>
      <c r="E447" t="e">
        <v>#N/A</v>
      </c>
    </row>
    <row r="448" spans="1:5" x14ac:dyDescent="0.25">
      <c r="A448">
        <v>472</v>
      </c>
      <c r="B448" t="e">
        <v>#N/A</v>
      </c>
      <c r="C448" t="s">
        <v>1131</v>
      </c>
      <c r="D448" t="e">
        <v>#N/A</v>
      </c>
      <c r="E448" t="e">
        <v>#N/A</v>
      </c>
    </row>
    <row r="449" spans="1:5" x14ac:dyDescent="0.25">
      <c r="A449">
        <v>474</v>
      </c>
      <c r="B449" t="s">
        <v>1611</v>
      </c>
      <c r="C449" t="s">
        <v>1022</v>
      </c>
      <c r="D449" t="s">
        <v>89</v>
      </c>
      <c r="E449">
        <v>6</v>
      </c>
    </row>
    <row r="450" spans="1:5" x14ac:dyDescent="0.25">
      <c r="A450">
        <v>475</v>
      </c>
      <c r="B450" t="s">
        <v>363</v>
      </c>
      <c r="C450" t="s">
        <v>1159</v>
      </c>
      <c r="D450" t="s">
        <v>59</v>
      </c>
      <c r="E450">
        <v>7</v>
      </c>
    </row>
    <row r="451" spans="1:5" x14ac:dyDescent="0.25">
      <c r="A451">
        <v>476</v>
      </c>
      <c r="B451" t="s">
        <v>1610</v>
      </c>
      <c r="C451" t="s">
        <v>1160</v>
      </c>
      <c r="D451" t="s">
        <v>32</v>
      </c>
      <c r="E451">
        <v>11</v>
      </c>
    </row>
    <row r="452" spans="1:5" x14ac:dyDescent="0.25">
      <c r="A452">
        <v>477</v>
      </c>
      <c r="B452" t="s">
        <v>1609</v>
      </c>
      <c r="C452" t="s">
        <v>1028</v>
      </c>
      <c r="D452" t="s">
        <v>30</v>
      </c>
      <c r="E452">
        <v>14</v>
      </c>
    </row>
    <row r="453" spans="1:5" x14ac:dyDescent="0.25">
      <c r="A453">
        <v>479</v>
      </c>
      <c r="B453" t="s">
        <v>1608</v>
      </c>
      <c r="C453" t="s">
        <v>1036</v>
      </c>
      <c r="D453" t="s">
        <v>67</v>
      </c>
      <c r="E453">
        <v>7</v>
      </c>
    </row>
    <row r="454" spans="1:5" x14ac:dyDescent="0.25">
      <c r="A454">
        <v>480</v>
      </c>
      <c r="B454" t="s">
        <v>447</v>
      </c>
      <c r="C454" t="s">
        <v>1055</v>
      </c>
      <c r="D454" t="s">
        <v>30</v>
      </c>
      <c r="E454">
        <v>14</v>
      </c>
    </row>
    <row r="455" spans="1:5" x14ac:dyDescent="0.25">
      <c r="A455">
        <v>482</v>
      </c>
      <c r="B455" t="s">
        <v>421</v>
      </c>
      <c r="C455" t="s">
        <v>1133</v>
      </c>
      <c r="D455" t="s">
        <v>30</v>
      </c>
      <c r="E455">
        <v>14</v>
      </c>
    </row>
    <row r="456" spans="1:5" x14ac:dyDescent="0.25">
      <c r="A456">
        <v>483</v>
      </c>
      <c r="B456" t="s">
        <v>1607</v>
      </c>
      <c r="C456" t="s">
        <v>1138</v>
      </c>
      <c r="D456" t="s">
        <v>28</v>
      </c>
      <c r="E456">
        <v>13</v>
      </c>
    </row>
    <row r="457" spans="1:5" x14ac:dyDescent="0.25">
      <c r="A457">
        <v>484</v>
      </c>
      <c r="B457" t="s">
        <v>457</v>
      </c>
      <c r="C457" t="s">
        <v>1065</v>
      </c>
      <c r="D457" t="s">
        <v>78</v>
      </c>
      <c r="E457">
        <v>10</v>
      </c>
    </row>
    <row r="458" spans="1:5" x14ac:dyDescent="0.25">
      <c r="A458">
        <v>485</v>
      </c>
      <c r="B458" t="s">
        <v>1606</v>
      </c>
      <c r="C458" t="s">
        <v>1066</v>
      </c>
      <c r="D458" t="s">
        <v>67</v>
      </c>
      <c r="E458">
        <v>7</v>
      </c>
    </row>
    <row r="459" spans="1:5" x14ac:dyDescent="0.25">
      <c r="A459">
        <v>486</v>
      </c>
      <c r="B459" t="s">
        <v>1096</v>
      </c>
      <c r="C459" t="s">
        <v>1169</v>
      </c>
      <c r="D459" t="s">
        <v>75</v>
      </c>
      <c r="E459">
        <v>6</v>
      </c>
    </row>
    <row r="460" spans="1:5" x14ac:dyDescent="0.25">
      <c r="A460">
        <v>487</v>
      </c>
      <c r="B460" t="s">
        <v>370</v>
      </c>
      <c r="C460" t="s">
        <v>1161</v>
      </c>
      <c r="D460" t="s">
        <v>73</v>
      </c>
      <c r="E460">
        <v>6</v>
      </c>
    </row>
    <row r="461" spans="1:5" x14ac:dyDescent="0.25">
      <c r="A461">
        <v>489</v>
      </c>
      <c r="B461" t="s">
        <v>371</v>
      </c>
      <c r="C461" t="s">
        <v>1171</v>
      </c>
      <c r="D461" t="s">
        <v>32</v>
      </c>
      <c r="E461">
        <v>11</v>
      </c>
    </row>
    <row r="462" spans="1:5" x14ac:dyDescent="0.25">
      <c r="A462">
        <v>490</v>
      </c>
      <c r="B462" t="s">
        <v>1091</v>
      </c>
      <c r="C462" t="s">
        <v>1170</v>
      </c>
      <c r="D462" t="s">
        <v>28</v>
      </c>
      <c r="E462">
        <v>13</v>
      </c>
    </row>
    <row r="463" spans="1:5" x14ac:dyDescent="0.25">
      <c r="A463">
        <v>491</v>
      </c>
      <c r="B463" t="s">
        <v>1605</v>
      </c>
      <c r="C463" t="s">
        <v>1183</v>
      </c>
      <c r="D463" t="s">
        <v>71</v>
      </c>
      <c r="E463">
        <v>9</v>
      </c>
    </row>
    <row r="464" spans="1:5" x14ac:dyDescent="0.25">
      <c r="A464">
        <v>493</v>
      </c>
      <c r="B464" t="s">
        <v>1604</v>
      </c>
      <c r="C464" t="s">
        <v>1139</v>
      </c>
      <c r="D464" t="s">
        <v>89</v>
      </c>
      <c r="E464">
        <v>6</v>
      </c>
    </row>
    <row r="465" spans="1:5" x14ac:dyDescent="0.25">
      <c r="A465">
        <v>494</v>
      </c>
      <c r="B465" t="s">
        <v>1085</v>
      </c>
      <c r="C465" t="s">
        <v>1141</v>
      </c>
      <c r="D465" t="s">
        <v>21</v>
      </c>
      <c r="E465">
        <v>14</v>
      </c>
    </row>
    <row r="466" spans="1:5" x14ac:dyDescent="0.25">
      <c r="A466">
        <v>495</v>
      </c>
      <c r="B466" t="s">
        <v>1226</v>
      </c>
      <c r="C466" t="s">
        <v>1146</v>
      </c>
      <c r="D466" t="s">
        <v>63</v>
      </c>
      <c r="E466">
        <v>9</v>
      </c>
    </row>
    <row r="467" spans="1:5" x14ac:dyDescent="0.25">
      <c r="A467">
        <v>496</v>
      </c>
      <c r="B467" t="s">
        <v>923</v>
      </c>
      <c r="C467" t="s">
        <v>1195</v>
      </c>
      <c r="D467" t="s">
        <v>71</v>
      </c>
      <c r="E467">
        <v>9</v>
      </c>
    </row>
    <row r="468" spans="1:5" x14ac:dyDescent="0.25">
      <c r="A468">
        <v>497</v>
      </c>
      <c r="B468" t="s">
        <v>920</v>
      </c>
      <c r="C468" t="s">
        <v>1165</v>
      </c>
      <c r="D468" t="s">
        <v>30</v>
      </c>
      <c r="E468">
        <v>14</v>
      </c>
    </row>
    <row r="469" spans="1:5" x14ac:dyDescent="0.25">
      <c r="A469">
        <v>498</v>
      </c>
      <c r="B469" t="e">
        <v>#N/A</v>
      </c>
      <c r="C469" t="s">
        <v>1148</v>
      </c>
      <c r="D469" t="e">
        <v>#N/A</v>
      </c>
      <c r="E469" t="e">
        <v>#N/A</v>
      </c>
    </row>
    <row r="470" spans="1:5" x14ac:dyDescent="0.25">
      <c r="A470">
        <v>499</v>
      </c>
      <c r="B470" t="s">
        <v>1473</v>
      </c>
      <c r="C470" t="s">
        <v>1166</v>
      </c>
      <c r="D470" t="s">
        <v>47</v>
      </c>
      <c r="E470">
        <v>8</v>
      </c>
    </row>
    <row r="471" spans="1:5" x14ac:dyDescent="0.25">
      <c r="A471">
        <v>500</v>
      </c>
      <c r="B471" t="s">
        <v>431</v>
      </c>
      <c r="C471" t="s">
        <v>1151</v>
      </c>
      <c r="D471" t="s">
        <v>75</v>
      </c>
      <c r="E471">
        <v>6</v>
      </c>
    </row>
    <row r="472" spans="1:5" x14ac:dyDescent="0.25">
      <c r="A472">
        <v>501</v>
      </c>
      <c r="B472" t="s">
        <v>1603</v>
      </c>
      <c r="C472" t="s">
        <v>1168</v>
      </c>
      <c r="D472" t="s">
        <v>75</v>
      </c>
      <c r="E472">
        <v>6</v>
      </c>
    </row>
    <row r="473" spans="1:5" x14ac:dyDescent="0.25">
      <c r="A473">
        <v>503</v>
      </c>
      <c r="B473" t="e">
        <v>#N/A</v>
      </c>
      <c r="C473" t="s">
        <v>1154</v>
      </c>
      <c r="D473" t="e">
        <v>#N/A</v>
      </c>
      <c r="E473" t="e">
        <v>#N/A</v>
      </c>
    </row>
    <row r="474" spans="1:5" x14ac:dyDescent="0.25">
      <c r="A474">
        <v>504</v>
      </c>
      <c r="B474" t="s">
        <v>498</v>
      </c>
      <c r="C474" t="s">
        <v>1179</v>
      </c>
      <c r="D474" t="s">
        <v>45</v>
      </c>
      <c r="E474">
        <v>10</v>
      </c>
    </row>
    <row r="475" spans="1:5" x14ac:dyDescent="0.25">
      <c r="A475">
        <v>505</v>
      </c>
      <c r="B475" t="s">
        <v>409</v>
      </c>
      <c r="C475" t="s">
        <v>1155</v>
      </c>
      <c r="D475" t="s">
        <v>45</v>
      </c>
      <c r="E475">
        <v>10</v>
      </c>
    </row>
    <row r="476" spans="1:5" x14ac:dyDescent="0.25">
      <c r="A476">
        <v>506</v>
      </c>
      <c r="B476" t="s">
        <v>1602</v>
      </c>
      <c r="C476" t="s">
        <v>1157</v>
      </c>
      <c r="D476" t="s">
        <v>49</v>
      </c>
      <c r="E476">
        <v>11</v>
      </c>
    </row>
    <row r="477" spans="1:5" x14ac:dyDescent="0.25">
      <c r="A477">
        <v>507</v>
      </c>
      <c r="B477" t="s">
        <v>1601</v>
      </c>
      <c r="C477" t="s">
        <v>1600</v>
      </c>
      <c r="D477" t="s">
        <v>30</v>
      </c>
      <c r="E477">
        <v>14</v>
      </c>
    </row>
    <row r="478" spans="1:5" x14ac:dyDescent="0.25">
      <c r="A478">
        <v>508</v>
      </c>
      <c r="B478" t="s">
        <v>1599</v>
      </c>
      <c r="C478" t="s">
        <v>1180</v>
      </c>
      <c r="D478" t="s">
        <v>41</v>
      </c>
      <c r="E478">
        <v>8</v>
      </c>
    </row>
    <row r="479" spans="1:5" x14ac:dyDescent="0.25">
      <c r="A479">
        <v>509</v>
      </c>
      <c r="B479" t="s">
        <v>192</v>
      </c>
      <c r="C479" t="s">
        <v>1162</v>
      </c>
      <c r="D479" t="s">
        <v>53</v>
      </c>
      <c r="E479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2FF81-7D16-43C2-ACCE-767137C28481}">
  <dimension ref="B1:F17"/>
  <sheetViews>
    <sheetView workbookViewId="0">
      <selection activeCell="F17" sqref="B1:F17"/>
    </sheetView>
  </sheetViews>
  <sheetFormatPr defaultRowHeight="15" x14ac:dyDescent="0.25"/>
  <sheetData>
    <row r="1" spans="2:6" x14ac:dyDescent="0.25">
      <c r="B1" t="s">
        <v>8</v>
      </c>
      <c r="C1" t="s">
        <v>1598</v>
      </c>
      <c r="D1" t="s">
        <v>220</v>
      </c>
      <c r="E1" t="s">
        <v>99</v>
      </c>
      <c r="F1" t="s">
        <v>19</v>
      </c>
    </row>
    <row r="2" spans="2:6" x14ac:dyDescent="0.25">
      <c r="B2">
        <v>1</v>
      </c>
      <c r="C2">
        <v>0</v>
      </c>
      <c r="D2">
        <v>6</v>
      </c>
      <c r="E2">
        <v>6</v>
      </c>
      <c r="F2">
        <v>0</v>
      </c>
    </row>
    <row r="3" spans="2:6" x14ac:dyDescent="0.25">
      <c r="B3">
        <v>2</v>
      </c>
      <c r="C3">
        <v>0</v>
      </c>
      <c r="D3">
        <v>13</v>
      </c>
      <c r="E3">
        <v>10</v>
      </c>
      <c r="F3">
        <v>1</v>
      </c>
    </row>
    <row r="4" spans="2:6" x14ac:dyDescent="0.25">
      <c r="B4">
        <v>3</v>
      </c>
      <c r="C4">
        <v>1</v>
      </c>
      <c r="D4">
        <v>16</v>
      </c>
      <c r="E4">
        <v>17</v>
      </c>
      <c r="F4">
        <v>2</v>
      </c>
    </row>
    <row r="5" spans="2:6" x14ac:dyDescent="0.25">
      <c r="B5">
        <v>4</v>
      </c>
      <c r="C5">
        <v>2</v>
      </c>
      <c r="D5">
        <v>18</v>
      </c>
      <c r="E5">
        <v>25</v>
      </c>
      <c r="F5">
        <v>3</v>
      </c>
    </row>
    <row r="6" spans="2:6" x14ac:dyDescent="0.25">
      <c r="B6">
        <v>5</v>
      </c>
      <c r="C6">
        <v>5</v>
      </c>
      <c r="D6">
        <v>23</v>
      </c>
      <c r="E6">
        <v>29</v>
      </c>
      <c r="F6">
        <v>3</v>
      </c>
    </row>
    <row r="7" spans="2:6" x14ac:dyDescent="0.25">
      <c r="B7">
        <v>6</v>
      </c>
      <c r="C7">
        <v>8</v>
      </c>
      <c r="D7">
        <v>26</v>
      </c>
      <c r="E7">
        <v>33</v>
      </c>
      <c r="F7">
        <v>5</v>
      </c>
    </row>
    <row r="8" spans="2:6" x14ac:dyDescent="0.25">
      <c r="B8">
        <v>7</v>
      </c>
      <c r="C8">
        <v>10</v>
      </c>
      <c r="D8">
        <v>38</v>
      </c>
      <c r="E8">
        <v>30</v>
      </c>
      <c r="F8">
        <v>6</v>
      </c>
    </row>
    <row r="9" spans="2:6" x14ac:dyDescent="0.25">
      <c r="B9">
        <v>8</v>
      </c>
      <c r="C9">
        <v>13</v>
      </c>
      <c r="D9">
        <v>32</v>
      </c>
      <c r="E9">
        <v>43</v>
      </c>
      <c r="F9">
        <v>8</v>
      </c>
    </row>
    <row r="10" spans="2:6" x14ac:dyDescent="0.25">
      <c r="B10">
        <v>9</v>
      </c>
      <c r="C10">
        <v>16</v>
      </c>
      <c r="D10">
        <v>34</v>
      </c>
      <c r="E10">
        <v>47</v>
      </c>
      <c r="F10">
        <v>11</v>
      </c>
    </row>
    <row r="11" spans="2:6" x14ac:dyDescent="0.25">
      <c r="B11">
        <v>10</v>
      </c>
      <c r="C11">
        <v>19</v>
      </c>
      <c r="D11">
        <v>40</v>
      </c>
      <c r="E11">
        <v>49</v>
      </c>
      <c r="F11">
        <v>12</v>
      </c>
    </row>
    <row r="12" spans="2:6" x14ac:dyDescent="0.25">
      <c r="B12">
        <v>11</v>
      </c>
      <c r="C12">
        <v>22</v>
      </c>
      <c r="D12">
        <v>41</v>
      </c>
      <c r="E12">
        <v>53</v>
      </c>
      <c r="F12">
        <v>16</v>
      </c>
    </row>
    <row r="13" spans="2:6" x14ac:dyDescent="0.25">
      <c r="B13">
        <v>12</v>
      </c>
      <c r="C13">
        <v>23</v>
      </c>
      <c r="D13">
        <v>48</v>
      </c>
      <c r="E13">
        <v>58</v>
      </c>
      <c r="F13">
        <v>19</v>
      </c>
    </row>
    <row r="14" spans="2:6" x14ac:dyDescent="0.25">
      <c r="B14">
        <v>13</v>
      </c>
      <c r="C14">
        <v>24</v>
      </c>
      <c r="D14">
        <v>51</v>
      </c>
      <c r="E14">
        <v>61</v>
      </c>
      <c r="F14">
        <v>24</v>
      </c>
    </row>
    <row r="15" spans="2:6" x14ac:dyDescent="0.25">
      <c r="B15">
        <v>14</v>
      </c>
      <c r="C15">
        <v>27</v>
      </c>
      <c r="D15">
        <v>55</v>
      </c>
      <c r="E15">
        <v>63</v>
      </c>
      <c r="F15">
        <v>27</v>
      </c>
    </row>
    <row r="16" spans="2:6" x14ac:dyDescent="0.25">
      <c r="B16">
        <v>15</v>
      </c>
      <c r="C16">
        <v>29</v>
      </c>
      <c r="D16">
        <v>57</v>
      </c>
      <c r="E16">
        <v>70</v>
      </c>
      <c r="F16">
        <v>28</v>
      </c>
    </row>
    <row r="17" spans="2:6" x14ac:dyDescent="0.25">
      <c r="B17">
        <v>16</v>
      </c>
      <c r="C17">
        <v>29</v>
      </c>
      <c r="D17">
        <v>60</v>
      </c>
      <c r="E17">
        <v>78</v>
      </c>
      <c r="F17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85BB9-6F5A-443B-B5B6-A3B849614D1A}">
  <dimension ref="A1:AN1212"/>
  <sheetViews>
    <sheetView workbookViewId="0">
      <selection activeCell="D4" sqref="D4"/>
    </sheetView>
  </sheetViews>
  <sheetFormatPr defaultRowHeight="15" x14ac:dyDescent="0.25"/>
  <sheetData>
    <row r="1" spans="1:40" x14ac:dyDescent="0.25">
      <c r="A1" t="s">
        <v>0</v>
      </c>
      <c r="B1" t="s">
        <v>1</v>
      </c>
      <c r="C1" t="s">
        <v>1283</v>
      </c>
      <c r="D1" t="s">
        <v>2</v>
      </c>
      <c r="E1" t="s">
        <v>3</v>
      </c>
      <c r="F1" t="s">
        <v>4</v>
      </c>
      <c r="G1" t="s">
        <v>931</v>
      </c>
      <c r="H1" t="s">
        <v>5</v>
      </c>
      <c r="I1">
        <v>1</v>
      </c>
      <c r="J1">
        <v>2</v>
      </c>
      <c r="K1">
        <v>3</v>
      </c>
      <c r="L1">
        <v>4</v>
      </c>
      <c r="M1">
        <v>5</v>
      </c>
      <c r="N1">
        <v>6</v>
      </c>
      <c r="O1">
        <v>7</v>
      </c>
      <c r="P1">
        <v>8</v>
      </c>
      <c r="Q1">
        <v>9</v>
      </c>
      <c r="R1">
        <v>10</v>
      </c>
      <c r="S1">
        <v>11</v>
      </c>
      <c r="T1">
        <v>12</v>
      </c>
      <c r="U1">
        <v>13</v>
      </c>
      <c r="V1">
        <v>14</v>
      </c>
      <c r="W1">
        <v>15</v>
      </c>
      <c r="X1">
        <v>16</v>
      </c>
      <c r="Y1">
        <v>17</v>
      </c>
      <c r="Z1">
        <v>18</v>
      </c>
      <c r="AA1" t="s">
        <v>6</v>
      </c>
      <c r="AB1" t="s">
        <v>1575</v>
      </c>
      <c r="AC1" t="s">
        <v>7</v>
      </c>
      <c r="AD1" t="s">
        <v>8</v>
      </c>
      <c r="AE1" t="s">
        <v>9</v>
      </c>
      <c r="AF1" t="s">
        <v>10</v>
      </c>
      <c r="AG1" t="s">
        <v>11</v>
      </c>
      <c r="AH1" t="s">
        <v>12</v>
      </c>
      <c r="AI1" t="s">
        <v>13</v>
      </c>
      <c r="AJ1" t="s">
        <v>14</v>
      </c>
      <c r="AK1" t="s">
        <v>15</v>
      </c>
      <c r="AL1" t="s">
        <v>16</v>
      </c>
      <c r="AM1" t="s">
        <v>17</v>
      </c>
      <c r="AN1" t="s">
        <v>18</v>
      </c>
    </row>
    <row r="2" spans="1:40" x14ac:dyDescent="0.25">
      <c r="A2">
        <v>2025</v>
      </c>
      <c r="B2" t="s">
        <v>19</v>
      </c>
      <c r="C2" t="str">
        <f>IF(COUNTIF('Rookies 22-25'!$B$198:$B$349,E2)&gt;0,"(R)","No")</f>
        <v>No</v>
      </c>
      <c r="D2">
        <v>1</v>
      </c>
      <c r="E2" t="s">
        <v>20</v>
      </c>
      <c r="F2" t="s">
        <v>21</v>
      </c>
      <c r="G2">
        <f>VLOOKUP(E2,'25 Draft ADP'!$B$3:$D$505,3,FALSE)</f>
        <v>25</v>
      </c>
      <c r="H2">
        <v>17</v>
      </c>
      <c r="I2">
        <v>12.1</v>
      </c>
      <c r="J2">
        <v>13.8</v>
      </c>
      <c r="K2">
        <v>15.3</v>
      </c>
      <c r="L2">
        <v>12.2</v>
      </c>
      <c r="M2">
        <v>9.1</v>
      </c>
      <c r="N2">
        <v>21.2</v>
      </c>
      <c r="O2">
        <v>29.4</v>
      </c>
      <c r="P2" t="s">
        <v>22</v>
      </c>
      <c r="Q2">
        <v>16.5</v>
      </c>
      <c r="R2">
        <v>27.7</v>
      </c>
      <c r="S2">
        <v>27.5</v>
      </c>
      <c r="T2">
        <v>16.899999999999999</v>
      </c>
      <c r="U2">
        <v>22.2</v>
      </c>
      <c r="V2">
        <v>10.8</v>
      </c>
      <c r="W2">
        <v>37.4</v>
      </c>
      <c r="X2">
        <v>6.7</v>
      </c>
      <c r="Y2">
        <v>23.6</v>
      </c>
      <c r="Z2">
        <v>13.5</v>
      </c>
      <c r="AA2">
        <v>18.600000000000001</v>
      </c>
      <c r="AB2">
        <f>AC2-Z2</f>
        <v>302.39999999999998</v>
      </c>
      <c r="AC2">
        <v>315.89999999999998</v>
      </c>
      <c r="AD2">
        <v>3</v>
      </c>
      <c r="AE2">
        <f>COUNTIF(I2:Y2,"&gt;10")</f>
        <v>14</v>
      </c>
      <c r="AF2">
        <v>10</v>
      </c>
      <c r="AG2">
        <v>7</v>
      </c>
      <c r="AH2">
        <v>4</v>
      </c>
      <c r="AI2">
        <v>1</v>
      </c>
      <c r="AJ2">
        <v>0.88235294117647056</v>
      </c>
      <c r="AK2">
        <v>0.58823529411764708</v>
      </c>
      <c r="AL2">
        <v>0.41176470588235292</v>
      </c>
      <c r="AM2">
        <v>0.23529411764705882</v>
      </c>
      <c r="AN2">
        <v>5.8823529411764705E-2</v>
      </c>
    </row>
    <row r="3" spans="1:40" x14ac:dyDescent="0.25">
      <c r="A3">
        <v>2025</v>
      </c>
      <c r="B3" t="s">
        <v>19</v>
      </c>
      <c r="C3" t="str">
        <f>IF(COUNTIF('Rookies 22-25'!$B$198:$B$349,E3)&gt;0,"(R)","No")</f>
        <v>No</v>
      </c>
      <c r="D3">
        <v>2</v>
      </c>
      <c r="E3" t="s">
        <v>23</v>
      </c>
      <c r="F3" t="s">
        <v>24</v>
      </c>
      <c r="G3">
        <f>VLOOKUP(E3,'25 Draft ADP'!$B$3:$D$505,3,FALSE)</f>
        <v>139</v>
      </c>
      <c r="H3">
        <v>17</v>
      </c>
      <c r="I3">
        <v>12.9</v>
      </c>
      <c r="J3">
        <v>7.7</v>
      </c>
      <c r="K3">
        <v>7.9</v>
      </c>
      <c r="L3">
        <v>18</v>
      </c>
      <c r="M3" t="s">
        <v>22</v>
      </c>
      <c r="N3">
        <v>4.8</v>
      </c>
      <c r="O3">
        <v>13.2</v>
      </c>
      <c r="P3">
        <v>14.9</v>
      </c>
      <c r="Q3">
        <v>7.8</v>
      </c>
      <c r="R3">
        <v>5.8</v>
      </c>
      <c r="S3">
        <v>3.4</v>
      </c>
      <c r="T3">
        <v>4.5</v>
      </c>
      <c r="U3">
        <v>15.2</v>
      </c>
      <c r="V3">
        <v>15</v>
      </c>
      <c r="W3">
        <v>45.6</v>
      </c>
      <c r="X3">
        <v>18.7</v>
      </c>
      <c r="Y3">
        <v>3.6</v>
      </c>
      <c r="Z3">
        <v>11.8</v>
      </c>
      <c r="AA3">
        <v>12.4</v>
      </c>
      <c r="AB3">
        <f t="shared" ref="AB3:AB66" si="0">AC3-Z3</f>
        <v>199</v>
      </c>
      <c r="AC3">
        <v>210.8</v>
      </c>
      <c r="AD3">
        <v>11</v>
      </c>
      <c r="AE3">
        <f t="shared" ref="AE3:AE66" si="1">COUNTIF(I3:Y3,"&gt;10")</f>
        <v>8</v>
      </c>
      <c r="AF3">
        <v>4</v>
      </c>
      <c r="AG3">
        <v>1</v>
      </c>
      <c r="AH3">
        <v>1</v>
      </c>
      <c r="AI3">
        <v>1</v>
      </c>
      <c r="AJ3">
        <v>0.52941176470588236</v>
      </c>
      <c r="AK3">
        <v>0.23529411764705882</v>
      </c>
      <c r="AL3">
        <v>5.8823529411764705E-2</v>
      </c>
      <c r="AM3">
        <v>5.8823529411764705E-2</v>
      </c>
      <c r="AN3">
        <v>5.8823529411764705E-2</v>
      </c>
    </row>
    <row r="4" spans="1:40" x14ac:dyDescent="0.25">
      <c r="A4">
        <v>2025</v>
      </c>
      <c r="B4" t="s">
        <v>19</v>
      </c>
      <c r="C4" t="str">
        <f>IF(COUNTIF('Rookies 22-25'!$B$198:$B$349,E4)&gt;0,"(R)","No")</f>
        <v>No</v>
      </c>
      <c r="D4">
        <v>3</v>
      </c>
      <c r="E4" t="s">
        <v>25</v>
      </c>
      <c r="F4" t="s">
        <v>26</v>
      </c>
      <c r="G4">
        <f>VLOOKUP(E4,'25 Draft ADP'!$B$3:$D$505,3,FALSE)</f>
        <v>77</v>
      </c>
      <c r="H4">
        <v>17</v>
      </c>
      <c r="I4">
        <v>12.7</v>
      </c>
      <c r="J4">
        <v>10.1</v>
      </c>
      <c r="K4">
        <v>6.6</v>
      </c>
      <c r="L4">
        <v>9.8000000000000007</v>
      </c>
      <c r="M4">
        <v>19.100000000000001</v>
      </c>
      <c r="N4">
        <v>13.8</v>
      </c>
      <c r="O4">
        <v>8.4</v>
      </c>
      <c r="P4">
        <v>21.9</v>
      </c>
      <c r="Q4">
        <v>12.6</v>
      </c>
      <c r="R4" t="s">
        <v>22</v>
      </c>
      <c r="S4">
        <v>24.1</v>
      </c>
      <c r="T4">
        <v>8.4</v>
      </c>
      <c r="U4">
        <v>15.5</v>
      </c>
      <c r="V4">
        <v>1.8</v>
      </c>
      <c r="W4">
        <v>14</v>
      </c>
      <c r="X4">
        <v>1.6</v>
      </c>
      <c r="Y4">
        <v>8.6</v>
      </c>
      <c r="Z4">
        <v>4.2</v>
      </c>
      <c r="AA4">
        <v>11.4</v>
      </c>
      <c r="AB4">
        <f t="shared" si="0"/>
        <v>189</v>
      </c>
      <c r="AC4">
        <v>193.2</v>
      </c>
      <c r="AD4">
        <v>7</v>
      </c>
      <c r="AE4">
        <f t="shared" si="1"/>
        <v>9</v>
      </c>
      <c r="AF4">
        <v>4</v>
      </c>
      <c r="AG4">
        <v>2</v>
      </c>
      <c r="AH4">
        <v>0</v>
      </c>
      <c r="AI4">
        <v>0</v>
      </c>
      <c r="AJ4">
        <v>0.52941176470588236</v>
      </c>
      <c r="AK4">
        <v>0.23529411764705882</v>
      </c>
      <c r="AL4">
        <v>0.11764705882352941</v>
      </c>
      <c r="AM4">
        <v>0</v>
      </c>
      <c r="AN4">
        <v>0</v>
      </c>
    </row>
    <row r="5" spans="1:40" x14ac:dyDescent="0.25">
      <c r="A5">
        <v>2025</v>
      </c>
      <c r="B5" t="s">
        <v>19</v>
      </c>
      <c r="C5" t="str">
        <f>IF(COUNTIF('Rookies 22-25'!$B$198:$B$349,E5)&gt;0,"(R)","No")</f>
        <v>(R)</v>
      </c>
      <c r="D5">
        <v>4</v>
      </c>
      <c r="E5" t="s">
        <v>27</v>
      </c>
      <c r="F5" t="s">
        <v>28</v>
      </c>
      <c r="G5">
        <f>VLOOKUP(E5,'25 Draft ADP'!$B$3:$D$505,3,FALSE)</f>
        <v>87</v>
      </c>
      <c r="H5">
        <v>17</v>
      </c>
      <c r="I5">
        <v>14.9</v>
      </c>
      <c r="J5">
        <v>11.9</v>
      </c>
      <c r="K5">
        <v>6.8</v>
      </c>
      <c r="L5">
        <v>18.3</v>
      </c>
      <c r="M5">
        <v>14.4</v>
      </c>
      <c r="N5">
        <v>18.3</v>
      </c>
      <c r="O5">
        <v>16.899999999999999</v>
      </c>
      <c r="P5">
        <v>9.3000000000000007</v>
      </c>
      <c r="Q5">
        <v>7.6</v>
      </c>
      <c r="R5">
        <v>17.899999999999999</v>
      </c>
      <c r="S5" t="s">
        <v>22</v>
      </c>
      <c r="T5">
        <v>9.5</v>
      </c>
      <c r="U5">
        <v>11.2</v>
      </c>
      <c r="V5">
        <v>3.7</v>
      </c>
      <c r="W5">
        <v>4.9000000000000004</v>
      </c>
      <c r="X5">
        <v>6</v>
      </c>
      <c r="Y5">
        <v>9.3000000000000007</v>
      </c>
      <c r="Z5">
        <v>7.6</v>
      </c>
      <c r="AA5">
        <v>11.1</v>
      </c>
      <c r="AB5">
        <f t="shared" si="0"/>
        <v>180.9</v>
      </c>
      <c r="AC5">
        <v>188.5</v>
      </c>
      <c r="AD5">
        <v>7</v>
      </c>
      <c r="AE5">
        <f t="shared" si="1"/>
        <v>8</v>
      </c>
      <c r="AF5">
        <v>4</v>
      </c>
      <c r="AG5">
        <v>0</v>
      </c>
      <c r="AH5">
        <v>0</v>
      </c>
      <c r="AI5">
        <v>0</v>
      </c>
      <c r="AJ5">
        <v>0.47058823529411764</v>
      </c>
      <c r="AK5">
        <v>0.23529411764705882</v>
      </c>
      <c r="AL5">
        <v>0</v>
      </c>
      <c r="AM5">
        <v>0</v>
      </c>
      <c r="AN5">
        <v>0</v>
      </c>
    </row>
    <row r="6" spans="1:40" x14ac:dyDescent="0.25">
      <c r="A6">
        <v>2025</v>
      </c>
      <c r="B6" t="s">
        <v>19</v>
      </c>
      <c r="C6" t="str">
        <f>IF(COUNTIF('Rookies 22-25'!$B$198:$B$349,E6)&gt;0,"(R)","No")</f>
        <v>No</v>
      </c>
      <c r="D6">
        <v>5</v>
      </c>
      <c r="E6" t="s">
        <v>29</v>
      </c>
      <c r="F6" t="s">
        <v>30</v>
      </c>
      <c r="G6">
        <f>VLOOKUP(E6,'25 Draft ADP'!$B$3:$D$505,3,FALSE)</f>
        <v>131</v>
      </c>
      <c r="H6">
        <v>17</v>
      </c>
      <c r="I6">
        <v>7.3</v>
      </c>
      <c r="J6">
        <v>16.8</v>
      </c>
      <c r="K6">
        <v>21.2</v>
      </c>
      <c r="L6">
        <v>17</v>
      </c>
      <c r="M6">
        <v>23.9</v>
      </c>
      <c r="N6">
        <v>12.3</v>
      </c>
      <c r="O6">
        <v>21.9</v>
      </c>
      <c r="P6">
        <v>0</v>
      </c>
      <c r="Q6">
        <v>8</v>
      </c>
      <c r="R6" t="s">
        <v>22</v>
      </c>
      <c r="S6">
        <v>11.6</v>
      </c>
      <c r="T6">
        <v>11.1</v>
      </c>
      <c r="U6">
        <v>8.6</v>
      </c>
      <c r="V6">
        <v>10.8</v>
      </c>
      <c r="W6">
        <v>3.6</v>
      </c>
      <c r="X6">
        <v>4.9000000000000004</v>
      </c>
      <c r="Y6">
        <v>7.6</v>
      </c>
      <c r="Z6">
        <v>1.5</v>
      </c>
      <c r="AA6">
        <v>11.1</v>
      </c>
      <c r="AB6">
        <f t="shared" si="0"/>
        <v>186.6</v>
      </c>
      <c r="AC6">
        <v>188.1</v>
      </c>
      <c r="AD6">
        <v>12</v>
      </c>
      <c r="AE6">
        <f t="shared" si="1"/>
        <v>9</v>
      </c>
      <c r="AF6">
        <v>5</v>
      </c>
      <c r="AG6">
        <v>3</v>
      </c>
      <c r="AH6">
        <v>0</v>
      </c>
      <c r="AI6">
        <v>0</v>
      </c>
      <c r="AJ6">
        <v>0.52941176470588236</v>
      </c>
      <c r="AK6">
        <v>0.29411764705882354</v>
      </c>
      <c r="AL6">
        <v>0.17647058823529413</v>
      </c>
      <c r="AM6">
        <v>0</v>
      </c>
      <c r="AN6">
        <v>0</v>
      </c>
    </row>
    <row r="7" spans="1:40" x14ac:dyDescent="0.25">
      <c r="A7">
        <v>2025</v>
      </c>
      <c r="B7" t="s">
        <v>19</v>
      </c>
      <c r="C7" t="str">
        <f>IF(COUNTIF('Rookies 22-25'!$B$198:$B$349,E7)&gt;0,"(R)","No")</f>
        <v>(R)</v>
      </c>
      <c r="D7">
        <v>6</v>
      </c>
      <c r="E7" t="s">
        <v>31</v>
      </c>
      <c r="F7" t="s">
        <v>32</v>
      </c>
      <c r="G7">
        <f>VLOOKUP(E7,'25 Draft ADP'!$B$3:$D$505,3,FALSE)</f>
        <v>207</v>
      </c>
      <c r="H7">
        <v>16</v>
      </c>
      <c r="I7">
        <v>13.6</v>
      </c>
      <c r="J7">
        <v>9.8000000000000007</v>
      </c>
      <c r="K7">
        <v>5.5</v>
      </c>
      <c r="L7">
        <v>4.5</v>
      </c>
      <c r="M7">
        <v>11.3</v>
      </c>
      <c r="N7">
        <v>15.1</v>
      </c>
      <c r="O7">
        <v>7.6</v>
      </c>
      <c r="P7">
        <v>18.399999999999999</v>
      </c>
      <c r="Q7" t="s">
        <v>22</v>
      </c>
      <c r="R7">
        <v>8.4</v>
      </c>
      <c r="S7">
        <v>4.5999999999999996</v>
      </c>
      <c r="T7">
        <v>8.4</v>
      </c>
      <c r="U7">
        <v>11.3</v>
      </c>
      <c r="V7">
        <v>25.4</v>
      </c>
      <c r="W7">
        <v>12</v>
      </c>
      <c r="X7">
        <v>19.5</v>
      </c>
      <c r="Y7">
        <v>11</v>
      </c>
      <c r="Z7">
        <v>0</v>
      </c>
      <c r="AA7">
        <v>11.7</v>
      </c>
      <c r="AB7">
        <f t="shared" si="0"/>
        <v>186.4</v>
      </c>
      <c r="AC7">
        <v>186.4</v>
      </c>
      <c r="AD7">
        <v>18</v>
      </c>
      <c r="AE7">
        <f t="shared" si="1"/>
        <v>9</v>
      </c>
      <c r="AF7">
        <v>4</v>
      </c>
      <c r="AG7">
        <v>1</v>
      </c>
      <c r="AH7">
        <v>1</v>
      </c>
      <c r="AI7">
        <v>0</v>
      </c>
      <c r="AJ7">
        <v>0.52941176470588236</v>
      </c>
      <c r="AK7">
        <v>0.25</v>
      </c>
      <c r="AL7">
        <v>6.25E-2</v>
      </c>
      <c r="AM7">
        <v>6.25E-2</v>
      </c>
      <c r="AN7">
        <v>0</v>
      </c>
    </row>
    <row r="8" spans="1:40" x14ac:dyDescent="0.25">
      <c r="A8">
        <v>2025</v>
      </c>
      <c r="B8" t="s">
        <v>19</v>
      </c>
      <c r="C8" t="str">
        <f>IF(COUNTIF('Rookies 22-25'!$B$198:$B$349,E8)&gt;0,"(R)","No")</f>
        <v>No</v>
      </c>
      <c r="D8">
        <v>7</v>
      </c>
      <c r="E8" t="s">
        <v>34</v>
      </c>
      <c r="F8" t="s">
        <v>35</v>
      </c>
      <c r="G8">
        <f>VLOOKUP(E8,'25 Draft ADP'!$B$3:$D$505,3,FALSE)</f>
        <v>142</v>
      </c>
      <c r="H8">
        <v>15</v>
      </c>
      <c r="I8">
        <v>11.4</v>
      </c>
      <c r="J8" t="s">
        <v>33</v>
      </c>
      <c r="K8">
        <v>10.3</v>
      </c>
      <c r="L8">
        <v>19.7</v>
      </c>
      <c r="M8">
        <v>10.9</v>
      </c>
      <c r="N8">
        <v>26</v>
      </c>
      <c r="O8">
        <v>4.8</v>
      </c>
      <c r="P8">
        <v>17.8</v>
      </c>
      <c r="Q8" t="s">
        <v>22</v>
      </c>
      <c r="R8">
        <v>8.3000000000000007</v>
      </c>
      <c r="S8">
        <v>4.4000000000000004</v>
      </c>
      <c r="T8">
        <v>4</v>
      </c>
      <c r="U8">
        <v>4.7</v>
      </c>
      <c r="V8">
        <v>15.8</v>
      </c>
      <c r="W8">
        <v>25</v>
      </c>
      <c r="X8">
        <v>12.2</v>
      </c>
      <c r="Y8">
        <v>9.8000000000000007</v>
      </c>
      <c r="Z8">
        <v>0</v>
      </c>
      <c r="AA8">
        <v>12.3</v>
      </c>
      <c r="AB8">
        <f t="shared" si="0"/>
        <v>185.1</v>
      </c>
      <c r="AC8">
        <v>185.1</v>
      </c>
      <c r="AD8">
        <v>12</v>
      </c>
      <c r="AE8">
        <f t="shared" si="1"/>
        <v>9</v>
      </c>
      <c r="AF8">
        <v>5</v>
      </c>
      <c r="AG8">
        <v>2</v>
      </c>
      <c r="AH8">
        <v>1</v>
      </c>
      <c r="AI8">
        <v>0</v>
      </c>
      <c r="AJ8">
        <v>0.52941176470588236</v>
      </c>
      <c r="AK8">
        <v>0.33333333333333331</v>
      </c>
      <c r="AL8">
        <v>0.13333333333333333</v>
      </c>
      <c r="AM8">
        <v>6.6666666666666666E-2</v>
      </c>
      <c r="AN8">
        <v>0</v>
      </c>
    </row>
    <row r="9" spans="1:40" x14ac:dyDescent="0.25">
      <c r="A9">
        <v>2025</v>
      </c>
      <c r="B9" t="s">
        <v>19</v>
      </c>
      <c r="C9" t="str">
        <f>IF(COUNTIF('Rookies 22-25'!$B$198:$B$349,E9)&gt;0,"(R)","No")</f>
        <v>No</v>
      </c>
      <c r="D9">
        <v>8</v>
      </c>
      <c r="E9" t="s">
        <v>36</v>
      </c>
      <c r="F9" t="s">
        <v>37</v>
      </c>
      <c r="G9">
        <f>VLOOKUP(E9,'25 Draft ADP'!$B$3:$D$505,3,FALSE)</f>
        <v>216</v>
      </c>
      <c r="H9">
        <v>17</v>
      </c>
      <c r="I9">
        <v>15.6</v>
      </c>
      <c r="J9">
        <v>15.9</v>
      </c>
      <c r="K9">
        <v>11.1</v>
      </c>
      <c r="L9">
        <v>5.8</v>
      </c>
      <c r="M9">
        <v>3.7</v>
      </c>
      <c r="N9">
        <v>1.5</v>
      </c>
      <c r="O9">
        <v>12.9</v>
      </c>
      <c r="P9">
        <v>10.3</v>
      </c>
      <c r="Q9">
        <v>12.1</v>
      </c>
      <c r="R9">
        <v>19.2</v>
      </c>
      <c r="S9" t="s">
        <v>22</v>
      </c>
      <c r="T9">
        <v>10.6</v>
      </c>
      <c r="U9">
        <v>8.9</v>
      </c>
      <c r="V9">
        <v>7.8</v>
      </c>
      <c r="W9">
        <v>7</v>
      </c>
      <c r="X9">
        <v>16.899999999999999</v>
      </c>
      <c r="Y9">
        <v>13.5</v>
      </c>
      <c r="Z9">
        <v>7.1</v>
      </c>
      <c r="AA9">
        <v>10.6</v>
      </c>
      <c r="AB9">
        <f t="shared" si="0"/>
        <v>172.8</v>
      </c>
      <c r="AC9">
        <v>179.9</v>
      </c>
      <c r="AD9">
        <v>19</v>
      </c>
      <c r="AE9">
        <f t="shared" si="1"/>
        <v>10</v>
      </c>
      <c r="AF9">
        <v>4</v>
      </c>
      <c r="AG9">
        <v>0</v>
      </c>
      <c r="AH9">
        <v>0</v>
      </c>
      <c r="AI9">
        <v>0</v>
      </c>
      <c r="AJ9">
        <v>0.58823529411764708</v>
      </c>
      <c r="AK9">
        <v>0.23529411764705882</v>
      </c>
      <c r="AL9">
        <v>0</v>
      </c>
      <c r="AM9">
        <v>0</v>
      </c>
      <c r="AN9">
        <v>0</v>
      </c>
    </row>
    <row r="10" spans="1:40" x14ac:dyDescent="0.25">
      <c r="A10">
        <v>2025</v>
      </c>
      <c r="B10" t="s">
        <v>19</v>
      </c>
      <c r="C10" t="str">
        <f>IF(COUNTIF('Rookies 22-25'!$B$198:$B$349,E10)&gt;0,"(R)","No")</f>
        <v>No</v>
      </c>
      <c r="D10">
        <v>9</v>
      </c>
      <c r="E10" t="s">
        <v>38</v>
      </c>
      <c r="F10" t="s">
        <v>39</v>
      </c>
      <c r="G10">
        <f>VLOOKUP(E10,'25 Draft ADP'!$B$3:$D$505,3,FALSE)</f>
        <v>160</v>
      </c>
      <c r="H10">
        <v>17</v>
      </c>
      <c r="I10">
        <v>10.6</v>
      </c>
      <c r="J10">
        <v>1.9</v>
      </c>
      <c r="K10">
        <v>29</v>
      </c>
      <c r="L10">
        <v>11.9</v>
      </c>
      <c r="M10">
        <v>6.6</v>
      </c>
      <c r="N10">
        <v>5.7</v>
      </c>
      <c r="O10">
        <v>7.3</v>
      </c>
      <c r="P10">
        <v>7.7</v>
      </c>
      <c r="Q10">
        <v>9.1</v>
      </c>
      <c r="R10">
        <v>1.9</v>
      </c>
      <c r="S10">
        <v>8.5</v>
      </c>
      <c r="T10">
        <v>24.5</v>
      </c>
      <c r="U10">
        <v>11.3</v>
      </c>
      <c r="V10" t="s">
        <v>22</v>
      </c>
      <c r="W10">
        <v>2.8</v>
      </c>
      <c r="X10">
        <v>15.5</v>
      </c>
      <c r="Y10">
        <v>13.9</v>
      </c>
      <c r="Z10">
        <v>10.6</v>
      </c>
      <c r="AA10">
        <v>10.5</v>
      </c>
      <c r="AB10">
        <f t="shared" si="0"/>
        <v>168.20000000000002</v>
      </c>
      <c r="AC10">
        <v>178.8</v>
      </c>
      <c r="AD10">
        <v>14</v>
      </c>
      <c r="AE10">
        <f t="shared" si="1"/>
        <v>7</v>
      </c>
      <c r="AF10">
        <v>3</v>
      </c>
      <c r="AG10">
        <v>2</v>
      </c>
      <c r="AH10">
        <v>1</v>
      </c>
      <c r="AI10">
        <v>0</v>
      </c>
      <c r="AJ10">
        <v>0.47058823529411764</v>
      </c>
      <c r="AK10">
        <v>0.17647058823529413</v>
      </c>
      <c r="AL10">
        <v>0.11764705882352941</v>
      </c>
      <c r="AM10">
        <v>5.8823529411764705E-2</v>
      </c>
      <c r="AN10">
        <v>0</v>
      </c>
    </row>
    <row r="11" spans="1:40" x14ac:dyDescent="0.25">
      <c r="A11">
        <v>2025</v>
      </c>
      <c r="B11" t="s">
        <v>19</v>
      </c>
      <c r="C11" t="str">
        <f>IF(COUNTIF('Rookies 22-25'!$B$198:$B$349,E11)&gt;0,"(R)","No")</f>
        <v>No</v>
      </c>
      <c r="D11">
        <v>10</v>
      </c>
      <c r="E11" t="s">
        <v>40</v>
      </c>
      <c r="F11" t="s">
        <v>41</v>
      </c>
      <c r="G11">
        <f>VLOOKUP(E11,'25 Draft ADP'!$B$3:$D$505,3,FALSE)</f>
        <v>217</v>
      </c>
      <c r="H11">
        <v>17</v>
      </c>
      <c r="I11">
        <v>5.8</v>
      </c>
      <c r="J11">
        <v>5.9</v>
      </c>
      <c r="K11">
        <v>8.9</v>
      </c>
      <c r="L11">
        <v>8</v>
      </c>
      <c r="M11">
        <v>11</v>
      </c>
      <c r="N11" t="s">
        <v>22</v>
      </c>
      <c r="O11">
        <v>18.8</v>
      </c>
      <c r="P11">
        <v>4.4000000000000004</v>
      </c>
      <c r="Q11">
        <v>13.7</v>
      </c>
      <c r="R11">
        <v>18.3</v>
      </c>
      <c r="S11">
        <v>11.1</v>
      </c>
      <c r="T11">
        <v>1.8</v>
      </c>
      <c r="U11">
        <v>12.5</v>
      </c>
      <c r="V11">
        <v>5.2</v>
      </c>
      <c r="W11">
        <v>21.6</v>
      </c>
      <c r="X11">
        <v>14.5</v>
      </c>
      <c r="Y11">
        <v>4.9000000000000004</v>
      </c>
      <c r="Z11">
        <v>11.3</v>
      </c>
      <c r="AA11">
        <v>10.5</v>
      </c>
      <c r="AB11">
        <f t="shared" si="0"/>
        <v>166.39999999999998</v>
      </c>
      <c r="AC11">
        <v>177.7</v>
      </c>
      <c r="AD11">
        <v>19</v>
      </c>
      <c r="AE11">
        <f t="shared" si="1"/>
        <v>8</v>
      </c>
      <c r="AF11">
        <v>3</v>
      </c>
      <c r="AG11">
        <v>1</v>
      </c>
      <c r="AH11">
        <v>0</v>
      </c>
      <c r="AI11">
        <v>0</v>
      </c>
      <c r="AJ11">
        <v>0.52941176470588236</v>
      </c>
      <c r="AK11">
        <v>0.17647058823529413</v>
      </c>
      <c r="AL11">
        <v>5.8823529411764705E-2</v>
      </c>
      <c r="AM11">
        <v>0</v>
      </c>
      <c r="AN11">
        <v>0</v>
      </c>
    </row>
    <row r="12" spans="1:40" x14ac:dyDescent="0.25">
      <c r="A12">
        <v>2025</v>
      </c>
      <c r="B12" t="s">
        <v>19</v>
      </c>
      <c r="C12" t="str">
        <f>IF(COUNTIF('Rookies 22-25'!$B$198:$B$349,E12)&gt;0,"(R)","No")</f>
        <v>No</v>
      </c>
      <c r="D12">
        <v>11</v>
      </c>
      <c r="E12" t="s">
        <v>42</v>
      </c>
      <c r="F12" t="s">
        <v>43</v>
      </c>
      <c r="G12">
        <f>VLOOKUP(E12,'25 Draft ADP'!$B$3:$D$505,3,FALSE)</f>
        <v>18</v>
      </c>
      <c r="H12">
        <v>12</v>
      </c>
      <c r="I12">
        <v>15.3</v>
      </c>
      <c r="J12">
        <v>8.8000000000000007</v>
      </c>
      <c r="K12">
        <v>9.8000000000000007</v>
      </c>
      <c r="L12">
        <v>9.6</v>
      </c>
      <c r="M12" t="s">
        <v>33</v>
      </c>
      <c r="N12" t="s">
        <v>33</v>
      </c>
      <c r="O12" t="s">
        <v>33</v>
      </c>
      <c r="P12" t="s">
        <v>22</v>
      </c>
      <c r="Q12">
        <v>43.3</v>
      </c>
      <c r="R12">
        <v>3.7</v>
      </c>
      <c r="S12">
        <v>14.2</v>
      </c>
      <c r="T12">
        <v>11.5</v>
      </c>
      <c r="U12">
        <v>22.3</v>
      </c>
      <c r="V12">
        <v>14.6</v>
      </c>
      <c r="W12">
        <v>8.8000000000000007</v>
      </c>
      <c r="X12">
        <v>14.3</v>
      </c>
      <c r="Y12" t="s">
        <v>33</v>
      </c>
      <c r="Z12">
        <v>0</v>
      </c>
      <c r="AA12">
        <v>14.7</v>
      </c>
      <c r="AB12">
        <f t="shared" si="0"/>
        <v>176.2</v>
      </c>
      <c r="AC12">
        <v>176.2</v>
      </c>
      <c r="AD12">
        <v>2</v>
      </c>
      <c r="AE12">
        <f t="shared" si="1"/>
        <v>7</v>
      </c>
      <c r="AF12">
        <v>3</v>
      </c>
      <c r="AG12">
        <v>2</v>
      </c>
      <c r="AH12">
        <v>1</v>
      </c>
      <c r="AI12">
        <v>1</v>
      </c>
      <c r="AJ12">
        <v>0.41176470588235292</v>
      </c>
      <c r="AK12">
        <v>0.25</v>
      </c>
      <c r="AL12">
        <v>0.16666666666666666</v>
      </c>
      <c r="AM12">
        <v>8.3333333333333329E-2</v>
      </c>
      <c r="AN12">
        <v>8.3333333333333329E-2</v>
      </c>
    </row>
    <row r="13" spans="1:40" x14ac:dyDescent="0.25">
      <c r="A13">
        <v>2025</v>
      </c>
      <c r="B13" t="s">
        <v>19</v>
      </c>
      <c r="C13" t="str">
        <f>IF(COUNTIF('Rookies 22-25'!$B$198:$B$349,E13)&gt;0,"(R)","No")</f>
        <v>(R)</v>
      </c>
      <c r="D13">
        <v>12</v>
      </c>
      <c r="E13" t="s">
        <v>44</v>
      </c>
      <c r="F13" t="s">
        <v>45</v>
      </c>
      <c r="G13">
        <f>VLOOKUP(E13,'25 Draft ADP'!$B$3:$D$505,3,FALSE)</f>
        <v>110</v>
      </c>
      <c r="H13">
        <v>16</v>
      </c>
      <c r="I13">
        <v>3.2</v>
      </c>
      <c r="J13">
        <v>0</v>
      </c>
      <c r="K13">
        <v>4.0999999999999996</v>
      </c>
      <c r="L13" t="s">
        <v>33</v>
      </c>
      <c r="M13" t="s">
        <v>22</v>
      </c>
      <c r="N13">
        <v>3.1</v>
      </c>
      <c r="O13">
        <v>5.4</v>
      </c>
      <c r="P13">
        <v>6.8</v>
      </c>
      <c r="Q13">
        <v>29.8</v>
      </c>
      <c r="R13">
        <v>9.5</v>
      </c>
      <c r="S13">
        <v>7</v>
      </c>
      <c r="T13">
        <v>14.9</v>
      </c>
      <c r="U13">
        <v>5.8</v>
      </c>
      <c r="V13">
        <v>12.9</v>
      </c>
      <c r="W13">
        <v>10.1</v>
      </c>
      <c r="X13">
        <v>6</v>
      </c>
      <c r="Y13">
        <v>21.4</v>
      </c>
      <c r="Z13">
        <v>25.1</v>
      </c>
      <c r="AA13">
        <v>10.3</v>
      </c>
      <c r="AB13">
        <f t="shared" si="0"/>
        <v>140</v>
      </c>
      <c r="AC13">
        <v>165.1</v>
      </c>
      <c r="AD13">
        <v>9</v>
      </c>
      <c r="AE13">
        <f t="shared" si="1"/>
        <v>5</v>
      </c>
      <c r="AF13">
        <v>3</v>
      </c>
      <c r="AG13">
        <v>3</v>
      </c>
      <c r="AH13">
        <v>2</v>
      </c>
      <c r="AI13">
        <v>0</v>
      </c>
      <c r="AJ13">
        <v>0.35294117647058826</v>
      </c>
      <c r="AK13">
        <v>0.1875</v>
      </c>
      <c r="AL13">
        <v>0.1875</v>
      </c>
      <c r="AM13">
        <v>0.125</v>
      </c>
      <c r="AN13">
        <v>0</v>
      </c>
    </row>
    <row r="14" spans="1:40" x14ac:dyDescent="0.25">
      <c r="A14">
        <v>2025</v>
      </c>
      <c r="B14" t="s">
        <v>19</v>
      </c>
      <c r="C14" t="str">
        <f>IF(COUNTIF('Rookies 22-25'!$B$198:$B$349,E14)&gt;0,"(R)","No")</f>
        <v>No</v>
      </c>
      <c r="D14">
        <v>13</v>
      </c>
      <c r="E14" t="s">
        <v>46</v>
      </c>
      <c r="F14" t="s">
        <v>47</v>
      </c>
      <c r="G14">
        <f>VLOOKUP(E14,'25 Draft ADP'!$B$3:$D$505,3,FALSE)</f>
        <v>35</v>
      </c>
      <c r="H14">
        <v>11</v>
      </c>
      <c r="I14">
        <v>12.5</v>
      </c>
      <c r="J14" t="s">
        <v>33</v>
      </c>
      <c r="K14" t="s">
        <v>33</v>
      </c>
      <c r="L14" t="s">
        <v>33</v>
      </c>
      <c r="M14" t="s">
        <v>33</v>
      </c>
      <c r="N14" t="s">
        <v>33</v>
      </c>
      <c r="O14">
        <v>0</v>
      </c>
      <c r="P14">
        <v>14.3</v>
      </c>
      <c r="Q14">
        <v>6.9</v>
      </c>
      <c r="R14">
        <v>23.4</v>
      </c>
      <c r="S14">
        <v>24.7</v>
      </c>
      <c r="T14">
        <v>13.8</v>
      </c>
      <c r="U14">
        <v>10.7</v>
      </c>
      <c r="V14" t="s">
        <v>22</v>
      </c>
      <c r="W14">
        <v>22.8</v>
      </c>
      <c r="X14">
        <v>24.5</v>
      </c>
      <c r="Y14" t="s">
        <v>33</v>
      </c>
      <c r="Z14">
        <v>7.9</v>
      </c>
      <c r="AA14">
        <v>14.7</v>
      </c>
      <c r="AB14">
        <f t="shared" si="0"/>
        <v>153.6</v>
      </c>
      <c r="AC14">
        <v>161.5</v>
      </c>
      <c r="AD14">
        <v>3</v>
      </c>
      <c r="AE14">
        <f t="shared" si="1"/>
        <v>8</v>
      </c>
      <c r="AF14">
        <v>4</v>
      </c>
      <c r="AG14">
        <v>4</v>
      </c>
      <c r="AH14">
        <v>0</v>
      </c>
      <c r="AI14">
        <v>0</v>
      </c>
      <c r="AJ14">
        <v>0.47058823529411764</v>
      </c>
      <c r="AK14">
        <v>0.36363636363636365</v>
      </c>
      <c r="AL14">
        <v>0.36363636363636365</v>
      </c>
      <c r="AM14">
        <v>0</v>
      </c>
      <c r="AN14">
        <v>0</v>
      </c>
    </row>
    <row r="15" spans="1:40" x14ac:dyDescent="0.25">
      <c r="A15">
        <v>2025</v>
      </c>
      <c r="B15" t="s">
        <v>19</v>
      </c>
      <c r="C15" t="str">
        <f>IF(COUNTIF('Rookies 22-25'!$B$198:$B$349,E15)&gt;0,"(R)","No")</f>
        <v>No</v>
      </c>
      <c r="D15">
        <v>14</v>
      </c>
      <c r="E15" t="s">
        <v>48</v>
      </c>
      <c r="F15" t="s">
        <v>49</v>
      </c>
      <c r="G15">
        <f>VLOOKUP(E15,'25 Draft ADP'!$B$3:$D$505,3,FALSE)</f>
        <v>278</v>
      </c>
      <c r="H15">
        <v>17</v>
      </c>
      <c r="I15">
        <v>1.2</v>
      </c>
      <c r="J15">
        <v>10.8</v>
      </c>
      <c r="K15">
        <v>3.3</v>
      </c>
      <c r="L15">
        <v>12.2</v>
      </c>
      <c r="M15">
        <v>24.3</v>
      </c>
      <c r="N15">
        <v>10.1</v>
      </c>
      <c r="O15">
        <v>1.9</v>
      </c>
      <c r="P15" t="s">
        <v>22</v>
      </c>
      <c r="Q15">
        <v>11.5</v>
      </c>
      <c r="R15">
        <v>0.3</v>
      </c>
      <c r="S15">
        <v>17.100000000000001</v>
      </c>
      <c r="T15">
        <v>3.8</v>
      </c>
      <c r="U15">
        <v>7.7</v>
      </c>
      <c r="V15">
        <v>5.7</v>
      </c>
      <c r="W15">
        <v>5.7</v>
      </c>
      <c r="X15">
        <v>15</v>
      </c>
      <c r="Y15">
        <v>13.3</v>
      </c>
      <c r="Z15">
        <v>3.4</v>
      </c>
      <c r="AA15">
        <v>8.6999999999999993</v>
      </c>
      <c r="AB15">
        <f t="shared" si="0"/>
        <v>143.9</v>
      </c>
      <c r="AC15">
        <v>147.30000000000001</v>
      </c>
      <c r="AD15">
        <v>20</v>
      </c>
      <c r="AE15">
        <f t="shared" si="1"/>
        <v>8</v>
      </c>
      <c r="AF15">
        <v>2</v>
      </c>
      <c r="AG15">
        <v>1</v>
      </c>
      <c r="AH15">
        <v>0</v>
      </c>
      <c r="AI15">
        <v>0</v>
      </c>
      <c r="AJ15">
        <v>0.47058823529411764</v>
      </c>
      <c r="AK15">
        <v>0.11764705882352941</v>
      </c>
      <c r="AL15">
        <v>5.8823529411764705E-2</v>
      </c>
      <c r="AM15">
        <v>0</v>
      </c>
      <c r="AN15">
        <v>0</v>
      </c>
    </row>
    <row r="16" spans="1:40" x14ac:dyDescent="0.25">
      <c r="A16">
        <v>2025</v>
      </c>
      <c r="B16" t="s">
        <v>19</v>
      </c>
      <c r="C16" t="str">
        <f>IF(COUNTIF('Rookies 22-25'!$B$198:$B$349,E16)&gt;0,"(R)","No")</f>
        <v>(R)</v>
      </c>
      <c r="D16">
        <v>15</v>
      </c>
      <c r="E16" t="s">
        <v>50</v>
      </c>
      <c r="F16" t="s">
        <v>51</v>
      </c>
      <c r="G16">
        <f>VLOOKUP(E16,'25 Draft ADP'!$B$3:$D$505,3,FALSE)</f>
        <v>277</v>
      </c>
      <c r="H16">
        <v>15</v>
      </c>
      <c r="I16" t="s">
        <v>33</v>
      </c>
      <c r="J16" t="s">
        <v>33</v>
      </c>
      <c r="K16">
        <v>9.6</v>
      </c>
      <c r="L16">
        <v>3.6</v>
      </c>
      <c r="M16">
        <v>2.4</v>
      </c>
      <c r="N16">
        <v>11.8</v>
      </c>
      <c r="O16">
        <v>29.4</v>
      </c>
      <c r="P16">
        <v>18.7</v>
      </c>
      <c r="Q16">
        <v>11.8</v>
      </c>
      <c r="R16">
        <v>4.3</v>
      </c>
      <c r="S16">
        <v>6.1</v>
      </c>
      <c r="T16" t="s">
        <v>22</v>
      </c>
      <c r="U16">
        <v>3.7</v>
      </c>
      <c r="V16">
        <v>1.7</v>
      </c>
      <c r="W16">
        <v>10.1</v>
      </c>
      <c r="X16">
        <v>1.7</v>
      </c>
      <c r="Y16">
        <v>12.2</v>
      </c>
      <c r="Z16">
        <v>4.3</v>
      </c>
      <c r="AA16">
        <v>8.8000000000000007</v>
      </c>
      <c r="AB16">
        <f t="shared" si="0"/>
        <v>127.10000000000001</v>
      </c>
      <c r="AC16">
        <v>131.4</v>
      </c>
      <c r="AD16">
        <v>20</v>
      </c>
      <c r="AE16">
        <f t="shared" si="1"/>
        <v>6</v>
      </c>
      <c r="AF16">
        <v>2</v>
      </c>
      <c r="AG16">
        <v>1</v>
      </c>
      <c r="AH16">
        <v>1</v>
      </c>
      <c r="AI16">
        <v>0</v>
      </c>
      <c r="AJ16">
        <v>0.35294117647058826</v>
      </c>
      <c r="AK16">
        <v>0.13333333333333333</v>
      </c>
      <c r="AL16">
        <v>6.6666666666666666E-2</v>
      </c>
      <c r="AM16">
        <v>6.6666666666666666E-2</v>
      </c>
      <c r="AN16">
        <v>0</v>
      </c>
    </row>
    <row r="17" spans="1:40" x14ac:dyDescent="0.25">
      <c r="A17">
        <v>2025</v>
      </c>
      <c r="B17" t="s">
        <v>19</v>
      </c>
      <c r="C17" t="str">
        <f>IF(COUNTIF('Rookies 22-25'!$B$198:$B$349,E17)&gt;0,"(R)","No")</f>
        <v>No</v>
      </c>
      <c r="D17">
        <v>16</v>
      </c>
      <c r="E17" t="s">
        <v>52</v>
      </c>
      <c r="F17" t="s">
        <v>53</v>
      </c>
      <c r="G17">
        <f>VLOOKUP(E17,'25 Draft ADP'!$B$3:$D$505,3,FALSE)</f>
        <v>94</v>
      </c>
      <c r="H17">
        <v>17</v>
      </c>
      <c r="I17">
        <v>1.5</v>
      </c>
      <c r="J17">
        <v>1.4</v>
      </c>
      <c r="K17">
        <v>27.1</v>
      </c>
      <c r="L17">
        <v>10</v>
      </c>
      <c r="M17">
        <v>4.2</v>
      </c>
      <c r="N17">
        <v>6.6</v>
      </c>
      <c r="O17" t="s">
        <v>22</v>
      </c>
      <c r="P17">
        <v>6.4</v>
      </c>
      <c r="Q17">
        <v>16.600000000000001</v>
      </c>
      <c r="R17">
        <v>10.4</v>
      </c>
      <c r="S17">
        <v>15.7</v>
      </c>
      <c r="T17">
        <v>2.1</v>
      </c>
      <c r="U17">
        <v>8.6999999999999993</v>
      </c>
      <c r="V17">
        <v>1.9</v>
      </c>
      <c r="W17">
        <v>3.8</v>
      </c>
      <c r="X17">
        <v>4.4000000000000004</v>
      </c>
      <c r="Y17">
        <v>6.8</v>
      </c>
      <c r="Z17">
        <v>3.4</v>
      </c>
      <c r="AA17">
        <v>7.7</v>
      </c>
      <c r="AB17">
        <f t="shared" si="0"/>
        <v>127.6</v>
      </c>
      <c r="AC17">
        <v>131</v>
      </c>
      <c r="AD17">
        <v>9</v>
      </c>
      <c r="AE17">
        <f t="shared" si="1"/>
        <v>4</v>
      </c>
      <c r="AF17">
        <v>3</v>
      </c>
      <c r="AG17">
        <v>1</v>
      </c>
      <c r="AH17">
        <v>1</v>
      </c>
      <c r="AI17">
        <v>0</v>
      </c>
      <c r="AJ17">
        <v>0.23529411764705882</v>
      </c>
      <c r="AK17">
        <v>0.17647058823529413</v>
      </c>
      <c r="AL17">
        <v>5.8823529411764705E-2</v>
      </c>
      <c r="AM17">
        <v>5.8823529411764705E-2</v>
      </c>
      <c r="AN17">
        <v>0</v>
      </c>
    </row>
    <row r="18" spans="1:40" x14ac:dyDescent="0.25">
      <c r="A18">
        <v>2025</v>
      </c>
      <c r="B18" t="s">
        <v>19</v>
      </c>
      <c r="C18" t="str">
        <f>IF(COUNTIF('Rookies 22-25'!$B$198:$B$349,E18)&gt;0,"(R)","No")</f>
        <v>No</v>
      </c>
      <c r="D18">
        <v>17</v>
      </c>
      <c r="E18" t="s">
        <v>54</v>
      </c>
      <c r="F18" t="s">
        <v>55</v>
      </c>
      <c r="G18">
        <f>VLOOKUP(E18,'25 Draft ADP'!$B$3:$D$505,3,FALSE)</f>
        <v>408</v>
      </c>
      <c r="H18">
        <v>15</v>
      </c>
      <c r="I18">
        <v>-0.6</v>
      </c>
      <c r="J18" t="s">
        <v>33</v>
      </c>
      <c r="K18">
        <v>0</v>
      </c>
      <c r="L18">
        <v>3.7</v>
      </c>
      <c r="M18">
        <v>0</v>
      </c>
      <c r="N18" t="s">
        <v>33</v>
      </c>
      <c r="O18">
        <v>7.7</v>
      </c>
      <c r="P18" t="s">
        <v>22</v>
      </c>
      <c r="Q18">
        <v>3</v>
      </c>
      <c r="R18">
        <v>14.1</v>
      </c>
      <c r="S18">
        <v>9.4</v>
      </c>
      <c r="T18">
        <v>14.1</v>
      </c>
      <c r="U18">
        <v>6.7</v>
      </c>
      <c r="V18">
        <v>12.2</v>
      </c>
      <c r="W18">
        <v>24.5</v>
      </c>
      <c r="X18">
        <v>4.0999999999999996</v>
      </c>
      <c r="Y18">
        <v>11.3</v>
      </c>
      <c r="Z18">
        <v>19.600000000000001</v>
      </c>
      <c r="AA18">
        <v>8.6999999999999993</v>
      </c>
      <c r="AB18">
        <f t="shared" si="0"/>
        <v>110.20000000000002</v>
      </c>
      <c r="AC18">
        <v>129.80000000000001</v>
      </c>
      <c r="AD18">
        <v>20</v>
      </c>
      <c r="AE18">
        <f t="shared" si="1"/>
        <v>5</v>
      </c>
      <c r="AF18">
        <v>2</v>
      </c>
      <c r="AG18">
        <v>1</v>
      </c>
      <c r="AH18">
        <v>0</v>
      </c>
      <c r="AI18">
        <v>0</v>
      </c>
      <c r="AJ18">
        <v>0.35294117647058826</v>
      </c>
      <c r="AK18">
        <v>0.13333333333333333</v>
      </c>
      <c r="AL18">
        <v>6.6666666666666666E-2</v>
      </c>
      <c r="AM18">
        <v>0</v>
      </c>
      <c r="AN18">
        <v>0</v>
      </c>
    </row>
    <row r="19" spans="1:40" x14ac:dyDescent="0.25">
      <c r="A19">
        <v>2025</v>
      </c>
      <c r="B19" t="s">
        <v>19</v>
      </c>
      <c r="C19" t="str">
        <f>IF(COUNTIF('Rookies 22-25'!$B$198:$B$349,E19)&gt;0,"(R)","No")</f>
        <v>No</v>
      </c>
      <c r="D19">
        <v>18</v>
      </c>
      <c r="E19" t="s">
        <v>56</v>
      </c>
      <c r="F19" t="s">
        <v>57</v>
      </c>
      <c r="G19">
        <f>VLOOKUP(E19,'25 Draft ADP'!$B$3:$D$505,3,FALSE)</f>
        <v>204</v>
      </c>
      <c r="H19">
        <v>15</v>
      </c>
      <c r="I19">
        <v>1.5</v>
      </c>
      <c r="J19">
        <v>7.4</v>
      </c>
      <c r="K19">
        <v>2</v>
      </c>
      <c r="L19">
        <v>10.7</v>
      </c>
      <c r="M19">
        <v>21.3</v>
      </c>
      <c r="N19">
        <v>4.7</v>
      </c>
      <c r="O19">
        <v>15.6</v>
      </c>
      <c r="P19">
        <v>5</v>
      </c>
      <c r="Q19">
        <v>11.7</v>
      </c>
      <c r="R19">
        <v>14.5</v>
      </c>
      <c r="S19">
        <v>6.6</v>
      </c>
      <c r="T19">
        <v>10.7</v>
      </c>
      <c r="U19">
        <v>5.9</v>
      </c>
      <c r="V19" t="s">
        <v>22</v>
      </c>
      <c r="W19">
        <v>10.199999999999999</v>
      </c>
      <c r="X19">
        <v>0</v>
      </c>
      <c r="Y19" t="s">
        <v>33</v>
      </c>
      <c r="Z19">
        <v>0</v>
      </c>
      <c r="AA19">
        <v>8.5</v>
      </c>
      <c r="AB19">
        <f t="shared" si="0"/>
        <v>127.8</v>
      </c>
      <c r="AC19">
        <v>127.8</v>
      </c>
      <c r="AD19">
        <v>18</v>
      </c>
      <c r="AE19">
        <f t="shared" si="1"/>
        <v>7</v>
      </c>
      <c r="AF19">
        <v>2</v>
      </c>
      <c r="AG19">
        <v>1</v>
      </c>
      <c r="AH19">
        <v>0</v>
      </c>
      <c r="AI19">
        <v>0</v>
      </c>
      <c r="AJ19">
        <v>0.41176470588235292</v>
      </c>
      <c r="AK19">
        <v>0.13333333333333333</v>
      </c>
      <c r="AL19">
        <v>6.6666666666666666E-2</v>
      </c>
      <c r="AM19">
        <v>0</v>
      </c>
      <c r="AN19">
        <v>0</v>
      </c>
    </row>
    <row r="20" spans="1:40" x14ac:dyDescent="0.25">
      <c r="A20">
        <v>2025</v>
      </c>
      <c r="B20" t="s">
        <v>19</v>
      </c>
      <c r="C20" t="str">
        <f>IF(COUNTIF('Rookies 22-25'!$B$198:$B$349,E20)&gt;0,"(R)","No")</f>
        <v>No</v>
      </c>
      <c r="D20">
        <v>19</v>
      </c>
      <c r="E20" t="s">
        <v>58</v>
      </c>
      <c r="F20" t="s">
        <v>59</v>
      </c>
      <c r="G20">
        <f>VLOOKUP(E20,'25 Draft ADP'!$B$3:$D$505,3,FALSE)</f>
        <v>154</v>
      </c>
      <c r="H20">
        <v>13</v>
      </c>
      <c r="I20">
        <v>11.6</v>
      </c>
      <c r="J20">
        <v>18.399999999999999</v>
      </c>
      <c r="K20">
        <v>6.8</v>
      </c>
      <c r="L20">
        <v>6.1</v>
      </c>
      <c r="M20">
        <v>0</v>
      </c>
      <c r="N20">
        <v>16.3</v>
      </c>
      <c r="O20">
        <v>12.7</v>
      </c>
      <c r="P20">
        <v>5.6</v>
      </c>
      <c r="Q20">
        <v>8.6</v>
      </c>
      <c r="R20">
        <v>9.4</v>
      </c>
      <c r="S20">
        <v>8.1999999999999993</v>
      </c>
      <c r="T20" t="s">
        <v>22</v>
      </c>
      <c r="U20">
        <v>20.6</v>
      </c>
      <c r="V20">
        <v>2.1</v>
      </c>
      <c r="W20" t="s">
        <v>33</v>
      </c>
      <c r="X20" t="s">
        <v>33</v>
      </c>
      <c r="Y20" t="s">
        <v>33</v>
      </c>
      <c r="Z20">
        <v>0</v>
      </c>
      <c r="AA20">
        <v>9.6999999999999993</v>
      </c>
      <c r="AB20">
        <f t="shared" si="0"/>
        <v>126.4</v>
      </c>
      <c r="AC20">
        <v>126.4</v>
      </c>
      <c r="AD20">
        <v>13</v>
      </c>
      <c r="AE20">
        <f t="shared" si="1"/>
        <v>5</v>
      </c>
      <c r="AF20">
        <v>3</v>
      </c>
      <c r="AG20">
        <v>1</v>
      </c>
      <c r="AH20">
        <v>0</v>
      </c>
      <c r="AI20">
        <v>0</v>
      </c>
      <c r="AJ20">
        <v>0.29411764705882354</v>
      </c>
      <c r="AK20">
        <v>0.23076923076923078</v>
      </c>
      <c r="AL20">
        <v>7.6923076923076927E-2</v>
      </c>
      <c r="AM20">
        <v>0</v>
      </c>
      <c r="AN20">
        <v>0</v>
      </c>
    </row>
    <row r="21" spans="1:40" x14ac:dyDescent="0.25">
      <c r="A21">
        <v>2025</v>
      </c>
      <c r="B21" t="s">
        <v>19</v>
      </c>
      <c r="C21" t="str">
        <f>IF(COUNTIF('Rookies 22-25'!$B$198:$B$349,E21)&gt;0,"(R)","No")</f>
        <v>No</v>
      </c>
      <c r="D21">
        <v>20</v>
      </c>
      <c r="E21" t="s">
        <v>60</v>
      </c>
      <c r="F21" t="s">
        <v>61</v>
      </c>
      <c r="G21">
        <f>VLOOKUP(E21,'25 Draft ADP'!$B$3:$D$505,3,FALSE)</f>
        <v>130</v>
      </c>
      <c r="H21">
        <v>12</v>
      </c>
      <c r="I21">
        <v>14.8</v>
      </c>
      <c r="J21">
        <v>7.7</v>
      </c>
      <c r="K21">
        <v>17.600000000000001</v>
      </c>
      <c r="L21">
        <v>9.8000000000000007</v>
      </c>
      <c r="M21">
        <v>16.8</v>
      </c>
      <c r="N21" t="s">
        <v>33</v>
      </c>
      <c r="O21" t="s">
        <v>22</v>
      </c>
      <c r="P21">
        <v>3.3</v>
      </c>
      <c r="Q21">
        <v>22.1</v>
      </c>
      <c r="R21">
        <v>5.7</v>
      </c>
      <c r="S21" t="s">
        <v>33</v>
      </c>
      <c r="T21" t="s">
        <v>33</v>
      </c>
      <c r="U21" t="s">
        <v>33</v>
      </c>
      <c r="V21">
        <v>14.1</v>
      </c>
      <c r="W21">
        <v>6.4</v>
      </c>
      <c r="X21">
        <v>0</v>
      </c>
      <c r="Y21" t="s">
        <v>33</v>
      </c>
      <c r="Z21">
        <v>7.8</v>
      </c>
      <c r="AA21">
        <v>10.5</v>
      </c>
      <c r="AB21">
        <f t="shared" si="0"/>
        <v>118.3</v>
      </c>
      <c r="AC21">
        <v>126.1</v>
      </c>
      <c r="AD21">
        <v>11</v>
      </c>
      <c r="AE21">
        <f t="shared" si="1"/>
        <v>5</v>
      </c>
      <c r="AF21">
        <v>3</v>
      </c>
      <c r="AG21">
        <v>1</v>
      </c>
      <c r="AH21">
        <v>0</v>
      </c>
      <c r="AI21">
        <v>0</v>
      </c>
      <c r="AJ21">
        <v>0.29411764705882354</v>
      </c>
      <c r="AK21">
        <v>0.25</v>
      </c>
      <c r="AL21">
        <v>8.3333333333333329E-2</v>
      </c>
      <c r="AM21">
        <v>0</v>
      </c>
      <c r="AN21">
        <v>0</v>
      </c>
    </row>
    <row r="22" spans="1:40" x14ac:dyDescent="0.25">
      <c r="A22">
        <v>2025</v>
      </c>
      <c r="B22" t="s">
        <v>19</v>
      </c>
      <c r="C22" t="str">
        <f>IF(COUNTIF('Rookies 22-25'!$B$198:$B$349,E22)&gt;0,"(R)","No")</f>
        <v>No</v>
      </c>
      <c r="D22">
        <v>21</v>
      </c>
      <c r="E22" t="s">
        <v>62</v>
      </c>
      <c r="F22" t="s">
        <v>63</v>
      </c>
      <c r="G22">
        <f>VLOOKUP(E22,'25 Draft ADP'!$B$3:$D$505,3,FALSE)</f>
        <v>165</v>
      </c>
      <c r="H22">
        <v>17</v>
      </c>
      <c r="I22">
        <v>4.9000000000000004</v>
      </c>
      <c r="J22">
        <v>7.5</v>
      </c>
      <c r="K22">
        <v>11.6</v>
      </c>
      <c r="L22">
        <v>1.4</v>
      </c>
      <c r="M22">
        <v>8.8000000000000007</v>
      </c>
      <c r="N22">
        <v>10.6</v>
      </c>
      <c r="O22">
        <v>0</v>
      </c>
      <c r="P22">
        <v>9.3000000000000007</v>
      </c>
      <c r="Q22">
        <v>3</v>
      </c>
      <c r="R22" t="s">
        <v>22</v>
      </c>
      <c r="S22">
        <v>8.6</v>
      </c>
      <c r="T22">
        <v>7</v>
      </c>
      <c r="U22">
        <v>6.9</v>
      </c>
      <c r="V22">
        <v>4</v>
      </c>
      <c r="W22">
        <v>7.3</v>
      </c>
      <c r="X22">
        <v>16.399999999999999</v>
      </c>
      <c r="Y22">
        <v>14.5</v>
      </c>
      <c r="Z22">
        <v>2.2000000000000002</v>
      </c>
      <c r="AA22">
        <v>7.3</v>
      </c>
      <c r="AB22">
        <f t="shared" si="0"/>
        <v>121.8</v>
      </c>
      <c r="AC22">
        <v>124</v>
      </c>
      <c r="AD22">
        <v>15</v>
      </c>
      <c r="AE22">
        <f t="shared" si="1"/>
        <v>4</v>
      </c>
      <c r="AF22">
        <v>1</v>
      </c>
      <c r="AG22">
        <v>0</v>
      </c>
      <c r="AH22">
        <v>0</v>
      </c>
      <c r="AI22">
        <v>0</v>
      </c>
      <c r="AJ22">
        <v>0.23529411764705882</v>
      </c>
      <c r="AK22">
        <v>5.8823529411764705E-2</v>
      </c>
      <c r="AL22">
        <v>0</v>
      </c>
      <c r="AM22">
        <v>0</v>
      </c>
      <c r="AN22">
        <v>0</v>
      </c>
    </row>
    <row r="23" spans="1:40" x14ac:dyDescent="0.25">
      <c r="A23">
        <v>2025</v>
      </c>
      <c r="B23" t="s">
        <v>19</v>
      </c>
      <c r="C23" t="str">
        <f>IF(COUNTIF('Rookies 22-25'!$B$198:$B$349,E23)&gt;0,"(R)","No")</f>
        <v>No</v>
      </c>
      <c r="D23">
        <v>22</v>
      </c>
      <c r="E23" t="s">
        <v>64</v>
      </c>
      <c r="F23" t="s">
        <v>65</v>
      </c>
      <c r="G23">
        <f>VLOOKUP(E23,'25 Draft ADP'!$B$3:$D$505,3,FALSE)</f>
        <v>179</v>
      </c>
      <c r="H23">
        <v>16</v>
      </c>
      <c r="I23">
        <v>0</v>
      </c>
      <c r="J23">
        <v>5.5</v>
      </c>
      <c r="K23">
        <v>0</v>
      </c>
      <c r="L23">
        <v>3.9</v>
      </c>
      <c r="M23">
        <v>12.1</v>
      </c>
      <c r="N23">
        <v>10.1</v>
      </c>
      <c r="O23">
        <v>13.5</v>
      </c>
      <c r="P23">
        <v>8</v>
      </c>
      <c r="Q23" t="s">
        <v>22</v>
      </c>
      <c r="R23">
        <v>17.2</v>
      </c>
      <c r="S23">
        <v>4.8</v>
      </c>
      <c r="T23">
        <v>6.1</v>
      </c>
      <c r="U23">
        <v>2.9</v>
      </c>
      <c r="V23">
        <v>4.9000000000000004</v>
      </c>
      <c r="W23" t="s">
        <v>33</v>
      </c>
      <c r="X23">
        <v>3.5</v>
      </c>
      <c r="Y23">
        <v>7.3</v>
      </c>
      <c r="Z23">
        <v>22.4</v>
      </c>
      <c r="AA23">
        <v>7.6</v>
      </c>
      <c r="AB23">
        <f t="shared" si="0"/>
        <v>99.800000000000011</v>
      </c>
      <c r="AC23">
        <v>122.2</v>
      </c>
      <c r="AD23">
        <v>16</v>
      </c>
      <c r="AE23">
        <f t="shared" si="1"/>
        <v>4</v>
      </c>
      <c r="AF23">
        <v>2</v>
      </c>
      <c r="AG23">
        <v>1</v>
      </c>
      <c r="AH23">
        <v>0</v>
      </c>
      <c r="AI23">
        <v>0</v>
      </c>
      <c r="AJ23">
        <v>0.29411764705882354</v>
      </c>
      <c r="AK23">
        <v>0.125</v>
      </c>
      <c r="AL23">
        <v>6.25E-2</v>
      </c>
      <c r="AM23">
        <v>0</v>
      </c>
      <c r="AN23">
        <v>0</v>
      </c>
    </row>
    <row r="24" spans="1:40" x14ac:dyDescent="0.25">
      <c r="A24">
        <v>2025</v>
      </c>
      <c r="B24" t="s">
        <v>19</v>
      </c>
      <c r="C24" t="str">
        <f>IF(COUNTIF('Rookies 22-25'!$B$198:$B$349,E24)&gt;0,"(R)","No")</f>
        <v>No</v>
      </c>
      <c r="D24">
        <v>23</v>
      </c>
      <c r="E24" t="s">
        <v>66</v>
      </c>
      <c r="F24" t="s">
        <v>67</v>
      </c>
      <c r="G24">
        <f>VLOOKUP(E24,'25 Draft ADP'!$B$3:$D$505,3,FALSE)</f>
        <v>159</v>
      </c>
      <c r="H24">
        <v>12</v>
      </c>
      <c r="I24">
        <v>9.9</v>
      </c>
      <c r="J24">
        <v>4.7</v>
      </c>
      <c r="K24">
        <v>12.1</v>
      </c>
      <c r="L24">
        <v>10.5</v>
      </c>
      <c r="M24">
        <v>3.2</v>
      </c>
      <c r="N24" t="s">
        <v>33</v>
      </c>
      <c r="O24" t="s">
        <v>33</v>
      </c>
      <c r="P24" t="s">
        <v>22</v>
      </c>
      <c r="Q24" t="s">
        <v>33</v>
      </c>
      <c r="R24" t="s">
        <v>33</v>
      </c>
      <c r="S24" t="s">
        <v>33</v>
      </c>
      <c r="T24">
        <v>14.3</v>
      </c>
      <c r="U24">
        <v>13.5</v>
      </c>
      <c r="V24">
        <v>5.7</v>
      </c>
      <c r="W24">
        <v>3.6</v>
      </c>
      <c r="X24">
        <v>14.9</v>
      </c>
      <c r="Y24">
        <v>8.4</v>
      </c>
      <c r="Z24">
        <v>17.2</v>
      </c>
      <c r="AA24">
        <v>9.8000000000000007</v>
      </c>
      <c r="AB24">
        <f t="shared" si="0"/>
        <v>100.8</v>
      </c>
      <c r="AC24">
        <v>118</v>
      </c>
      <c r="AD24">
        <v>13</v>
      </c>
      <c r="AE24">
        <f t="shared" si="1"/>
        <v>5</v>
      </c>
      <c r="AF24">
        <v>1</v>
      </c>
      <c r="AG24">
        <v>0</v>
      </c>
      <c r="AH24">
        <v>0</v>
      </c>
      <c r="AI24">
        <v>0</v>
      </c>
      <c r="AJ24">
        <v>0.35294117647058826</v>
      </c>
      <c r="AK24">
        <v>8.3333333333333329E-2</v>
      </c>
      <c r="AL24">
        <v>0</v>
      </c>
      <c r="AM24">
        <v>0</v>
      </c>
      <c r="AN24">
        <v>0</v>
      </c>
    </row>
    <row r="25" spans="1:40" x14ac:dyDescent="0.25">
      <c r="A25">
        <v>2025</v>
      </c>
      <c r="B25" t="s">
        <v>19</v>
      </c>
      <c r="C25" t="str">
        <f>IF(COUNTIF('Rookies 22-25'!$B$198:$B$349,E25)&gt;0,"(R)","No")</f>
        <v>No</v>
      </c>
      <c r="D25">
        <v>24</v>
      </c>
      <c r="E25" t="s">
        <v>68</v>
      </c>
      <c r="F25" t="s">
        <v>69</v>
      </c>
      <c r="G25">
        <f>VLOOKUP(E25,'25 Draft ADP'!$B$3:$D$505,3,FALSE)</f>
        <v>107</v>
      </c>
      <c r="H25">
        <v>8</v>
      </c>
      <c r="I25">
        <v>9.9</v>
      </c>
      <c r="J25">
        <v>24.4</v>
      </c>
      <c r="K25">
        <v>5.9</v>
      </c>
      <c r="L25">
        <v>10.6</v>
      </c>
      <c r="M25" t="s">
        <v>22</v>
      </c>
      <c r="N25">
        <v>12.3</v>
      </c>
      <c r="O25">
        <v>16.8</v>
      </c>
      <c r="P25">
        <v>33.299999999999997</v>
      </c>
      <c r="Q25">
        <v>4</v>
      </c>
      <c r="R25" t="s">
        <v>33</v>
      </c>
      <c r="S25" t="s">
        <v>33</v>
      </c>
      <c r="T25" t="s">
        <v>33</v>
      </c>
      <c r="U25" t="s">
        <v>33</v>
      </c>
      <c r="V25" t="s">
        <v>33</v>
      </c>
      <c r="W25" t="s">
        <v>33</v>
      </c>
      <c r="X25" t="s">
        <v>33</v>
      </c>
      <c r="Y25" t="s">
        <v>33</v>
      </c>
      <c r="Z25">
        <v>0</v>
      </c>
      <c r="AA25">
        <v>14.7</v>
      </c>
      <c r="AB25">
        <f t="shared" si="0"/>
        <v>117.2</v>
      </c>
      <c r="AC25">
        <v>117.2</v>
      </c>
      <c r="AD25">
        <v>10</v>
      </c>
      <c r="AE25">
        <f t="shared" si="1"/>
        <v>5</v>
      </c>
      <c r="AF25">
        <v>3</v>
      </c>
      <c r="AG25">
        <v>2</v>
      </c>
      <c r="AH25">
        <v>1</v>
      </c>
      <c r="AI25">
        <v>1</v>
      </c>
      <c r="AJ25">
        <v>0.29411764705882354</v>
      </c>
      <c r="AK25">
        <v>0.375</v>
      </c>
      <c r="AL25">
        <v>0.25</v>
      </c>
      <c r="AM25">
        <v>0.125</v>
      </c>
      <c r="AN25">
        <v>0.125</v>
      </c>
    </row>
    <row r="26" spans="1:40" x14ac:dyDescent="0.25">
      <c r="A26">
        <v>2025</v>
      </c>
      <c r="B26" t="s">
        <v>19</v>
      </c>
      <c r="C26" t="str">
        <f>IF(COUNTIF('Rookies 22-25'!$B$198:$B$349,E26)&gt;0,"(R)","No")</f>
        <v>No</v>
      </c>
      <c r="D26">
        <v>25</v>
      </c>
      <c r="E26" t="s">
        <v>70</v>
      </c>
      <c r="F26" t="s">
        <v>71</v>
      </c>
      <c r="G26">
        <f>VLOOKUP(E26,'25 Draft ADP'!$B$3:$D$505,3,FALSE)</f>
        <v>209</v>
      </c>
      <c r="H26">
        <v>17</v>
      </c>
      <c r="I26">
        <v>5.8</v>
      </c>
      <c r="J26">
        <v>6.1</v>
      </c>
      <c r="K26">
        <v>1.6</v>
      </c>
      <c r="L26">
        <v>0</v>
      </c>
      <c r="M26" t="s">
        <v>22</v>
      </c>
      <c r="N26">
        <v>2.1</v>
      </c>
      <c r="O26">
        <v>28.1</v>
      </c>
      <c r="P26">
        <v>4.3</v>
      </c>
      <c r="Q26">
        <v>11.7</v>
      </c>
      <c r="R26">
        <v>6.3</v>
      </c>
      <c r="S26">
        <v>2.9</v>
      </c>
      <c r="T26">
        <v>10.9</v>
      </c>
      <c r="U26">
        <v>0</v>
      </c>
      <c r="V26">
        <v>2.9</v>
      </c>
      <c r="W26">
        <v>7.5</v>
      </c>
      <c r="X26">
        <v>6</v>
      </c>
      <c r="Y26">
        <v>9.3000000000000007</v>
      </c>
      <c r="Z26">
        <v>8.1</v>
      </c>
      <c r="AA26">
        <v>6.7</v>
      </c>
      <c r="AB26">
        <f t="shared" si="0"/>
        <v>105.5</v>
      </c>
      <c r="AC26">
        <v>113.6</v>
      </c>
      <c r="AD26">
        <v>18</v>
      </c>
      <c r="AE26">
        <f t="shared" si="1"/>
        <v>3</v>
      </c>
      <c r="AF26">
        <v>1</v>
      </c>
      <c r="AG26">
        <v>1</v>
      </c>
      <c r="AH26">
        <v>1</v>
      </c>
      <c r="AI26">
        <v>0</v>
      </c>
      <c r="AJ26">
        <v>0.17647058823529413</v>
      </c>
      <c r="AK26">
        <v>5.8823529411764705E-2</v>
      </c>
      <c r="AL26">
        <v>5.8823529411764705E-2</v>
      </c>
      <c r="AM26">
        <v>5.8823529411764705E-2</v>
      </c>
      <c r="AN26">
        <v>0</v>
      </c>
    </row>
    <row r="27" spans="1:40" x14ac:dyDescent="0.25">
      <c r="A27">
        <v>2025</v>
      </c>
      <c r="B27" t="s">
        <v>19</v>
      </c>
      <c r="C27" t="str">
        <f>IF(COUNTIF('Rookies 22-25'!$B$198:$B$349,E27)&gt;0,"(R)","No")</f>
        <v>No</v>
      </c>
      <c r="D27">
        <v>26</v>
      </c>
      <c r="E27" t="s">
        <v>72</v>
      </c>
      <c r="F27" t="s">
        <v>73</v>
      </c>
      <c r="G27">
        <f>VLOOKUP(E27,'25 Draft ADP'!$B$3:$D$505,3,FALSE)</f>
        <v>83</v>
      </c>
      <c r="H27">
        <v>15</v>
      </c>
      <c r="I27">
        <v>4.5</v>
      </c>
      <c r="J27">
        <v>2.2000000000000002</v>
      </c>
      <c r="K27">
        <v>15.9</v>
      </c>
      <c r="L27">
        <v>7.9</v>
      </c>
      <c r="M27">
        <v>9.8000000000000007</v>
      </c>
      <c r="N27" t="s">
        <v>22</v>
      </c>
      <c r="O27">
        <v>10.3</v>
      </c>
      <c r="P27">
        <v>4.5999999999999996</v>
      </c>
      <c r="Q27">
        <v>9.1</v>
      </c>
      <c r="R27">
        <v>2.8</v>
      </c>
      <c r="S27">
        <v>6.9</v>
      </c>
      <c r="T27">
        <v>5.9</v>
      </c>
      <c r="U27">
        <v>11.9</v>
      </c>
      <c r="V27">
        <v>9.1999999999999993</v>
      </c>
      <c r="W27">
        <v>10.6</v>
      </c>
      <c r="X27">
        <v>1.2</v>
      </c>
      <c r="Y27" t="s">
        <v>33</v>
      </c>
      <c r="Z27">
        <v>0</v>
      </c>
      <c r="AA27">
        <v>7.5</v>
      </c>
      <c r="AB27">
        <f t="shared" si="0"/>
        <v>112.8</v>
      </c>
      <c r="AC27">
        <v>112.8</v>
      </c>
      <c r="AD27">
        <v>7</v>
      </c>
      <c r="AE27">
        <f t="shared" si="1"/>
        <v>4</v>
      </c>
      <c r="AF27">
        <v>1</v>
      </c>
      <c r="AG27">
        <v>0</v>
      </c>
      <c r="AH27">
        <v>0</v>
      </c>
      <c r="AI27">
        <v>0</v>
      </c>
      <c r="AJ27">
        <v>0.23529411764705882</v>
      </c>
      <c r="AK27">
        <v>6.6666666666666666E-2</v>
      </c>
      <c r="AL27">
        <v>0</v>
      </c>
      <c r="AM27">
        <v>0</v>
      </c>
      <c r="AN27">
        <v>0</v>
      </c>
    </row>
    <row r="28" spans="1:40" x14ac:dyDescent="0.25">
      <c r="A28">
        <v>2025</v>
      </c>
      <c r="B28" t="s">
        <v>19</v>
      </c>
      <c r="C28" t="str">
        <f>IF(COUNTIF('Rookies 22-25'!$B$198:$B$349,E28)&gt;0,"(R)","No")</f>
        <v>No</v>
      </c>
      <c r="D28">
        <v>27</v>
      </c>
      <c r="E28" t="s">
        <v>74</v>
      </c>
      <c r="F28" t="s">
        <v>75</v>
      </c>
      <c r="G28">
        <f>VLOOKUP(E28,'25 Draft ADP'!$B$3:$D$505,3,FALSE)</f>
        <v>68</v>
      </c>
      <c r="H28">
        <v>9</v>
      </c>
      <c r="I28">
        <v>13.9</v>
      </c>
      <c r="J28">
        <v>5.6</v>
      </c>
      <c r="K28">
        <v>7.3</v>
      </c>
      <c r="L28">
        <v>6.9</v>
      </c>
      <c r="M28">
        <v>20.2</v>
      </c>
      <c r="N28">
        <v>16.5</v>
      </c>
      <c r="O28">
        <v>4.5</v>
      </c>
      <c r="P28" t="s">
        <v>22</v>
      </c>
      <c r="Q28">
        <v>21.7</v>
      </c>
      <c r="R28">
        <v>10.3</v>
      </c>
      <c r="S28" t="s">
        <v>33</v>
      </c>
      <c r="T28" t="s">
        <v>33</v>
      </c>
      <c r="U28" t="s">
        <v>33</v>
      </c>
      <c r="V28" t="s">
        <v>33</v>
      </c>
      <c r="W28" t="s">
        <v>33</v>
      </c>
      <c r="X28" t="s">
        <v>33</v>
      </c>
      <c r="Y28" t="s">
        <v>33</v>
      </c>
      <c r="Z28">
        <v>0</v>
      </c>
      <c r="AA28">
        <v>11.9</v>
      </c>
      <c r="AB28">
        <f t="shared" si="0"/>
        <v>106.9</v>
      </c>
      <c r="AC28">
        <v>106.9</v>
      </c>
      <c r="AD28">
        <v>6</v>
      </c>
      <c r="AE28">
        <f t="shared" si="1"/>
        <v>5</v>
      </c>
      <c r="AF28">
        <v>3</v>
      </c>
      <c r="AG28">
        <v>2</v>
      </c>
      <c r="AH28">
        <v>0</v>
      </c>
      <c r="AI28">
        <v>0</v>
      </c>
      <c r="AJ28">
        <v>0.29411764705882354</v>
      </c>
      <c r="AK28">
        <v>0.33333333333333331</v>
      </c>
      <c r="AL28">
        <v>0.22222222222222221</v>
      </c>
      <c r="AM28">
        <v>0</v>
      </c>
      <c r="AN28">
        <v>0</v>
      </c>
    </row>
    <row r="29" spans="1:40" x14ac:dyDescent="0.25">
      <c r="A29">
        <v>2025</v>
      </c>
      <c r="B29" t="s">
        <v>19</v>
      </c>
      <c r="C29" t="str">
        <f>IF(COUNTIF('Rookies 22-25'!$B$198:$B$349,E29)&gt;0,"(R)","No")</f>
        <v>No</v>
      </c>
      <c r="D29">
        <v>28</v>
      </c>
      <c r="E29" t="s">
        <v>76</v>
      </c>
      <c r="F29" t="s">
        <v>61</v>
      </c>
      <c r="G29">
        <f>VLOOKUP(E29,'25 Draft ADP'!$B$3:$D$505,3,FALSE)</f>
        <v>300</v>
      </c>
      <c r="H29">
        <v>17</v>
      </c>
      <c r="I29">
        <v>4</v>
      </c>
      <c r="J29">
        <v>3.9</v>
      </c>
      <c r="K29">
        <v>0</v>
      </c>
      <c r="L29">
        <v>0</v>
      </c>
      <c r="M29">
        <v>3.5</v>
      </c>
      <c r="N29">
        <v>8.9</v>
      </c>
      <c r="O29" t="s">
        <v>22</v>
      </c>
      <c r="P29">
        <v>2.5</v>
      </c>
      <c r="Q29">
        <v>4</v>
      </c>
      <c r="R29">
        <v>6.7</v>
      </c>
      <c r="S29">
        <v>3.3</v>
      </c>
      <c r="T29">
        <v>4.7</v>
      </c>
      <c r="U29">
        <v>5.8</v>
      </c>
      <c r="V29">
        <v>17.3</v>
      </c>
      <c r="W29">
        <v>18.7</v>
      </c>
      <c r="X29">
        <v>2</v>
      </c>
      <c r="Y29">
        <v>8</v>
      </c>
      <c r="Z29">
        <v>10.4</v>
      </c>
      <c r="AA29">
        <v>6.1</v>
      </c>
      <c r="AB29">
        <f t="shared" si="0"/>
        <v>93.3</v>
      </c>
      <c r="AC29">
        <v>103.7</v>
      </c>
      <c r="AD29">
        <v>20</v>
      </c>
      <c r="AE29">
        <f t="shared" si="1"/>
        <v>2</v>
      </c>
      <c r="AF29">
        <v>2</v>
      </c>
      <c r="AG29">
        <v>0</v>
      </c>
      <c r="AH29">
        <v>0</v>
      </c>
      <c r="AI29">
        <v>0</v>
      </c>
      <c r="AJ29">
        <v>0.17647058823529413</v>
      </c>
      <c r="AK29">
        <v>0.11764705882352941</v>
      </c>
      <c r="AL29">
        <v>0</v>
      </c>
      <c r="AM29">
        <v>0</v>
      </c>
      <c r="AN29">
        <v>0</v>
      </c>
    </row>
    <row r="30" spans="1:40" x14ac:dyDescent="0.25">
      <c r="A30">
        <v>2025</v>
      </c>
      <c r="B30" t="s">
        <v>19</v>
      </c>
      <c r="C30" t="str">
        <f>IF(COUNTIF('Rookies 22-25'!$B$198:$B$349,E30)&gt;0,"(R)","No")</f>
        <v>No</v>
      </c>
      <c r="D30">
        <v>29</v>
      </c>
      <c r="E30" t="s">
        <v>77</v>
      </c>
      <c r="F30" t="s">
        <v>78</v>
      </c>
      <c r="G30">
        <f>VLOOKUP(E30,'25 Draft ADP'!$B$3:$D$505,3,FALSE)</f>
        <v>99</v>
      </c>
      <c r="H30">
        <v>16</v>
      </c>
      <c r="I30">
        <v>5.0999999999999996</v>
      </c>
      <c r="J30">
        <v>2.2000000000000002</v>
      </c>
      <c r="K30" t="s">
        <v>33</v>
      </c>
      <c r="L30">
        <v>6.9</v>
      </c>
      <c r="M30">
        <v>13.3</v>
      </c>
      <c r="N30">
        <v>9.9</v>
      </c>
      <c r="O30">
        <v>9.1999999999999993</v>
      </c>
      <c r="P30">
        <v>7.6</v>
      </c>
      <c r="Q30">
        <v>0</v>
      </c>
      <c r="R30">
        <v>3.2</v>
      </c>
      <c r="S30">
        <v>7.3</v>
      </c>
      <c r="T30" t="s">
        <v>22</v>
      </c>
      <c r="U30">
        <v>13.9</v>
      </c>
      <c r="V30">
        <v>2.8</v>
      </c>
      <c r="W30">
        <v>2.2000000000000002</v>
      </c>
      <c r="X30">
        <v>5.6</v>
      </c>
      <c r="Y30">
        <v>6.1</v>
      </c>
      <c r="Z30">
        <v>7.5</v>
      </c>
      <c r="AA30">
        <v>6.4</v>
      </c>
      <c r="AB30">
        <f t="shared" si="0"/>
        <v>95.3</v>
      </c>
      <c r="AC30">
        <v>102.8</v>
      </c>
      <c r="AD30">
        <v>8</v>
      </c>
      <c r="AE30">
        <f t="shared" si="1"/>
        <v>2</v>
      </c>
      <c r="AF30">
        <v>0</v>
      </c>
      <c r="AG30">
        <v>0</v>
      </c>
      <c r="AH30">
        <v>0</v>
      </c>
      <c r="AI30">
        <v>0</v>
      </c>
      <c r="AJ30">
        <v>0.11764705882352941</v>
      </c>
      <c r="AK30">
        <v>0</v>
      </c>
      <c r="AL30">
        <v>0</v>
      </c>
      <c r="AM30">
        <v>0</v>
      </c>
      <c r="AN30">
        <v>0</v>
      </c>
    </row>
    <row r="31" spans="1:40" x14ac:dyDescent="0.25">
      <c r="A31">
        <v>2025</v>
      </c>
      <c r="B31" t="s">
        <v>19</v>
      </c>
      <c r="C31" t="str">
        <f>IF(COUNTIF('Rookies 22-25'!$B$198:$B$349,E31)&gt;0,"(R)","No")</f>
        <v>No</v>
      </c>
      <c r="D31">
        <v>30</v>
      </c>
      <c r="E31" t="s">
        <v>79</v>
      </c>
      <c r="F31" t="s">
        <v>47</v>
      </c>
      <c r="G31">
        <v>300</v>
      </c>
      <c r="H31">
        <v>16</v>
      </c>
      <c r="I31">
        <v>10.5</v>
      </c>
      <c r="J31">
        <v>7.1</v>
      </c>
      <c r="K31">
        <v>4.0999999999999996</v>
      </c>
      <c r="L31">
        <v>14.8</v>
      </c>
      <c r="M31">
        <v>17.100000000000001</v>
      </c>
      <c r="N31">
        <v>11.8</v>
      </c>
      <c r="O31">
        <v>0</v>
      </c>
      <c r="P31">
        <v>7.2</v>
      </c>
      <c r="Q31">
        <v>0</v>
      </c>
      <c r="R31">
        <v>0</v>
      </c>
      <c r="S31">
        <v>0</v>
      </c>
      <c r="T31">
        <v>0</v>
      </c>
      <c r="U31">
        <v>0</v>
      </c>
      <c r="V31" t="s">
        <v>22</v>
      </c>
      <c r="W31">
        <v>0</v>
      </c>
      <c r="X31">
        <v>1.7</v>
      </c>
      <c r="Y31">
        <v>19</v>
      </c>
      <c r="Z31">
        <v>0</v>
      </c>
      <c r="AA31">
        <v>5.8</v>
      </c>
      <c r="AB31">
        <f t="shared" si="0"/>
        <v>93.3</v>
      </c>
      <c r="AC31">
        <v>93.3</v>
      </c>
      <c r="AD31">
        <v>20</v>
      </c>
      <c r="AE31">
        <f t="shared" si="1"/>
        <v>5</v>
      </c>
      <c r="AF31">
        <v>2</v>
      </c>
      <c r="AG31">
        <v>0</v>
      </c>
      <c r="AH31">
        <v>0</v>
      </c>
      <c r="AI31">
        <v>0</v>
      </c>
      <c r="AJ31">
        <v>0.29411764705882354</v>
      </c>
      <c r="AK31">
        <v>0.125</v>
      </c>
      <c r="AL31">
        <v>0</v>
      </c>
      <c r="AM31">
        <v>0</v>
      </c>
      <c r="AN31">
        <v>0</v>
      </c>
    </row>
    <row r="32" spans="1:40" x14ac:dyDescent="0.25">
      <c r="A32">
        <v>2025</v>
      </c>
      <c r="B32" t="s">
        <v>19</v>
      </c>
      <c r="C32" t="str">
        <f>IF(COUNTIF('Rookies 22-25'!$B$198:$B$349,E32)&gt;0,"(R)","No")</f>
        <v>(R)</v>
      </c>
      <c r="D32">
        <v>31</v>
      </c>
      <c r="E32" t="s">
        <v>80</v>
      </c>
      <c r="F32" t="s">
        <v>63</v>
      </c>
      <c r="G32">
        <f>VLOOKUP(E32,'25 Draft ADP'!$B$3:$D$505,3,FALSE)</f>
        <v>308</v>
      </c>
      <c r="H32">
        <v>16</v>
      </c>
      <c r="I32">
        <v>2.6</v>
      </c>
      <c r="J32">
        <v>2.9</v>
      </c>
      <c r="K32">
        <v>5.7</v>
      </c>
      <c r="L32">
        <v>2.2000000000000002</v>
      </c>
      <c r="M32">
        <v>7.4</v>
      </c>
      <c r="N32">
        <v>3.5</v>
      </c>
      <c r="O32">
        <v>7.6</v>
      </c>
      <c r="P32">
        <v>10.3</v>
      </c>
      <c r="Q32">
        <v>2.5</v>
      </c>
      <c r="R32" t="s">
        <v>22</v>
      </c>
      <c r="S32">
        <v>6.9</v>
      </c>
      <c r="T32">
        <v>11.1</v>
      </c>
      <c r="U32">
        <v>8.3000000000000007</v>
      </c>
      <c r="V32">
        <v>1.8</v>
      </c>
      <c r="W32">
        <v>14.9</v>
      </c>
      <c r="X32">
        <v>2.9</v>
      </c>
      <c r="Y32">
        <v>1.1000000000000001</v>
      </c>
      <c r="Z32">
        <v>0</v>
      </c>
      <c r="AA32">
        <v>5.7</v>
      </c>
      <c r="AB32">
        <f t="shared" si="0"/>
        <v>91.7</v>
      </c>
      <c r="AC32">
        <v>91.7</v>
      </c>
      <c r="AD32">
        <v>20</v>
      </c>
      <c r="AE32">
        <f t="shared" si="1"/>
        <v>3</v>
      </c>
      <c r="AF32">
        <v>0</v>
      </c>
      <c r="AG32">
        <v>0</v>
      </c>
      <c r="AH32">
        <v>0</v>
      </c>
      <c r="AI32">
        <v>0</v>
      </c>
      <c r="AJ32">
        <v>0.17647058823529413</v>
      </c>
      <c r="AK32">
        <v>0</v>
      </c>
      <c r="AL32">
        <v>0</v>
      </c>
      <c r="AM32">
        <v>0</v>
      </c>
      <c r="AN32">
        <v>0</v>
      </c>
    </row>
    <row r="33" spans="1:40" x14ac:dyDescent="0.25">
      <c r="A33">
        <v>2025</v>
      </c>
      <c r="B33" t="s">
        <v>19</v>
      </c>
      <c r="C33" t="str">
        <f>IF(COUNTIF('Rookies 22-25'!$B$198:$B$349,E33)&gt;0,"(R)","No")</f>
        <v>(R)</v>
      </c>
      <c r="D33">
        <v>32</v>
      </c>
      <c r="E33" t="s">
        <v>81</v>
      </c>
      <c r="F33" t="s">
        <v>82</v>
      </c>
      <c r="G33">
        <f>VLOOKUP(E33,'25 Draft ADP'!$B$3:$D$505,3,FALSE)</f>
        <v>178</v>
      </c>
      <c r="H33">
        <v>13</v>
      </c>
      <c r="I33">
        <v>3</v>
      </c>
      <c r="J33">
        <v>1.5</v>
      </c>
      <c r="K33">
        <v>5.8</v>
      </c>
      <c r="L33">
        <v>11.5</v>
      </c>
      <c r="M33">
        <v>17.7</v>
      </c>
      <c r="N33">
        <v>1.2</v>
      </c>
      <c r="O33">
        <v>6.1</v>
      </c>
      <c r="P33">
        <v>14.4</v>
      </c>
      <c r="Q33" t="s">
        <v>22</v>
      </c>
      <c r="R33">
        <v>1.4</v>
      </c>
      <c r="S33">
        <v>7</v>
      </c>
      <c r="T33">
        <v>5.0999999999999996</v>
      </c>
      <c r="U33">
        <v>4.0999999999999996</v>
      </c>
      <c r="V33">
        <v>10.1</v>
      </c>
      <c r="W33" t="s">
        <v>33</v>
      </c>
      <c r="X33" t="s">
        <v>33</v>
      </c>
      <c r="Y33" t="s">
        <v>33</v>
      </c>
      <c r="Z33">
        <v>0</v>
      </c>
      <c r="AA33">
        <v>6.8</v>
      </c>
      <c r="AB33">
        <f t="shared" si="0"/>
        <v>88.9</v>
      </c>
      <c r="AC33">
        <v>88.9</v>
      </c>
      <c r="AD33">
        <v>16</v>
      </c>
      <c r="AE33">
        <f t="shared" si="1"/>
        <v>4</v>
      </c>
      <c r="AF33">
        <v>1</v>
      </c>
      <c r="AG33">
        <v>0</v>
      </c>
      <c r="AH33">
        <v>0</v>
      </c>
      <c r="AI33">
        <v>0</v>
      </c>
      <c r="AJ33">
        <v>0.23529411764705882</v>
      </c>
      <c r="AK33">
        <v>7.6923076923076927E-2</v>
      </c>
      <c r="AL33">
        <v>0</v>
      </c>
      <c r="AM33">
        <v>0</v>
      </c>
      <c r="AN33">
        <v>0</v>
      </c>
    </row>
    <row r="34" spans="1:40" x14ac:dyDescent="0.25">
      <c r="A34">
        <v>2025</v>
      </c>
      <c r="B34" t="s">
        <v>19</v>
      </c>
      <c r="C34" t="str">
        <f>IF(COUNTIF('Rookies 22-25'!$B$198:$B$349,E34)&gt;0,"(R)","No")</f>
        <v>No</v>
      </c>
      <c r="D34">
        <v>33</v>
      </c>
      <c r="E34" t="s">
        <v>83</v>
      </c>
      <c r="F34" t="s">
        <v>84</v>
      </c>
      <c r="G34">
        <f>VLOOKUP(E34,'25 Draft ADP'!$B$3:$D$505,3,FALSE)</f>
        <v>220</v>
      </c>
      <c r="H34">
        <v>9</v>
      </c>
      <c r="I34" t="s">
        <v>33</v>
      </c>
      <c r="J34" t="s">
        <v>33</v>
      </c>
      <c r="K34" t="s">
        <v>33</v>
      </c>
      <c r="L34">
        <v>17.7</v>
      </c>
      <c r="M34">
        <v>18.8</v>
      </c>
      <c r="N34">
        <v>9.1999999999999993</v>
      </c>
      <c r="O34">
        <v>0</v>
      </c>
      <c r="P34" t="s">
        <v>33</v>
      </c>
      <c r="Q34" t="s">
        <v>33</v>
      </c>
      <c r="R34" t="s">
        <v>33</v>
      </c>
      <c r="S34" t="s">
        <v>33</v>
      </c>
      <c r="T34" t="s">
        <v>22</v>
      </c>
      <c r="U34">
        <v>6.7</v>
      </c>
      <c r="V34">
        <v>2.7</v>
      </c>
      <c r="W34">
        <v>25.6</v>
      </c>
      <c r="X34">
        <v>7</v>
      </c>
      <c r="Y34">
        <v>1</v>
      </c>
      <c r="Z34">
        <v>0</v>
      </c>
      <c r="AA34">
        <v>9.9</v>
      </c>
      <c r="AB34">
        <f t="shared" si="0"/>
        <v>88.7</v>
      </c>
      <c r="AC34">
        <v>88.7</v>
      </c>
      <c r="AD34">
        <v>17</v>
      </c>
      <c r="AE34">
        <f t="shared" si="1"/>
        <v>3</v>
      </c>
      <c r="AF34">
        <v>3</v>
      </c>
      <c r="AG34">
        <v>1</v>
      </c>
      <c r="AH34">
        <v>1</v>
      </c>
      <c r="AI34">
        <v>0</v>
      </c>
      <c r="AJ34">
        <v>0.17647058823529413</v>
      </c>
      <c r="AK34">
        <v>0.33333333333333331</v>
      </c>
      <c r="AL34">
        <v>0.1111111111111111</v>
      </c>
      <c r="AM34">
        <v>0.1111111111111111</v>
      </c>
      <c r="AN34">
        <v>0</v>
      </c>
    </row>
    <row r="35" spans="1:40" x14ac:dyDescent="0.25">
      <c r="A35">
        <v>2025</v>
      </c>
      <c r="B35" t="s">
        <v>19</v>
      </c>
      <c r="C35" t="str">
        <f>IF(COUNTIF('Rookies 22-25'!$B$198:$B$349,E35)&gt;0,"(R)","No")</f>
        <v>No</v>
      </c>
      <c r="D35">
        <v>34</v>
      </c>
      <c r="E35" t="s">
        <v>85</v>
      </c>
      <c r="F35" t="s">
        <v>32</v>
      </c>
      <c r="G35">
        <f>VLOOKUP(E35,'25 Draft ADP'!$B$3:$D$505,3,FALSE)</f>
        <v>106</v>
      </c>
      <c r="H35">
        <v>12</v>
      </c>
      <c r="I35">
        <v>6.7</v>
      </c>
      <c r="J35">
        <v>8</v>
      </c>
      <c r="K35">
        <v>9</v>
      </c>
      <c r="L35">
        <v>3.1</v>
      </c>
      <c r="M35">
        <v>18.7</v>
      </c>
      <c r="N35">
        <v>5.8</v>
      </c>
      <c r="O35" t="s">
        <v>33</v>
      </c>
      <c r="P35">
        <v>13.7</v>
      </c>
      <c r="Q35" t="s">
        <v>22</v>
      </c>
      <c r="R35">
        <v>10.1</v>
      </c>
      <c r="S35">
        <v>1.7</v>
      </c>
      <c r="T35">
        <v>0</v>
      </c>
      <c r="U35">
        <v>2.4</v>
      </c>
      <c r="V35">
        <v>7.1</v>
      </c>
      <c r="W35" t="s">
        <v>33</v>
      </c>
      <c r="X35" t="s">
        <v>33</v>
      </c>
      <c r="Y35" t="s">
        <v>33</v>
      </c>
      <c r="Z35">
        <v>0</v>
      </c>
      <c r="AA35">
        <v>7.2</v>
      </c>
      <c r="AB35">
        <f t="shared" si="0"/>
        <v>86.3</v>
      </c>
      <c r="AC35">
        <v>86.3</v>
      </c>
      <c r="AD35">
        <v>9</v>
      </c>
      <c r="AE35">
        <f t="shared" si="1"/>
        <v>3</v>
      </c>
      <c r="AF35">
        <v>1</v>
      </c>
      <c r="AG35">
        <v>0</v>
      </c>
      <c r="AH35">
        <v>0</v>
      </c>
      <c r="AI35">
        <v>0</v>
      </c>
      <c r="AJ35">
        <v>0.17647058823529413</v>
      </c>
      <c r="AK35">
        <v>8.3333333333333329E-2</v>
      </c>
      <c r="AL35">
        <v>0</v>
      </c>
      <c r="AM35">
        <v>0</v>
      </c>
      <c r="AN35">
        <v>0</v>
      </c>
    </row>
    <row r="36" spans="1:40" x14ac:dyDescent="0.25">
      <c r="A36">
        <v>2025</v>
      </c>
      <c r="B36" t="s">
        <v>19</v>
      </c>
      <c r="C36" t="str">
        <f>IF(COUNTIF('Rookies 22-25'!$B$198:$B$349,E36)&gt;0,"(R)","No")</f>
        <v>No</v>
      </c>
      <c r="D36">
        <v>35</v>
      </c>
      <c r="E36" t="s">
        <v>86</v>
      </c>
      <c r="F36" t="s">
        <v>71</v>
      </c>
      <c r="G36">
        <f>VLOOKUP(E36,'25 Draft ADP'!$B$3:$D$505,3,FALSE)</f>
        <v>169</v>
      </c>
      <c r="H36">
        <v>17</v>
      </c>
      <c r="I36">
        <v>12.5</v>
      </c>
      <c r="J36">
        <v>6.7</v>
      </c>
      <c r="K36">
        <v>5.3</v>
      </c>
      <c r="L36">
        <v>2.6</v>
      </c>
      <c r="M36" t="s">
        <v>22</v>
      </c>
      <c r="N36">
        <v>5.8</v>
      </c>
      <c r="O36">
        <v>11.8</v>
      </c>
      <c r="P36">
        <v>3.7</v>
      </c>
      <c r="Q36">
        <v>5.5</v>
      </c>
      <c r="R36">
        <v>1.4</v>
      </c>
      <c r="S36">
        <v>0</v>
      </c>
      <c r="T36">
        <v>5.8</v>
      </c>
      <c r="U36">
        <v>1.6</v>
      </c>
      <c r="V36">
        <v>0</v>
      </c>
      <c r="W36">
        <v>10.6</v>
      </c>
      <c r="X36">
        <v>2.8</v>
      </c>
      <c r="Y36">
        <v>7.7</v>
      </c>
      <c r="Z36">
        <v>1.4</v>
      </c>
      <c r="AA36">
        <v>5</v>
      </c>
      <c r="AB36">
        <f t="shared" si="0"/>
        <v>83.8</v>
      </c>
      <c r="AC36">
        <v>85.2</v>
      </c>
      <c r="AD36">
        <v>15</v>
      </c>
      <c r="AE36">
        <f t="shared" si="1"/>
        <v>3</v>
      </c>
      <c r="AF36">
        <v>0</v>
      </c>
      <c r="AG36">
        <v>0</v>
      </c>
      <c r="AH36">
        <v>0</v>
      </c>
      <c r="AI36">
        <v>0</v>
      </c>
      <c r="AJ36">
        <v>0.17647058823529413</v>
      </c>
      <c r="AK36">
        <v>0</v>
      </c>
      <c r="AL36">
        <v>0</v>
      </c>
      <c r="AM36">
        <v>0</v>
      </c>
      <c r="AN36">
        <v>0</v>
      </c>
    </row>
    <row r="37" spans="1:40" x14ac:dyDescent="0.25">
      <c r="A37">
        <v>2025</v>
      </c>
      <c r="B37" t="s">
        <v>19</v>
      </c>
      <c r="C37" t="str">
        <f>IF(COUNTIF('Rookies 22-25'!$B$198:$B$349,E37)&gt;0,"(R)","No")</f>
        <v>No</v>
      </c>
      <c r="D37">
        <v>36</v>
      </c>
      <c r="E37" t="s">
        <v>87</v>
      </c>
      <c r="F37" t="s">
        <v>45</v>
      </c>
      <c r="G37">
        <f>VLOOKUP(E37,'25 Draft ADP'!$B$3:$D$505,3,FALSE)</f>
        <v>257</v>
      </c>
      <c r="H37">
        <v>16</v>
      </c>
      <c r="I37">
        <v>4.0999999999999996</v>
      </c>
      <c r="J37">
        <v>4.9000000000000004</v>
      </c>
      <c r="K37">
        <v>8</v>
      </c>
      <c r="L37">
        <v>7.6</v>
      </c>
      <c r="M37" t="s">
        <v>22</v>
      </c>
      <c r="N37">
        <v>1</v>
      </c>
      <c r="O37">
        <v>2.6</v>
      </c>
      <c r="P37" t="s">
        <v>33</v>
      </c>
      <c r="Q37">
        <v>2</v>
      </c>
      <c r="R37">
        <v>1.5</v>
      </c>
      <c r="S37">
        <v>9.5</v>
      </c>
      <c r="T37">
        <v>1.3</v>
      </c>
      <c r="U37">
        <v>12.6</v>
      </c>
      <c r="V37">
        <v>6.2</v>
      </c>
      <c r="W37">
        <v>4.8</v>
      </c>
      <c r="X37">
        <v>3.4</v>
      </c>
      <c r="Y37">
        <v>3.6</v>
      </c>
      <c r="Z37">
        <v>5.6</v>
      </c>
      <c r="AA37">
        <v>4.9000000000000004</v>
      </c>
      <c r="AB37">
        <f t="shared" si="0"/>
        <v>73.100000000000009</v>
      </c>
      <c r="AC37">
        <v>78.7</v>
      </c>
      <c r="AD37">
        <v>20</v>
      </c>
      <c r="AE37">
        <f t="shared" si="1"/>
        <v>1</v>
      </c>
      <c r="AF37">
        <v>0</v>
      </c>
      <c r="AG37">
        <v>0</v>
      </c>
      <c r="AH37">
        <v>0</v>
      </c>
      <c r="AI37">
        <v>0</v>
      </c>
      <c r="AJ37">
        <v>5.8823529411764705E-2</v>
      </c>
      <c r="AK37">
        <v>0</v>
      </c>
      <c r="AL37">
        <v>0</v>
      </c>
      <c r="AM37">
        <v>0</v>
      </c>
      <c r="AN37">
        <v>0</v>
      </c>
    </row>
    <row r="38" spans="1:40" x14ac:dyDescent="0.25">
      <c r="A38">
        <v>2025</v>
      </c>
      <c r="B38" t="s">
        <v>19</v>
      </c>
      <c r="C38" t="str">
        <f>IF(COUNTIF('Rookies 22-25'!$B$198:$B$349,E38)&gt;0,"(R)","No")</f>
        <v>No</v>
      </c>
      <c r="D38">
        <v>37</v>
      </c>
      <c r="E38" t="s">
        <v>88</v>
      </c>
      <c r="F38" t="s">
        <v>89</v>
      </c>
      <c r="G38">
        <f>VLOOKUP(E38,'25 Draft ADP'!$B$3:$D$505,3,FALSE)</f>
        <v>292</v>
      </c>
      <c r="H38">
        <v>15</v>
      </c>
      <c r="I38">
        <v>12.6</v>
      </c>
      <c r="J38">
        <v>5.8</v>
      </c>
      <c r="K38">
        <v>5.6</v>
      </c>
      <c r="L38" t="s">
        <v>33</v>
      </c>
      <c r="M38">
        <v>0</v>
      </c>
      <c r="N38">
        <v>6.7</v>
      </c>
      <c r="O38">
        <v>14.4</v>
      </c>
      <c r="P38">
        <v>7.1</v>
      </c>
      <c r="Q38">
        <v>10.8</v>
      </c>
      <c r="R38" t="s">
        <v>22</v>
      </c>
      <c r="S38">
        <v>6.6</v>
      </c>
      <c r="T38">
        <v>1.9</v>
      </c>
      <c r="U38">
        <v>1.3</v>
      </c>
      <c r="V38">
        <v>2.5</v>
      </c>
      <c r="W38">
        <v>0</v>
      </c>
      <c r="X38" t="s">
        <v>33</v>
      </c>
      <c r="Y38">
        <v>0</v>
      </c>
      <c r="Z38">
        <v>-0.5</v>
      </c>
      <c r="AA38">
        <v>5</v>
      </c>
      <c r="AB38">
        <f t="shared" si="0"/>
        <v>75.3</v>
      </c>
      <c r="AC38">
        <v>74.8</v>
      </c>
      <c r="AD38">
        <v>20</v>
      </c>
      <c r="AE38">
        <f t="shared" si="1"/>
        <v>3</v>
      </c>
      <c r="AF38">
        <v>0</v>
      </c>
      <c r="AG38">
        <v>0</v>
      </c>
      <c r="AH38">
        <v>0</v>
      </c>
      <c r="AI38">
        <v>0</v>
      </c>
      <c r="AJ38">
        <v>0.17647058823529413</v>
      </c>
      <c r="AK38">
        <v>0</v>
      </c>
      <c r="AL38">
        <v>0</v>
      </c>
      <c r="AM38">
        <v>0</v>
      </c>
      <c r="AN38">
        <v>0</v>
      </c>
    </row>
    <row r="39" spans="1:40" x14ac:dyDescent="0.25">
      <c r="A39">
        <v>2025</v>
      </c>
      <c r="B39" t="s">
        <v>19</v>
      </c>
      <c r="C39" t="str">
        <f>IF(COUNTIF('Rookies 22-25'!$B$198:$B$349,E39)&gt;0,"(R)","No")</f>
        <v>No</v>
      </c>
      <c r="D39">
        <v>38</v>
      </c>
      <c r="E39" t="s">
        <v>90</v>
      </c>
      <c r="F39" t="s">
        <v>43</v>
      </c>
      <c r="G39">
        <f>VLOOKUP(E39,'25 Draft ADP'!$B$3:$D$505,3,FALSE)</f>
        <v>280</v>
      </c>
      <c r="H39">
        <v>13</v>
      </c>
      <c r="I39">
        <v>7.8</v>
      </c>
      <c r="J39">
        <v>2.9</v>
      </c>
      <c r="K39">
        <v>0</v>
      </c>
      <c r="L39" t="s">
        <v>33</v>
      </c>
      <c r="M39" t="s">
        <v>33</v>
      </c>
      <c r="N39">
        <v>16</v>
      </c>
      <c r="O39">
        <v>2</v>
      </c>
      <c r="P39" t="s">
        <v>22</v>
      </c>
      <c r="Q39">
        <v>5.6</v>
      </c>
      <c r="R39">
        <v>5.2</v>
      </c>
      <c r="S39">
        <v>4.3</v>
      </c>
      <c r="T39">
        <v>2.4</v>
      </c>
      <c r="U39" t="s">
        <v>33</v>
      </c>
      <c r="V39" t="s">
        <v>33</v>
      </c>
      <c r="W39">
        <v>0</v>
      </c>
      <c r="X39">
        <v>2</v>
      </c>
      <c r="Y39">
        <v>17.899999999999999</v>
      </c>
      <c r="Z39">
        <v>7.7</v>
      </c>
      <c r="AA39">
        <v>5.7</v>
      </c>
      <c r="AB39">
        <f t="shared" si="0"/>
        <v>66.099999999999994</v>
      </c>
      <c r="AC39">
        <v>73.8</v>
      </c>
      <c r="AD39">
        <v>20</v>
      </c>
      <c r="AE39">
        <f t="shared" si="1"/>
        <v>2</v>
      </c>
      <c r="AF39">
        <v>2</v>
      </c>
      <c r="AG39">
        <v>0</v>
      </c>
      <c r="AH39">
        <v>0</v>
      </c>
      <c r="AI39">
        <v>0</v>
      </c>
      <c r="AJ39">
        <v>0.11764705882352941</v>
      </c>
      <c r="AK39">
        <v>0.15384615384615385</v>
      </c>
      <c r="AL39">
        <v>0</v>
      </c>
      <c r="AM39">
        <v>0</v>
      </c>
      <c r="AN39">
        <v>0</v>
      </c>
    </row>
    <row r="40" spans="1:40" x14ac:dyDescent="0.25">
      <c r="A40">
        <v>2025</v>
      </c>
      <c r="B40" t="s">
        <v>19</v>
      </c>
      <c r="C40" t="str">
        <f>IF(COUNTIF('Rookies 22-25'!$B$198:$B$349,E40)&gt;0,"(R)","No")</f>
        <v>No</v>
      </c>
      <c r="D40">
        <v>39</v>
      </c>
      <c r="E40" t="s">
        <v>91</v>
      </c>
      <c r="F40" t="s">
        <v>71</v>
      </c>
      <c r="G40">
        <f>VLOOKUP(E40,'25 Draft ADP'!$B$3:$D$505,3,FALSE)</f>
        <v>369</v>
      </c>
      <c r="H40">
        <v>16</v>
      </c>
      <c r="I40">
        <v>0</v>
      </c>
      <c r="J40">
        <v>2</v>
      </c>
      <c r="K40">
        <v>0</v>
      </c>
      <c r="L40">
        <v>5</v>
      </c>
      <c r="M40" t="s">
        <v>22</v>
      </c>
      <c r="N40">
        <v>9.1999999999999993</v>
      </c>
      <c r="O40">
        <v>9.1999999999999993</v>
      </c>
      <c r="P40">
        <v>0</v>
      </c>
      <c r="Q40">
        <v>8.3000000000000007</v>
      </c>
      <c r="R40">
        <v>2.5</v>
      </c>
      <c r="S40">
        <v>10.7</v>
      </c>
      <c r="T40">
        <v>4.2</v>
      </c>
      <c r="U40">
        <v>6.5</v>
      </c>
      <c r="V40">
        <v>2.2000000000000002</v>
      </c>
      <c r="W40">
        <v>5.5</v>
      </c>
      <c r="X40">
        <v>4.5999999999999996</v>
      </c>
      <c r="Y40">
        <v>3.5</v>
      </c>
      <c r="Z40">
        <v>0</v>
      </c>
      <c r="AA40">
        <v>4.5999999999999996</v>
      </c>
      <c r="AB40">
        <f t="shared" si="0"/>
        <v>73.400000000000006</v>
      </c>
      <c r="AC40">
        <v>73.400000000000006</v>
      </c>
      <c r="AD40">
        <v>20</v>
      </c>
      <c r="AE40">
        <f t="shared" si="1"/>
        <v>1</v>
      </c>
      <c r="AF40">
        <v>0</v>
      </c>
      <c r="AG40">
        <v>0</v>
      </c>
      <c r="AH40">
        <v>0</v>
      </c>
      <c r="AI40">
        <v>0</v>
      </c>
      <c r="AJ40">
        <v>5.8823529411764705E-2</v>
      </c>
      <c r="AK40">
        <v>0</v>
      </c>
      <c r="AL40">
        <v>0</v>
      </c>
      <c r="AM40">
        <v>0</v>
      </c>
      <c r="AN40">
        <v>0</v>
      </c>
    </row>
    <row r="41" spans="1:40" x14ac:dyDescent="0.25">
      <c r="A41">
        <v>2025</v>
      </c>
      <c r="B41" t="s">
        <v>19</v>
      </c>
      <c r="C41" t="str">
        <f>IF(COUNTIF('Rookies 22-25'!$B$198:$B$349,E41)&gt;0,"(R)","No")</f>
        <v>No</v>
      </c>
      <c r="D41">
        <v>40</v>
      </c>
      <c r="E41" t="s">
        <v>92</v>
      </c>
      <c r="F41" t="s">
        <v>55</v>
      </c>
      <c r="G41">
        <f>VLOOKUP(E41,'25 Draft ADP'!$B$3:$D$505,3,FALSE)</f>
        <v>229</v>
      </c>
      <c r="H41">
        <v>10</v>
      </c>
      <c r="I41">
        <v>0</v>
      </c>
      <c r="J41">
        <v>7.7</v>
      </c>
      <c r="K41">
        <v>0</v>
      </c>
      <c r="L41">
        <v>4.5</v>
      </c>
      <c r="M41" t="s">
        <v>33</v>
      </c>
      <c r="N41">
        <v>14</v>
      </c>
      <c r="O41">
        <v>4.9000000000000004</v>
      </c>
      <c r="P41" t="s">
        <v>22</v>
      </c>
      <c r="Q41">
        <v>10.3</v>
      </c>
      <c r="R41">
        <v>6.3</v>
      </c>
      <c r="S41">
        <v>3.3</v>
      </c>
      <c r="T41" t="s">
        <v>33</v>
      </c>
      <c r="U41" t="s">
        <v>33</v>
      </c>
      <c r="V41" t="s">
        <v>33</v>
      </c>
      <c r="W41" t="s">
        <v>33</v>
      </c>
      <c r="X41" t="s">
        <v>33</v>
      </c>
      <c r="Y41" t="s">
        <v>33</v>
      </c>
      <c r="Z41">
        <v>20.100000000000001</v>
      </c>
      <c r="AA41">
        <v>7.1</v>
      </c>
      <c r="AB41">
        <f t="shared" si="0"/>
        <v>50.999999999999993</v>
      </c>
      <c r="AC41">
        <v>71.099999999999994</v>
      </c>
      <c r="AD41">
        <v>20</v>
      </c>
      <c r="AE41">
        <f t="shared" si="1"/>
        <v>2</v>
      </c>
      <c r="AF41">
        <v>1</v>
      </c>
      <c r="AG41">
        <v>1</v>
      </c>
      <c r="AH41">
        <v>0</v>
      </c>
      <c r="AI41">
        <v>0</v>
      </c>
      <c r="AJ41">
        <v>0.17647058823529413</v>
      </c>
      <c r="AK41">
        <v>0.1</v>
      </c>
      <c r="AL41">
        <v>0.1</v>
      </c>
      <c r="AM41">
        <v>0</v>
      </c>
      <c r="AN41">
        <v>0</v>
      </c>
    </row>
    <row r="42" spans="1:40" x14ac:dyDescent="0.25">
      <c r="A42">
        <v>2025</v>
      </c>
      <c r="B42" t="s">
        <v>19</v>
      </c>
      <c r="C42" t="str">
        <f>IF(COUNTIF('Rookies 22-25'!$B$198:$B$349,E42)&gt;0,"(R)","No")</f>
        <v>No</v>
      </c>
      <c r="D42">
        <v>41</v>
      </c>
      <c r="E42" t="s">
        <v>93</v>
      </c>
      <c r="F42" t="s">
        <v>89</v>
      </c>
      <c r="G42">
        <f>VLOOKUP(E42,'25 Draft ADP'!$B$3:$D$505,3,FALSE)</f>
        <v>185</v>
      </c>
      <c r="H42">
        <v>13</v>
      </c>
      <c r="I42">
        <v>2.4</v>
      </c>
      <c r="J42">
        <v>4.8</v>
      </c>
      <c r="K42">
        <v>1.6</v>
      </c>
      <c r="L42">
        <v>1.8</v>
      </c>
      <c r="M42">
        <v>3.5</v>
      </c>
      <c r="N42">
        <v>0</v>
      </c>
      <c r="O42" t="s">
        <v>33</v>
      </c>
      <c r="P42" t="s">
        <v>33</v>
      </c>
      <c r="Q42" t="s">
        <v>33</v>
      </c>
      <c r="R42" t="s">
        <v>22</v>
      </c>
      <c r="S42" t="s">
        <v>33</v>
      </c>
      <c r="T42">
        <v>7.5</v>
      </c>
      <c r="U42">
        <v>3.9</v>
      </c>
      <c r="V42">
        <v>20.6</v>
      </c>
      <c r="W42">
        <v>2.1</v>
      </c>
      <c r="X42">
        <v>12.5</v>
      </c>
      <c r="Y42">
        <v>6.7</v>
      </c>
      <c r="Z42">
        <v>3.3</v>
      </c>
      <c r="AA42">
        <v>5.4</v>
      </c>
      <c r="AB42">
        <f t="shared" si="0"/>
        <v>67.400000000000006</v>
      </c>
      <c r="AC42">
        <v>70.7</v>
      </c>
      <c r="AD42">
        <v>16</v>
      </c>
      <c r="AE42">
        <f t="shared" si="1"/>
        <v>2</v>
      </c>
      <c r="AF42">
        <v>1</v>
      </c>
      <c r="AG42">
        <v>1</v>
      </c>
      <c r="AH42">
        <v>0</v>
      </c>
      <c r="AI42">
        <v>0</v>
      </c>
      <c r="AJ42">
        <v>0.11764705882352941</v>
      </c>
      <c r="AK42">
        <v>7.6923076923076927E-2</v>
      </c>
      <c r="AL42">
        <v>7.6923076923076927E-2</v>
      </c>
      <c r="AM42">
        <v>0</v>
      </c>
      <c r="AN42">
        <v>0</v>
      </c>
    </row>
    <row r="43" spans="1:40" x14ac:dyDescent="0.25">
      <c r="A43">
        <v>2025</v>
      </c>
      <c r="B43" t="s">
        <v>19</v>
      </c>
      <c r="C43" t="str">
        <f>IF(COUNTIF('Rookies 22-25'!$B$198:$B$349,E43)&gt;0,"(R)","No")</f>
        <v>No</v>
      </c>
      <c r="D43">
        <v>42</v>
      </c>
      <c r="E43" t="s">
        <v>94</v>
      </c>
      <c r="F43" t="s">
        <v>95</v>
      </c>
      <c r="G43">
        <f>VLOOKUP(E43,'25 Draft ADP'!$B$3:$D$505,3,FALSE)</f>
        <v>453</v>
      </c>
      <c r="H43">
        <v>17</v>
      </c>
      <c r="I43">
        <v>1.2</v>
      </c>
      <c r="J43">
        <v>5</v>
      </c>
      <c r="K43">
        <v>3.6</v>
      </c>
      <c r="L43">
        <v>15.2</v>
      </c>
      <c r="M43">
        <v>1.7</v>
      </c>
      <c r="N43">
        <v>7.9</v>
      </c>
      <c r="O43">
        <v>1</v>
      </c>
      <c r="P43">
        <v>1.4</v>
      </c>
      <c r="Q43">
        <v>0</v>
      </c>
      <c r="R43">
        <v>0</v>
      </c>
      <c r="S43">
        <v>6.4</v>
      </c>
      <c r="T43">
        <v>0</v>
      </c>
      <c r="U43">
        <v>1.2</v>
      </c>
      <c r="V43" t="s">
        <v>22</v>
      </c>
      <c r="W43">
        <v>3.3</v>
      </c>
      <c r="X43">
        <v>1.6</v>
      </c>
      <c r="Y43">
        <v>1.6</v>
      </c>
      <c r="Z43">
        <v>12.8</v>
      </c>
      <c r="AA43">
        <v>3.8</v>
      </c>
      <c r="AB43">
        <f t="shared" si="0"/>
        <v>51.099999999999994</v>
      </c>
      <c r="AC43">
        <v>63.9</v>
      </c>
      <c r="AD43">
        <v>20</v>
      </c>
      <c r="AE43">
        <f t="shared" si="1"/>
        <v>1</v>
      </c>
      <c r="AF43">
        <v>1</v>
      </c>
      <c r="AG43">
        <v>0</v>
      </c>
      <c r="AH43">
        <v>0</v>
      </c>
      <c r="AI43">
        <v>0</v>
      </c>
      <c r="AJ43">
        <v>0.11764705882352941</v>
      </c>
      <c r="AK43">
        <v>5.8823529411764705E-2</v>
      </c>
      <c r="AL43">
        <v>0</v>
      </c>
      <c r="AM43">
        <v>0</v>
      </c>
      <c r="AN43">
        <v>0</v>
      </c>
    </row>
    <row r="44" spans="1:40" x14ac:dyDescent="0.25">
      <c r="A44">
        <v>2025</v>
      </c>
      <c r="B44" t="s">
        <v>19</v>
      </c>
      <c r="C44" t="str">
        <f>IF(COUNTIF('Rookies 22-25'!$B$198:$B$349,E44)&gt;0,"(R)","No")</f>
        <v>No</v>
      </c>
      <c r="D44">
        <v>43</v>
      </c>
      <c r="E44" t="s">
        <v>96</v>
      </c>
      <c r="F44" t="s">
        <v>84</v>
      </c>
      <c r="G44">
        <f>VLOOKUP(E44,'25 Draft ADP'!$B$3:$D$505,3,FALSE)</f>
        <v>415</v>
      </c>
      <c r="H44">
        <v>10</v>
      </c>
      <c r="I44" t="s">
        <v>33</v>
      </c>
      <c r="J44" t="s">
        <v>33</v>
      </c>
      <c r="K44" t="s">
        <v>33</v>
      </c>
      <c r="L44" t="s">
        <v>33</v>
      </c>
      <c r="M44" t="s">
        <v>33</v>
      </c>
      <c r="N44" t="s">
        <v>33</v>
      </c>
      <c r="O44" t="s">
        <v>33</v>
      </c>
      <c r="P44">
        <v>0</v>
      </c>
      <c r="Q44">
        <v>9.9</v>
      </c>
      <c r="R44">
        <v>3.2</v>
      </c>
      <c r="S44">
        <v>3.8</v>
      </c>
      <c r="T44" t="s">
        <v>22</v>
      </c>
      <c r="U44">
        <v>4.4000000000000004</v>
      </c>
      <c r="V44">
        <v>7.1</v>
      </c>
      <c r="W44">
        <v>6.6</v>
      </c>
      <c r="X44">
        <v>5.6</v>
      </c>
      <c r="Y44">
        <v>16.100000000000001</v>
      </c>
      <c r="Z44">
        <v>6.1</v>
      </c>
      <c r="AA44">
        <v>6.3</v>
      </c>
      <c r="AB44">
        <f t="shared" si="0"/>
        <v>56.699999999999996</v>
      </c>
      <c r="AC44">
        <v>62.8</v>
      </c>
      <c r="AD44">
        <v>20</v>
      </c>
      <c r="AE44">
        <f t="shared" si="1"/>
        <v>1</v>
      </c>
      <c r="AF44">
        <v>1</v>
      </c>
      <c r="AG44">
        <v>0</v>
      </c>
      <c r="AH44">
        <v>0</v>
      </c>
      <c r="AI44">
        <v>0</v>
      </c>
      <c r="AJ44">
        <v>5.8823529411764705E-2</v>
      </c>
      <c r="AK44">
        <v>0.1</v>
      </c>
      <c r="AL44">
        <v>0</v>
      </c>
      <c r="AM44">
        <v>0</v>
      </c>
      <c r="AN44">
        <v>0</v>
      </c>
    </row>
    <row r="45" spans="1:40" x14ac:dyDescent="0.25">
      <c r="A45">
        <v>2025</v>
      </c>
      <c r="B45" t="s">
        <v>19</v>
      </c>
      <c r="C45" t="str">
        <f>IF(COUNTIF('Rookies 22-25'!$B$198:$B$349,E45)&gt;0,"(R)","No")</f>
        <v>No</v>
      </c>
      <c r="D45">
        <v>43</v>
      </c>
      <c r="E45" t="s">
        <v>97</v>
      </c>
      <c r="F45" t="s">
        <v>55</v>
      </c>
      <c r="G45">
        <v>300</v>
      </c>
      <c r="H45">
        <v>17</v>
      </c>
      <c r="I45">
        <v>8.3000000000000007</v>
      </c>
      <c r="J45">
        <v>7.8</v>
      </c>
      <c r="K45">
        <v>1.3</v>
      </c>
      <c r="L45">
        <v>1</v>
      </c>
      <c r="M45">
        <v>4.4000000000000004</v>
      </c>
      <c r="N45">
        <v>1.7</v>
      </c>
      <c r="O45">
        <v>1.4</v>
      </c>
      <c r="P45" t="s">
        <v>22</v>
      </c>
      <c r="Q45">
        <v>6.7</v>
      </c>
      <c r="R45">
        <v>8.8000000000000007</v>
      </c>
      <c r="S45">
        <v>0</v>
      </c>
      <c r="T45">
        <v>5.9</v>
      </c>
      <c r="U45">
        <v>1.4</v>
      </c>
      <c r="V45">
        <v>4.0999999999999996</v>
      </c>
      <c r="W45">
        <v>4.5999999999999996</v>
      </c>
      <c r="X45">
        <v>5.4</v>
      </c>
      <c r="Y45">
        <v>0</v>
      </c>
      <c r="Z45">
        <v>0</v>
      </c>
      <c r="AA45">
        <v>3.7</v>
      </c>
      <c r="AB45">
        <f t="shared" si="0"/>
        <v>62.8</v>
      </c>
      <c r="AC45">
        <v>62.8</v>
      </c>
      <c r="AD45">
        <v>20</v>
      </c>
      <c r="AE45">
        <f t="shared" si="1"/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</row>
    <row r="46" spans="1:40" x14ac:dyDescent="0.25">
      <c r="A46">
        <v>2025</v>
      </c>
      <c r="B46" t="s">
        <v>19</v>
      </c>
      <c r="C46" t="str">
        <f>IF(COUNTIF('Rookies 22-25'!$B$198:$B$349,E46)&gt;0,"(R)","No")</f>
        <v>No</v>
      </c>
      <c r="D46">
        <v>45</v>
      </c>
      <c r="E46" t="s">
        <v>98</v>
      </c>
      <c r="F46" t="s">
        <v>53</v>
      </c>
      <c r="G46">
        <f>VLOOKUP(E46,'25 Draft ADP'!$B$3:$D$505,3,FALSE)</f>
        <v>173</v>
      </c>
      <c r="H46">
        <v>14</v>
      </c>
      <c r="I46" t="s">
        <v>33</v>
      </c>
      <c r="J46" t="s">
        <v>33</v>
      </c>
      <c r="K46" t="s">
        <v>33</v>
      </c>
      <c r="L46">
        <v>0</v>
      </c>
      <c r="M46">
        <v>2.2000000000000002</v>
      </c>
      <c r="N46">
        <v>2.6</v>
      </c>
      <c r="O46" t="s">
        <v>22</v>
      </c>
      <c r="P46">
        <v>2.8</v>
      </c>
      <c r="Q46">
        <v>9</v>
      </c>
      <c r="R46">
        <v>3.7</v>
      </c>
      <c r="S46">
        <v>3.5</v>
      </c>
      <c r="T46">
        <v>2</v>
      </c>
      <c r="U46">
        <v>12.5</v>
      </c>
      <c r="V46">
        <v>12.5</v>
      </c>
      <c r="W46">
        <v>0</v>
      </c>
      <c r="X46">
        <v>0</v>
      </c>
      <c r="Y46">
        <v>5.7</v>
      </c>
      <c r="Z46">
        <v>5.2</v>
      </c>
      <c r="AA46">
        <v>4.4000000000000004</v>
      </c>
      <c r="AB46">
        <f t="shared" si="0"/>
        <v>56.5</v>
      </c>
      <c r="AC46">
        <v>61.7</v>
      </c>
      <c r="AD46">
        <v>15</v>
      </c>
      <c r="AE46">
        <f t="shared" si="1"/>
        <v>2</v>
      </c>
      <c r="AF46">
        <v>0</v>
      </c>
      <c r="AG46">
        <v>0</v>
      </c>
      <c r="AH46">
        <v>0</v>
      </c>
      <c r="AI46">
        <v>0</v>
      </c>
      <c r="AJ46">
        <v>0.11764705882352941</v>
      </c>
      <c r="AK46">
        <v>0</v>
      </c>
      <c r="AL46">
        <v>0</v>
      </c>
      <c r="AM46">
        <v>0</v>
      </c>
      <c r="AN46">
        <v>0</v>
      </c>
    </row>
    <row r="47" spans="1:40" x14ac:dyDescent="0.25">
      <c r="A47">
        <v>2025</v>
      </c>
      <c r="B47" t="s">
        <v>99</v>
      </c>
      <c r="C47" t="str">
        <f>IF(COUNTIF('Rookies 22-25'!$B$198:$B$349,E47)&gt;0,"(R)","No")</f>
        <v>No</v>
      </c>
      <c r="D47">
        <v>1</v>
      </c>
      <c r="E47" t="s">
        <v>100</v>
      </c>
      <c r="F47" t="s">
        <v>55</v>
      </c>
      <c r="G47">
        <f>VLOOKUP(E47,'25 Draft ADP'!$B$3:$D$505,3,FALSE)</f>
        <v>14</v>
      </c>
      <c r="H47">
        <v>16</v>
      </c>
      <c r="I47">
        <v>23.1</v>
      </c>
      <c r="J47">
        <v>27.6</v>
      </c>
      <c r="K47">
        <v>22.8</v>
      </c>
      <c r="L47">
        <v>36</v>
      </c>
      <c r="M47">
        <v>24.5</v>
      </c>
      <c r="N47">
        <v>4.8</v>
      </c>
      <c r="O47" t="s">
        <v>33</v>
      </c>
      <c r="P47" t="s">
        <v>22</v>
      </c>
      <c r="Q47">
        <v>22.8</v>
      </c>
      <c r="R47">
        <v>17.399999999999999</v>
      </c>
      <c r="S47">
        <v>14.3</v>
      </c>
      <c r="T47">
        <v>16.7</v>
      </c>
      <c r="U47">
        <v>13.2</v>
      </c>
      <c r="V47">
        <v>35.700000000000003</v>
      </c>
      <c r="W47">
        <v>27.9</v>
      </c>
      <c r="X47">
        <v>46.5</v>
      </c>
      <c r="Y47">
        <v>15.7</v>
      </c>
      <c r="Z47">
        <v>26</v>
      </c>
      <c r="AA47">
        <v>23.4</v>
      </c>
      <c r="AB47">
        <f t="shared" si="0"/>
        <v>349</v>
      </c>
      <c r="AC47">
        <v>375</v>
      </c>
      <c r="AD47">
        <v>2</v>
      </c>
      <c r="AE47">
        <f t="shared" si="1"/>
        <v>14</v>
      </c>
      <c r="AF47">
        <v>13</v>
      </c>
      <c r="AG47">
        <v>10</v>
      </c>
      <c r="AH47">
        <v>6</v>
      </c>
      <c r="AI47">
        <v>3</v>
      </c>
      <c r="AJ47">
        <v>0.88235294117647056</v>
      </c>
      <c r="AK47">
        <v>0.8125</v>
      </c>
      <c r="AL47">
        <v>0.625</v>
      </c>
      <c r="AM47">
        <v>0.375</v>
      </c>
      <c r="AN47">
        <v>0.1875</v>
      </c>
    </row>
    <row r="48" spans="1:40" x14ac:dyDescent="0.25">
      <c r="A48">
        <v>2025</v>
      </c>
      <c r="B48" t="s">
        <v>99</v>
      </c>
      <c r="C48" t="str">
        <f>IF(COUNTIF('Rookies 22-25'!$B$198:$B$349,E48)&gt;0,"(R)","No")</f>
        <v>No</v>
      </c>
      <c r="D48">
        <v>2</v>
      </c>
      <c r="E48" t="s">
        <v>101</v>
      </c>
      <c r="F48" t="s">
        <v>49</v>
      </c>
      <c r="G48">
        <f>VLOOKUP(E48,'25 Draft ADP'!$B$3:$D$505,3,FALSE)</f>
        <v>30</v>
      </c>
      <c r="H48">
        <v>17</v>
      </c>
      <c r="I48">
        <v>19.399999999999999</v>
      </c>
      <c r="J48">
        <v>18.3</v>
      </c>
      <c r="K48">
        <v>20.6</v>
      </c>
      <c r="L48">
        <v>13</v>
      </c>
      <c r="M48">
        <v>27.2</v>
      </c>
      <c r="N48">
        <v>30.2</v>
      </c>
      <c r="O48">
        <v>26.3</v>
      </c>
      <c r="P48" t="s">
        <v>22</v>
      </c>
      <c r="Q48">
        <v>22</v>
      </c>
      <c r="R48">
        <v>20.3</v>
      </c>
      <c r="S48">
        <v>20.6</v>
      </c>
      <c r="T48">
        <v>37.1</v>
      </c>
      <c r="U48">
        <v>4.3</v>
      </c>
      <c r="V48">
        <v>28.1</v>
      </c>
      <c r="W48">
        <v>18.3</v>
      </c>
      <c r="X48">
        <v>23.6</v>
      </c>
      <c r="Y48">
        <v>16.2</v>
      </c>
      <c r="Z48">
        <v>14.4</v>
      </c>
      <c r="AA48">
        <v>21.2</v>
      </c>
      <c r="AB48">
        <f t="shared" si="0"/>
        <v>345.5</v>
      </c>
      <c r="AC48">
        <v>359.9</v>
      </c>
      <c r="AD48">
        <v>3</v>
      </c>
      <c r="AE48">
        <f t="shared" si="1"/>
        <v>15</v>
      </c>
      <c r="AF48">
        <v>14</v>
      </c>
      <c r="AG48">
        <v>10</v>
      </c>
      <c r="AH48">
        <v>5</v>
      </c>
      <c r="AI48">
        <v>2</v>
      </c>
      <c r="AJ48">
        <v>0.94117647058823528</v>
      </c>
      <c r="AK48">
        <v>0.82352941176470584</v>
      </c>
      <c r="AL48">
        <v>0.58823529411764708</v>
      </c>
      <c r="AM48">
        <v>0.29411764705882354</v>
      </c>
      <c r="AN48">
        <v>0.11764705882352941</v>
      </c>
    </row>
    <row r="49" spans="1:40" x14ac:dyDescent="0.25">
      <c r="A49">
        <v>2025</v>
      </c>
      <c r="B49" t="s">
        <v>99</v>
      </c>
      <c r="C49" t="str">
        <f>IF(COUNTIF('Rookies 22-25'!$B$198:$B$349,E49)&gt;0,"(R)","No")</f>
        <v>No</v>
      </c>
      <c r="D49">
        <v>3</v>
      </c>
      <c r="E49" t="s">
        <v>102</v>
      </c>
      <c r="F49" t="s">
        <v>75</v>
      </c>
      <c r="G49">
        <f>VLOOKUP(E49,'25 Draft ADP'!$B$3:$D$505,3,FALSE)</f>
        <v>9</v>
      </c>
      <c r="H49">
        <v>17</v>
      </c>
      <c r="I49">
        <v>8.5</v>
      </c>
      <c r="J49">
        <v>39.200000000000003</v>
      </c>
      <c r="K49">
        <v>20.7</v>
      </c>
      <c r="L49">
        <v>26</v>
      </c>
      <c r="M49">
        <v>18</v>
      </c>
      <c r="N49">
        <v>13.7</v>
      </c>
      <c r="O49">
        <v>20.6</v>
      </c>
      <c r="P49" t="s">
        <v>22</v>
      </c>
      <c r="Q49">
        <v>18.7</v>
      </c>
      <c r="R49">
        <v>16.8</v>
      </c>
      <c r="S49">
        <v>6.2</v>
      </c>
      <c r="T49">
        <v>29.9</v>
      </c>
      <c r="U49">
        <v>0</v>
      </c>
      <c r="V49">
        <v>15.2</v>
      </c>
      <c r="W49">
        <v>41.4</v>
      </c>
      <c r="X49">
        <v>9.4</v>
      </c>
      <c r="Y49">
        <v>14.8</v>
      </c>
      <c r="Z49">
        <v>24.9</v>
      </c>
      <c r="AA49">
        <v>19.100000000000001</v>
      </c>
      <c r="AB49">
        <f t="shared" si="0"/>
        <v>299.10000000000002</v>
      </c>
      <c r="AC49">
        <v>324</v>
      </c>
      <c r="AD49">
        <v>1</v>
      </c>
      <c r="AE49">
        <f t="shared" si="1"/>
        <v>12</v>
      </c>
      <c r="AF49">
        <v>11</v>
      </c>
      <c r="AG49">
        <v>7</v>
      </c>
      <c r="AH49">
        <v>4</v>
      </c>
      <c r="AI49">
        <v>2</v>
      </c>
      <c r="AJ49">
        <v>0.76470588235294112</v>
      </c>
      <c r="AK49">
        <v>0.6470588235294118</v>
      </c>
      <c r="AL49">
        <v>0.41176470588235292</v>
      </c>
      <c r="AM49">
        <v>0.23529411764705882</v>
      </c>
      <c r="AN49">
        <v>0.11764705882352941</v>
      </c>
    </row>
    <row r="50" spans="1:40" x14ac:dyDescent="0.25">
      <c r="A50">
        <v>2025</v>
      </c>
      <c r="B50" t="s">
        <v>99</v>
      </c>
      <c r="C50" t="str">
        <f>IF(COUNTIF('Rookies 22-25'!$B$198:$B$349,E50)&gt;0,"(R)","No")</f>
        <v>No</v>
      </c>
      <c r="D50">
        <v>4</v>
      </c>
      <c r="E50" t="s">
        <v>103</v>
      </c>
      <c r="F50" t="s">
        <v>89</v>
      </c>
      <c r="G50">
        <f>VLOOKUP(E50,'25 Draft ADP'!$B$3:$D$505,3,FALSE)</f>
        <v>1</v>
      </c>
      <c r="H50">
        <v>16</v>
      </c>
      <c r="I50">
        <v>4.5999999999999996</v>
      </c>
      <c r="J50">
        <v>36.5</v>
      </c>
      <c r="K50">
        <v>8.9</v>
      </c>
      <c r="L50">
        <v>7.3</v>
      </c>
      <c r="M50">
        <v>29</v>
      </c>
      <c r="N50">
        <v>25.1</v>
      </c>
      <c r="O50">
        <v>38.1</v>
      </c>
      <c r="P50">
        <v>21.1</v>
      </c>
      <c r="Q50">
        <v>17.100000000000001</v>
      </c>
      <c r="R50" t="s">
        <v>22</v>
      </c>
      <c r="S50">
        <v>6</v>
      </c>
      <c r="T50" t="s">
        <v>33</v>
      </c>
      <c r="U50">
        <v>18</v>
      </c>
      <c r="V50">
        <v>10.199999999999999</v>
      </c>
      <c r="W50">
        <v>23.2</v>
      </c>
      <c r="X50">
        <v>19.899999999999999</v>
      </c>
      <c r="Y50">
        <v>25</v>
      </c>
      <c r="Z50">
        <v>23.6</v>
      </c>
      <c r="AA50">
        <v>19.600000000000001</v>
      </c>
      <c r="AB50">
        <f t="shared" si="0"/>
        <v>290</v>
      </c>
      <c r="AC50">
        <v>313.60000000000002</v>
      </c>
      <c r="AD50">
        <v>1</v>
      </c>
      <c r="AE50">
        <f t="shared" si="1"/>
        <v>11</v>
      </c>
      <c r="AF50">
        <v>11</v>
      </c>
      <c r="AG50">
        <v>8</v>
      </c>
      <c r="AH50">
        <v>4</v>
      </c>
      <c r="AI50">
        <v>2</v>
      </c>
      <c r="AJ50">
        <v>0.70588235294117652</v>
      </c>
      <c r="AK50">
        <v>0.6875</v>
      </c>
      <c r="AL50">
        <v>0.5</v>
      </c>
      <c r="AM50">
        <v>0.25</v>
      </c>
      <c r="AN50">
        <v>0.125</v>
      </c>
    </row>
    <row r="51" spans="1:40" x14ac:dyDescent="0.25">
      <c r="A51">
        <v>2025</v>
      </c>
      <c r="B51" t="s">
        <v>99</v>
      </c>
      <c r="C51" t="str">
        <f>IF(COUNTIF('Rookies 22-25'!$B$198:$B$349,E51)&gt;0,"(R)","No")</f>
        <v>No</v>
      </c>
      <c r="D51">
        <v>5</v>
      </c>
      <c r="E51" t="s">
        <v>104</v>
      </c>
      <c r="F51" t="s">
        <v>30</v>
      </c>
      <c r="G51">
        <f>VLOOKUP(E51,'25 Draft ADP'!$B$3:$D$505,3,FALSE)</f>
        <v>52</v>
      </c>
      <c r="H51">
        <v>17</v>
      </c>
      <c r="I51">
        <v>6</v>
      </c>
      <c r="J51">
        <v>17.8</v>
      </c>
      <c r="K51">
        <v>17.8</v>
      </c>
      <c r="L51">
        <v>33.4</v>
      </c>
      <c r="M51">
        <v>13.7</v>
      </c>
      <c r="N51">
        <v>31.8</v>
      </c>
      <c r="O51">
        <v>12.2</v>
      </c>
      <c r="P51">
        <v>14.8</v>
      </c>
      <c r="Q51">
        <v>13.9</v>
      </c>
      <c r="R51" t="s">
        <v>22</v>
      </c>
      <c r="S51">
        <v>29.4</v>
      </c>
      <c r="T51">
        <v>29.6</v>
      </c>
      <c r="U51">
        <v>16.8</v>
      </c>
      <c r="V51">
        <v>8.6999999999999993</v>
      </c>
      <c r="W51">
        <v>6.3</v>
      </c>
      <c r="X51">
        <v>26</v>
      </c>
      <c r="Y51">
        <v>11.8</v>
      </c>
      <c r="Z51">
        <v>1.9</v>
      </c>
      <c r="AA51">
        <v>17.2</v>
      </c>
      <c r="AB51">
        <f t="shared" si="0"/>
        <v>290</v>
      </c>
      <c r="AC51">
        <v>291.89999999999998</v>
      </c>
      <c r="AD51">
        <v>4</v>
      </c>
      <c r="AE51">
        <f t="shared" si="1"/>
        <v>13</v>
      </c>
      <c r="AF51">
        <v>8</v>
      </c>
      <c r="AG51">
        <v>5</v>
      </c>
      <c r="AH51">
        <v>5</v>
      </c>
      <c r="AI51">
        <v>2</v>
      </c>
      <c r="AJ51">
        <v>0.76470588235294112</v>
      </c>
      <c r="AK51">
        <v>0.47058823529411764</v>
      </c>
      <c r="AL51">
        <v>0.29411764705882354</v>
      </c>
      <c r="AM51">
        <v>0.29411764705882354</v>
      </c>
      <c r="AN51">
        <v>0.11764705882352941</v>
      </c>
    </row>
    <row r="52" spans="1:40" x14ac:dyDescent="0.25">
      <c r="A52">
        <v>2025</v>
      </c>
      <c r="B52" t="s">
        <v>99</v>
      </c>
      <c r="C52" t="str">
        <f>IF(COUNTIF('Rookies 22-25'!$B$198:$B$349,E52)&gt;0,"(R)","No")</f>
        <v>No</v>
      </c>
      <c r="D52">
        <v>6</v>
      </c>
      <c r="E52" t="s">
        <v>105</v>
      </c>
      <c r="F52" t="s">
        <v>37</v>
      </c>
      <c r="G52">
        <f>VLOOKUP(E52,'25 Draft ADP'!$B$3:$D$505,3,FALSE)</f>
        <v>75</v>
      </c>
      <c r="H52">
        <v>16</v>
      </c>
      <c r="I52">
        <v>12.4</v>
      </c>
      <c r="J52">
        <v>11.4</v>
      </c>
      <c r="K52">
        <v>15.7</v>
      </c>
      <c r="L52">
        <v>10</v>
      </c>
      <c r="M52">
        <v>12.9</v>
      </c>
      <c r="N52">
        <v>15.8</v>
      </c>
      <c r="O52">
        <v>26.8</v>
      </c>
      <c r="P52">
        <v>14</v>
      </c>
      <c r="Q52">
        <v>8.6999999999999993</v>
      </c>
      <c r="R52">
        <v>21.4</v>
      </c>
      <c r="S52" t="s">
        <v>22</v>
      </c>
      <c r="T52">
        <v>16</v>
      </c>
      <c r="U52">
        <v>14.7</v>
      </c>
      <c r="V52">
        <v>6</v>
      </c>
      <c r="W52">
        <v>20.5</v>
      </c>
      <c r="X52">
        <v>36.799999999999997</v>
      </c>
      <c r="Y52">
        <v>25.9</v>
      </c>
      <c r="Z52">
        <v>0</v>
      </c>
      <c r="AA52">
        <v>16.8</v>
      </c>
      <c r="AB52">
        <f t="shared" si="0"/>
        <v>269</v>
      </c>
      <c r="AC52">
        <v>269</v>
      </c>
      <c r="AD52">
        <v>7</v>
      </c>
      <c r="AE52">
        <f t="shared" si="1"/>
        <v>13</v>
      </c>
      <c r="AF52">
        <v>8</v>
      </c>
      <c r="AG52">
        <v>5</v>
      </c>
      <c r="AH52">
        <v>3</v>
      </c>
      <c r="AI52">
        <v>1</v>
      </c>
      <c r="AJ52">
        <v>0.76470588235294112</v>
      </c>
      <c r="AK52">
        <v>0.5</v>
      </c>
      <c r="AL52">
        <v>0.3125</v>
      </c>
      <c r="AM52">
        <v>0.1875</v>
      </c>
      <c r="AN52">
        <v>6.25E-2</v>
      </c>
    </row>
    <row r="53" spans="1:40" x14ac:dyDescent="0.25">
      <c r="A53">
        <v>2025</v>
      </c>
      <c r="B53" t="s">
        <v>99</v>
      </c>
      <c r="C53" t="str">
        <f>IF(COUNTIF('Rookies 22-25'!$B$198:$B$349,E53)&gt;0,"(R)","No")</f>
        <v>No</v>
      </c>
      <c r="D53">
        <v>7</v>
      </c>
      <c r="E53" t="s">
        <v>106</v>
      </c>
      <c r="F53" t="s">
        <v>53</v>
      </c>
      <c r="G53">
        <f>VLOOKUP(E53,'25 Draft ADP'!$B$3:$D$505,3,FALSE)</f>
        <v>60</v>
      </c>
      <c r="H53">
        <v>17</v>
      </c>
      <c r="I53">
        <v>28.1</v>
      </c>
      <c r="J53">
        <v>14.9</v>
      </c>
      <c r="K53">
        <v>3.3</v>
      </c>
      <c r="L53">
        <v>14.4</v>
      </c>
      <c r="M53">
        <v>12.2</v>
      </c>
      <c r="N53">
        <v>8.6</v>
      </c>
      <c r="O53" t="s">
        <v>22</v>
      </c>
      <c r="P53">
        <v>14.1</v>
      </c>
      <c r="Q53">
        <v>11.4</v>
      </c>
      <c r="R53">
        <v>12.1</v>
      </c>
      <c r="S53">
        <v>11.3</v>
      </c>
      <c r="T53">
        <v>11.9</v>
      </c>
      <c r="U53">
        <v>0.6</v>
      </c>
      <c r="V53">
        <v>20.6</v>
      </c>
      <c r="W53">
        <v>15.8</v>
      </c>
      <c r="X53">
        <v>21.2</v>
      </c>
      <c r="Y53">
        <v>13</v>
      </c>
      <c r="Z53">
        <v>29.8</v>
      </c>
      <c r="AA53">
        <v>14.3</v>
      </c>
      <c r="AB53">
        <f t="shared" si="0"/>
        <v>213.5</v>
      </c>
      <c r="AC53">
        <v>243.3</v>
      </c>
      <c r="AD53">
        <v>6</v>
      </c>
      <c r="AE53">
        <f t="shared" si="1"/>
        <v>13</v>
      </c>
      <c r="AF53">
        <v>5</v>
      </c>
      <c r="AG53">
        <v>4</v>
      </c>
      <c r="AH53">
        <v>2</v>
      </c>
      <c r="AI53">
        <v>0</v>
      </c>
      <c r="AJ53">
        <v>0.82352941176470584</v>
      </c>
      <c r="AK53">
        <v>0.29411764705882354</v>
      </c>
      <c r="AL53">
        <v>0.23529411764705882</v>
      </c>
      <c r="AM53">
        <v>0.11764705882352941</v>
      </c>
      <c r="AN53">
        <v>0</v>
      </c>
    </row>
    <row r="54" spans="1:40" x14ac:dyDescent="0.25">
      <c r="A54">
        <v>2025</v>
      </c>
      <c r="B54" t="s">
        <v>99</v>
      </c>
      <c r="C54" t="str">
        <f>IF(COUNTIF('Rookies 22-25'!$B$198:$B$349,E54)&gt;0,"(R)","No")</f>
        <v>No</v>
      </c>
      <c r="D54">
        <v>8</v>
      </c>
      <c r="E54" t="s">
        <v>107</v>
      </c>
      <c r="F54" t="s">
        <v>41</v>
      </c>
      <c r="G54">
        <f>VLOOKUP(E54,'25 Draft ADP'!$B$3:$D$505,3,FALSE)</f>
        <v>8</v>
      </c>
      <c r="H54">
        <v>15</v>
      </c>
      <c r="I54">
        <v>5.5</v>
      </c>
      <c r="J54">
        <v>14.2</v>
      </c>
      <c r="K54">
        <v>22.4</v>
      </c>
      <c r="L54">
        <v>11.9</v>
      </c>
      <c r="M54">
        <v>16</v>
      </c>
      <c r="N54" t="s">
        <v>22</v>
      </c>
      <c r="O54">
        <v>6.7</v>
      </c>
      <c r="P54" t="s">
        <v>33</v>
      </c>
      <c r="Q54">
        <v>14.5</v>
      </c>
      <c r="R54">
        <v>22.6</v>
      </c>
      <c r="S54">
        <v>24.2</v>
      </c>
      <c r="T54">
        <v>8.5</v>
      </c>
      <c r="U54">
        <v>21.5</v>
      </c>
      <c r="V54">
        <v>16.100000000000001</v>
      </c>
      <c r="W54">
        <v>23.5</v>
      </c>
      <c r="X54">
        <v>9.9</v>
      </c>
      <c r="Y54">
        <v>8.6999999999999993</v>
      </c>
      <c r="Z54">
        <v>0</v>
      </c>
      <c r="AA54">
        <v>15.1</v>
      </c>
      <c r="AB54">
        <f t="shared" si="0"/>
        <v>226.2</v>
      </c>
      <c r="AC54">
        <v>226.2</v>
      </c>
      <c r="AD54">
        <v>1</v>
      </c>
      <c r="AE54">
        <f t="shared" si="1"/>
        <v>10</v>
      </c>
      <c r="AF54">
        <v>7</v>
      </c>
      <c r="AG54">
        <v>5</v>
      </c>
      <c r="AH54">
        <v>0</v>
      </c>
      <c r="AI54">
        <v>0</v>
      </c>
      <c r="AJ54">
        <v>0.58823529411764708</v>
      </c>
      <c r="AK54">
        <v>0.46666666666666667</v>
      </c>
      <c r="AL54">
        <v>0.33333333333333331</v>
      </c>
      <c r="AM54">
        <v>0</v>
      </c>
      <c r="AN54">
        <v>0</v>
      </c>
    </row>
    <row r="55" spans="1:40" x14ac:dyDescent="0.25">
      <c r="A55">
        <v>2025</v>
      </c>
      <c r="B55" t="s">
        <v>99</v>
      </c>
      <c r="C55" t="str">
        <f>IF(COUNTIF('Rookies 22-25'!$B$198:$B$349,E55)&gt;0,"(R)","No")</f>
        <v>No</v>
      </c>
      <c r="D55">
        <v>9</v>
      </c>
      <c r="E55" t="s">
        <v>108</v>
      </c>
      <c r="F55" t="s">
        <v>55</v>
      </c>
      <c r="G55">
        <f>VLOOKUP(E55,'25 Draft ADP'!$B$3:$D$505,3,FALSE)</f>
        <v>40</v>
      </c>
      <c r="H55">
        <v>14</v>
      </c>
      <c r="I55">
        <v>9.1</v>
      </c>
      <c r="J55">
        <v>22.6</v>
      </c>
      <c r="K55">
        <v>14.6</v>
      </c>
      <c r="L55">
        <v>15.6</v>
      </c>
      <c r="M55">
        <v>13.8</v>
      </c>
      <c r="N55">
        <v>7.9</v>
      </c>
      <c r="O55">
        <v>26.5</v>
      </c>
      <c r="P55" t="s">
        <v>22</v>
      </c>
      <c r="Q55">
        <v>23</v>
      </c>
      <c r="R55">
        <v>19.7</v>
      </c>
      <c r="S55">
        <v>7.1</v>
      </c>
      <c r="T55">
        <v>23.2</v>
      </c>
      <c r="U55">
        <v>21.8</v>
      </c>
      <c r="V55">
        <v>6.9</v>
      </c>
      <c r="W55">
        <v>11.1</v>
      </c>
      <c r="X55" t="s">
        <v>33</v>
      </c>
      <c r="Y55" t="s">
        <v>33</v>
      </c>
      <c r="Z55">
        <v>0</v>
      </c>
      <c r="AA55">
        <v>15.9</v>
      </c>
      <c r="AB55">
        <f t="shared" si="0"/>
        <v>222.9</v>
      </c>
      <c r="AC55">
        <v>222.9</v>
      </c>
      <c r="AD55">
        <v>4</v>
      </c>
      <c r="AE55">
        <f t="shared" si="1"/>
        <v>10</v>
      </c>
      <c r="AF55">
        <v>7</v>
      </c>
      <c r="AG55">
        <v>5</v>
      </c>
      <c r="AH55">
        <v>1</v>
      </c>
      <c r="AI55">
        <v>0</v>
      </c>
      <c r="AJ55">
        <v>0.58823529411764708</v>
      </c>
      <c r="AK55">
        <v>0.5</v>
      </c>
      <c r="AL55">
        <v>0.35714285714285715</v>
      </c>
      <c r="AM55">
        <v>7.1428571428571425E-2</v>
      </c>
      <c r="AN55">
        <v>0</v>
      </c>
    </row>
    <row r="56" spans="1:40" x14ac:dyDescent="0.25">
      <c r="A56">
        <v>2025</v>
      </c>
      <c r="B56" t="s">
        <v>99</v>
      </c>
      <c r="C56" t="str">
        <f>IF(COUNTIF('Rookies 22-25'!$B$198:$B$349,E56)&gt;0,"(R)","No")</f>
        <v>No</v>
      </c>
      <c r="D56">
        <v>10</v>
      </c>
      <c r="E56" t="s">
        <v>109</v>
      </c>
      <c r="F56" t="s">
        <v>21</v>
      </c>
      <c r="G56">
        <f>VLOOKUP(E56,'25 Draft ADP'!$B$3:$D$505,3,FALSE)</f>
        <v>205</v>
      </c>
      <c r="H56">
        <v>17</v>
      </c>
      <c r="I56">
        <v>1.5</v>
      </c>
      <c r="J56">
        <v>8.1</v>
      </c>
      <c r="K56">
        <v>1.5</v>
      </c>
      <c r="L56">
        <v>4.5</v>
      </c>
      <c r="M56">
        <v>3.6</v>
      </c>
      <c r="N56">
        <v>8.4</v>
      </c>
      <c r="O56">
        <v>7</v>
      </c>
      <c r="P56" t="s">
        <v>22</v>
      </c>
      <c r="Q56">
        <v>9.1</v>
      </c>
      <c r="R56">
        <v>7.4</v>
      </c>
      <c r="S56">
        <v>33.5</v>
      </c>
      <c r="T56">
        <v>21.8</v>
      </c>
      <c r="U56">
        <v>6.6</v>
      </c>
      <c r="V56">
        <v>37.200000000000003</v>
      </c>
      <c r="W56">
        <v>16.399999999999999</v>
      </c>
      <c r="X56">
        <v>13.2</v>
      </c>
      <c r="Y56">
        <v>19.899999999999999</v>
      </c>
      <c r="Z56">
        <v>20.9</v>
      </c>
      <c r="AA56">
        <v>13</v>
      </c>
      <c r="AB56">
        <f t="shared" si="0"/>
        <v>199.7</v>
      </c>
      <c r="AC56">
        <v>220.6</v>
      </c>
      <c r="AD56">
        <v>18</v>
      </c>
      <c r="AE56">
        <f t="shared" si="1"/>
        <v>6</v>
      </c>
      <c r="AF56">
        <v>6</v>
      </c>
      <c r="AG56">
        <v>4</v>
      </c>
      <c r="AH56">
        <v>2</v>
      </c>
      <c r="AI56">
        <v>2</v>
      </c>
      <c r="AJ56">
        <v>0.41176470588235292</v>
      </c>
      <c r="AK56">
        <v>0.35294117647058826</v>
      </c>
      <c r="AL56">
        <v>0.23529411764705882</v>
      </c>
      <c r="AM56">
        <v>0.11764705882352941</v>
      </c>
      <c r="AN56">
        <v>0.11764705882352941</v>
      </c>
    </row>
    <row r="57" spans="1:40" x14ac:dyDescent="0.25">
      <c r="A57">
        <v>2025</v>
      </c>
      <c r="B57" t="s">
        <v>99</v>
      </c>
      <c r="C57" t="str">
        <f>IF(COUNTIF('Rookies 22-25'!$B$198:$B$349,E57)&gt;0,"(R)","No")</f>
        <v>No</v>
      </c>
      <c r="D57">
        <v>11</v>
      </c>
      <c r="E57" t="s">
        <v>110</v>
      </c>
      <c r="F57" t="s">
        <v>35</v>
      </c>
      <c r="G57">
        <f>VLOOKUP(E57,'25 Draft ADP'!$B$3:$D$505,3,FALSE)</f>
        <v>22</v>
      </c>
      <c r="H57">
        <v>15</v>
      </c>
      <c r="I57">
        <v>1.8</v>
      </c>
      <c r="J57">
        <v>7.7</v>
      </c>
      <c r="K57">
        <v>22.9</v>
      </c>
      <c r="L57">
        <v>2.7</v>
      </c>
      <c r="M57">
        <v>9.3000000000000007</v>
      </c>
      <c r="N57">
        <v>14</v>
      </c>
      <c r="O57">
        <v>28.1</v>
      </c>
      <c r="P57" t="s">
        <v>33</v>
      </c>
      <c r="Q57" t="s">
        <v>22</v>
      </c>
      <c r="R57">
        <v>3.3</v>
      </c>
      <c r="S57">
        <v>11.9</v>
      </c>
      <c r="T57">
        <v>25</v>
      </c>
      <c r="U57">
        <v>35.200000000000003</v>
      </c>
      <c r="V57">
        <v>16</v>
      </c>
      <c r="W57">
        <v>12.1</v>
      </c>
      <c r="X57">
        <v>18.5</v>
      </c>
      <c r="Y57">
        <v>11.8</v>
      </c>
      <c r="Z57">
        <v>0</v>
      </c>
      <c r="AA57">
        <v>14.7</v>
      </c>
      <c r="AB57">
        <f t="shared" si="0"/>
        <v>220.3</v>
      </c>
      <c r="AC57">
        <v>220.3</v>
      </c>
      <c r="AD57">
        <v>2</v>
      </c>
      <c r="AE57">
        <f t="shared" si="1"/>
        <v>10</v>
      </c>
      <c r="AF57">
        <v>6</v>
      </c>
      <c r="AG57">
        <v>4</v>
      </c>
      <c r="AH57">
        <v>2</v>
      </c>
      <c r="AI57">
        <v>1</v>
      </c>
      <c r="AJ57">
        <v>0.58823529411764708</v>
      </c>
      <c r="AK57">
        <v>0.4</v>
      </c>
      <c r="AL57">
        <v>0.26666666666666666</v>
      </c>
      <c r="AM57">
        <v>0.13333333333333333</v>
      </c>
      <c r="AN57">
        <v>6.6666666666666666E-2</v>
      </c>
    </row>
    <row r="58" spans="1:40" x14ac:dyDescent="0.25">
      <c r="A58">
        <v>2025</v>
      </c>
      <c r="B58" t="s">
        <v>99</v>
      </c>
      <c r="C58" t="str">
        <f>IF(COUNTIF('Rookies 22-25'!$B$198:$B$349,E58)&gt;0,"(R)","No")</f>
        <v>No</v>
      </c>
      <c r="D58">
        <v>12</v>
      </c>
      <c r="E58" t="s">
        <v>111</v>
      </c>
      <c r="F58" t="s">
        <v>75</v>
      </c>
      <c r="G58">
        <f>VLOOKUP(E58,'25 Draft ADP'!$B$3:$D$505,3,FALSE)</f>
        <v>50</v>
      </c>
      <c r="H58">
        <v>17</v>
      </c>
      <c r="I58">
        <v>6.6</v>
      </c>
      <c r="J58">
        <v>18.8</v>
      </c>
      <c r="K58">
        <v>6.3</v>
      </c>
      <c r="L58">
        <v>5.7</v>
      </c>
      <c r="M58">
        <v>2</v>
      </c>
      <c r="N58">
        <v>18.600000000000001</v>
      </c>
      <c r="O58">
        <v>0</v>
      </c>
      <c r="P58" t="s">
        <v>22</v>
      </c>
      <c r="Q58">
        <v>16.600000000000001</v>
      </c>
      <c r="R58">
        <v>23.9</v>
      </c>
      <c r="S58">
        <v>19.7</v>
      </c>
      <c r="T58">
        <v>0</v>
      </c>
      <c r="U58">
        <v>26.9</v>
      </c>
      <c r="V58">
        <v>17.3</v>
      </c>
      <c r="W58">
        <v>26.4</v>
      </c>
      <c r="X58">
        <v>12</v>
      </c>
      <c r="Y58">
        <v>5.7</v>
      </c>
      <c r="Z58">
        <v>13.4</v>
      </c>
      <c r="AA58">
        <v>12.9</v>
      </c>
      <c r="AB58">
        <f t="shared" si="0"/>
        <v>206.5</v>
      </c>
      <c r="AC58">
        <v>219.9</v>
      </c>
      <c r="AD58">
        <v>5</v>
      </c>
      <c r="AE58">
        <f t="shared" si="1"/>
        <v>9</v>
      </c>
      <c r="AF58">
        <v>8</v>
      </c>
      <c r="AG58">
        <v>3</v>
      </c>
      <c r="AH58">
        <v>2</v>
      </c>
      <c r="AI58">
        <v>0</v>
      </c>
      <c r="AJ58">
        <v>0.58823529411764708</v>
      </c>
      <c r="AK58">
        <v>0.47058823529411764</v>
      </c>
      <c r="AL58">
        <v>0.17647058823529413</v>
      </c>
      <c r="AM58">
        <v>0.11764705882352941</v>
      </c>
      <c r="AN58">
        <v>0</v>
      </c>
    </row>
    <row r="59" spans="1:40" x14ac:dyDescent="0.25">
      <c r="A59">
        <v>2025</v>
      </c>
      <c r="B59" t="s">
        <v>99</v>
      </c>
      <c r="C59" t="str">
        <f>IF(COUNTIF('Rookies 22-25'!$B$198:$B$349,E59)&gt;0,"(R)","No")</f>
        <v>No</v>
      </c>
      <c r="D59">
        <v>13</v>
      </c>
      <c r="E59" t="s">
        <v>112</v>
      </c>
      <c r="F59" t="s">
        <v>78</v>
      </c>
      <c r="G59">
        <f>VLOOKUP(E59,'25 Draft ADP'!$B$3:$D$505,3,FALSE)</f>
        <v>47</v>
      </c>
      <c r="H59">
        <v>17</v>
      </c>
      <c r="I59">
        <v>18.100000000000001</v>
      </c>
      <c r="J59">
        <v>1.6</v>
      </c>
      <c r="K59">
        <v>23.8</v>
      </c>
      <c r="L59">
        <v>19.100000000000001</v>
      </c>
      <c r="M59">
        <v>17.899999999999999</v>
      </c>
      <c r="N59">
        <v>2.7</v>
      </c>
      <c r="O59">
        <v>16.7</v>
      </c>
      <c r="P59">
        <v>10.7</v>
      </c>
      <c r="Q59">
        <v>10</v>
      </c>
      <c r="R59">
        <v>5.4</v>
      </c>
      <c r="S59">
        <v>9.9</v>
      </c>
      <c r="T59" t="s">
        <v>22</v>
      </c>
      <c r="U59">
        <v>17.2</v>
      </c>
      <c r="V59">
        <v>12.2</v>
      </c>
      <c r="W59">
        <v>24.3</v>
      </c>
      <c r="X59">
        <v>20.6</v>
      </c>
      <c r="Y59">
        <v>8</v>
      </c>
      <c r="Z59">
        <v>1.5</v>
      </c>
      <c r="AA59">
        <v>12.9</v>
      </c>
      <c r="AB59">
        <f t="shared" si="0"/>
        <v>218.2</v>
      </c>
      <c r="AC59">
        <v>219.7</v>
      </c>
      <c r="AD59">
        <v>4</v>
      </c>
      <c r="AE59">
        <f t="shared" si="1"/>
        <v>10</v>
      </c>
      <c r="AF59">
        <v>8</v>
      </c>
      <c r="AG59">
        <v>3</v>
      </c>
      <c r="AH59">
        <v>0</v>
      </c>
      <c r="AI59">
        <v>0</v>
      </c>
      <c r="AJ59">
        <v>0.58823529411764708</v>
      </c>
      <c r="AK59">
        <v>0.47058823529411764</v>
      </c>
      <c r="AL59">
        <v>0.17647058823529413</v>
      </c>
      <c r="AM59">
        <v>0</v>
      </c>
      <c r="AN59">
        <v>0</v>
      </c>
    </row>
    <row r="60" spans="1:40" x14ac:dyDescent="0.25">
      <c r="A60">
        <v>2025</v>
      </c>
      <c r="B60" t="s">
        <v>99</v>
      </c>
      <c r="C60" t="str">
        <f>IF(COUNTIF('Rookies 22-25'!$B$198:$B$349,E60)&gt;0,"(R)","No")</f>
        <v>No</v>
      </c>
      <c r="D60">
        <v>14</v>
      </c>
      <c r="E60" t="s">
        <v>113</v>
      </c>
      <c r="F60" t="s">
        <v>57</v>
      </c>
      <c r="G60">
        <f>VLOOKUP(E60,'25 Draft ADP'!$B$3:$D$505,3,FALSE)</f>
        <v>170</v>
      </c>
      <c r="H60">
        <v>16</v>
      </c>
      <c r="I60">
        <v>11.5</v>
      </c>
      <c r="J60">
        <v>28.2</v>
      </c>
      <c r="K60">
        <v>3.6</v>
      </c>
      <c r="L60">
        <v>4.4000000000000004</v>
      </c>
      <c r="M60">
        <v>8.1999999999999993</v>
      </c>
      <c r="N60">
        <v>20.399999999999999</v>
      </c>
      <c r="O60">
        <v>15.5</v>
      </c>
      <c r="P60">
        <v>7.8</v>
      </c>
      <c r="Q60">
        <v>13.6</v>
      </c>
      <c r="R60">
        <v>12.2</v>
      </c>
      <c r="S60">
        <v>7.6</v>
      </c>
      <c r="T60">
        <v>30.6</v>
      </c>
      <c r="U60">
        <v>10.4</v>
      </c>
      <c r="V60" t="s">
        <v>22</v>
      </c>
      <c r="W60">
        <v>16.399999999999999</v>
      </c>
      <c r="X60">
        <v>5.2</v>
      </c>
      <c r="Y60">
        <v>22.3</v>
      </c>
      <c r="Z60">
        <v>0</v>
      </c>
      <c r="AA60">
        <v>13.6</v>
      </c>
      <c r="AB60">
        <f t="shared" si="0"/>
        <v>217.9</v>
      </c>
      <c r="AC60">
        <v>217.9</v>
      </c>
      <c r="AD60">
        <v>15</v>
      </c>
      <c r="AE60">
        <f t="shared" si="1"/>
        <v>10</v>
      </c>
      <c r="AF60">
        <v>6</v>
      </c>
      <c r="AG60">
        <v>4</v>
      </c>
      <c r="AH60">
        <v>2</v>
      </c>
      <c r="AI60">
        <v>1</v>
      </c>
      <c r="AJ60">
        <v>0.58823529411764708</v>
      </c>
      <c r="AK60">
        <v>0.375</v>
      </c>
      <c r="AL60">
        <v>0.25</v>
      </c>
      <c r="AM60">
        <v>0.125</v>
      </c>
      <c r="AN60">
        <v>6.25E-2</v>
      </c>
    </row>
    <row r="61" spans="1:40" x14ac:dyDescent="0.25">
      <c r="A61">
        <v>2025</v>
      </c>
      <c r="B61" t="s">
        <v>99</v>
      </c>
      <c r="C61" t="str">
        <f>IF(COUNTIF('Rookies 22-25'!$B$198:$B$349,E61)&gt;0,"(R)","No")</f>
        <v>No</v>
      </c>
      <c r="D61">
        <v>15</v>
      </c>
      <c r="E61" t="s">
        <v>114</v>
      </c>
      <c r="F61" t="s">
        <v>89</v>
      </c>
      <c r="G61">
        <f>VLOOKUP(E61,'25 Draft ADP'!$B$3:$D$505,3,FALSE)</f>
        <v>28</v>
      </c>
      <c r="H61">
        <v>15</v>
      </c>
      <c r="I61">
        <v>6.3</v>
      </c>
      <c r="J61">
        <v>14.6</v>
      </c>
      <c r="K61">
        <v>2.5</v>
      </c>
      <c r="L61">
        <v>6.2</v>
      </c>
      <c r="M61">
        <v>11.2</v>
      </c>
      <c r="N61">
        <v>11.2</v>
      </c>
      <c r="O61">
        <v>21.6</v>
      </c>
      <c r="P61">
        <v>11.4</v>
      </c>
      <c r="Q61">
        <v>33.1</v>
      </c>
      <c r="R61" t="s">
        <v>22</v>
      </c>
      <c r="S61">
        <v>15.3</v>
      </c>
      <c r="T61">
        <v>8.1</v>
      </c>
      <c r="U61" t="s">
        <v>33</v>
      </c>
      <c r="V61">
        <v>27.2</v>
      </c>
      <c r="W61" t="s">
        <v>33</v>
      </c>
      <c r="X61">
        <v>14.3</v>
      </c>
      <c r="Y61">
        <v>9.9</v>
      </c>
      <c r="Z61">
        <v>18.7</v>
      </c>
      <c r="AA61">
        <v>14.1</v>
      </c>
      <c r="AB61">
        <f t="shared" si="0"/>
        <v>192.9</v>
      </c>
      <c r="AC61">
        <v>211.6</v>
      </c>
      <c r="AD61">
        <v>3</v>
      </c>
      <c r="AE61">
        <f t="shared" si="1"/>
        <v>9</v>
      </c>
      <c r="AF61">
        <v>5</v>
      </c>
      <c r="AG61">
        <v>3</v>
      </c>
      <c r="AH61">
        <v>2</v>
      </c>
      <c r="AI61">
        <v>1</v>
      </c>
      <c r="AJ61">
        <v>0.58823529411764708</v>
      </c>
      <c r="AK61">
        <v>0.33333333333333331</v>
      </c>
      <c r="AL61">
        <v>0.2</v>
      </c>
      <c r="AM61">
        <v>0.13333333333333333</v>
      </c>
      <c r="AN61">
        <v>6.6666666666666666E-2</v>
      </c>
    </row>
    <row r="62" spans="1:40" x14ac:dyDescent="0.25">
      <c r="A62">
        <v>2025</v>
      </c>
      <c r="B62" t="s">
        <v>99</v>
      </c>
      <c r="C62" t="str">
        <f>IF(COUNTIF('Rookies 22-25'!$B$198:$B$349,E62)&gt;0,"(R)","No")</f>
        <v>(R)</v>
      </c>
      <c r="D62">
        <v>16</v>
      </c>
      <c r="E62" t="s">
        <v>115</v>
      </c>
      <c r="F62" t="s">
        <v>95</v>
      </c>
      <c r="G62">
        <f>VLOOKUP(E62,'25 Draft ADP'!$B$3:$D$505,3,FALSE)</f>
        <v>44</v>
      </c>
      <c r="H62">
        <v>17</v>
      </c>
      <c r="I62">
        <v>11.8</v>
      </c>
      <c r="J62">
        <v>16</v>
      </c>
      <c r="K62">
        <v>7.8</v>
      </c>
      <c r="L62">
        <v>10.199999999999999</v>
      </c>
      <c r="M62">
        <v>13.3</v>
      </c>
      <c r="N62">
        <v>17.899999999999999</v>
      </c>
      <c r="O62">
        <v>6.3</v>
      </c>
      <c r="P62">
        <v>16.899999999999999</v>
      </c>
      <c r="Q62">
        <v>8.6</v>
      </c>
      <c r="R62">
        <v>11</v>
      </c>
      <c r="S62">
        <v>33</v>
      </c>
      <c r="T62">
        <v>11.5</v>
      </c>
      <c r="U62">
        <v>11.3</v>
      </c>
      <c r="V62" t="s">
        <v>22</v>
      </c>
      <c r="W62">
        <v>4.5</v>
      </c>
      <c r="X62">
        <v>19.3</v>
      </c>
      <c r="Y62">
        <v>1.5</v>
      </c>
      <c r="Z62">
        <v>10.5</v>
      </c>
      <c r="AA62">
        <v>12.4</v>
      </c>
      <c r="AB62">
        <f t="shared" si="0"/>
        <v>200.9</v>
      </c>
      <c r="AC62">
        <v>211.4</v>
      </c>
      <c r="AD62">
        <v>4</v>
      </c>
      <c r="AE62">
        <f t="shared" si="1"/>
        <v>11</v>
      </c>
      <c r="AF62">
        <v>5</v>
      </c>
      <c r="AG62">
        <v>1</v>
      </c>
      <c r="AH62">
        <v>1</v>
      </c>
      <c r="AI62">
        <v>1</v>
      </c>
      <c r="AJ62">
        <v>0.70588235294117652</v>
      </c>
      <c r="AK62">
        <v>0.29411764705882354</v>
      </c>
      <c r="AL62">
        <v>5.8823529411764705E-2</v>
      </c>
      <c r="AM62">
        <v>5.8823529411764705E-2</v>
      </c>
      <c r="AN62">
        <v>5.8823529411764705E-2</v>
      </c>
    </row>
    <row r="63" spans="1:40" x14ac:dyDescent="0.25">
      <c r="A63">
        <v>2025</v>
      </c>
      <c r="B63" t="s">
        <v>99</v>
      </c>
      <c r="C63" t="str">
        <f>IF(COUNTIF('Rookies 22-25'!$B$198:$B$349,E63)&gt;0,"(R)","No")</f>
        <v>No</v>
      </c>
      <c r="D63">
        <v>17</v>
      </c>
      <c r="E63" t="s">
        <v>116</v>
      </c>
      <c r="F63" t="s">
        <v>39</v>
      </c>
      <c r="G63">
        <f>VLOOKUP(E63,'25 Draft ADP'!$B$3:$D$505,3,FALSE)</f>
        <v>76</v>
      </c>
      <c r="H63">
        <v>17</v>
      </c>
      <c r="I63">
        <v>11.7</v>
      </c>
      <c r="J63">
        <v>7.2</v>
      </c>
      <c r="K63">
        <v>5.3</v>
      </c>
      <c r="L63">
        <v>16.100000000000001</v>
      </c>
      <c r="M63">
        <v>24.6</v>
      </c>
      <c r="N63">
        <v>5.8</v>
      </c>
      <c r="O63">
        <v>13.9</v>
      </c>
      <c r="P63">
        <v>10.4</v>
      </c>
      <c r="Q63">
        <v>12.8</v>
      </c>
      <c r="R63">
        <v>15.6</v>
      </c>
      <c r="S63">
        <v>19.5</v>
      </c>
      <c r="T63">
        <v>4</v>
      </c>
      <c r="U63">
        <v>5.6</v>
      </c>
      <c r="V63" t="s">
        <v>22</v>
      </c>
      <c r="W63">
        <v>5.6</v>
      </c>
      <c r="X63">
        <v>22.8</v>
      </c>
      <c r="Y63">
        <v>22.1</v>
      </c>
      <c r="Z63">
        <v>7.3</v>
      </c>
      <c r="AA63">
        <v>12.4</v>
      </c>
      <c r="AB63">
        <f t="shared" si="0"/>
        <v>203</v>
      </c>
      <c r="AC63">
        <v>210.3</v>
      </c>
      <c r="AD63">
        <v>7</v>
      </c>
      <c r="AE63">
        <f t="shared" si="1"/>
        <v>10</v>
      </c>
      <c r="AF63">
        <v>6</v>
      </c>
      <c r="AG63">
        <v>3</v>
      </c>
      <c r="AH63">
        <v>0</v>
      </c>
      <c r="AI63">
        <v>0</v>
      </c>
      <c r="AJ63">
        <v>0.58823529411764708</v>
      </c>
      <c r="AK63">
        <v>0.35294117647058826</v>
      </c>
      <c r="AL63">
        <v>0.17647058823529413</v>
      </c>
      <c r="AM63">
        <v>0</v>
      </c>
      <c r="AN63">
        <v>0</v>
      </c>
    </row>
    <row r="64" spans="1:40" x14ac:dyDescent="0.25">
      <c r="A64">
        <v>2025</v>
      </c>
      <c r="B64" t="s">
        <v>99</v>
      </c>
      <c r="C64" t="str">
        <f>IF(COUNTIF('Rookies 22-25'!$B$198:$B$349,E64)&gt;0,"(R)","No")</f>
        <v>No</v>
      </c>
      <c r="D64">
        <v>18</v>
      </c>
      <c r="E64" t="s">
        <v>117</v>
      </c>
      <c r="F64" t="s">
        <v>28</v>
      </c>
      <c r="G64">
        <f>VLOOKUP(E64,'25 Draft ADP'!$B$3:$D$505,3,FALSE)</f>
        <v>97</v>
      </c>
      <c r="H64">
        <v>17</v>
      </c>
      <c r="I64">
        <v>20</v>
      </c>
      <c r="J64">
        <v>8</v>
      </c>
      <c r="K64">
        <v>19.3</v>
      </c>
      <c r="L64">
        <v>15.1</v>
      </c>
      <c r="M64">
        <v>14.9</v>
      </c>
      <c r="N64">
        <v>4</v>
      </c>
      <c r="O64">
        <v>20.8</v>
      </c>
      <c r="P64">
        <v>23.5</v>
      </c>
      <c r="Q64">
        <v>20.5</v>
      </c>
      <c r="R64">
        <v>3.9</v>
      </c>
      <c r="S64" t="s">
        <v>22</v>
      </c>
      <c r="T64">
        <v>13.7</v>
      </c>
      <c r="U64">
        <v>2.2999999999999998</v>
      </c>
      <c r="V64">
        <v>16.899999999999999</v>
      </c>
      <c r="W64">
        <v>5.6</v>
      </c>
      <c r="X64">
        <v>7.2</v>
      </c>
      <c r="Y64">
        <v>3.6</v>
      </c>
      <c r="Z64">
        <v>3.1</v>
      </c>
      <c r="AA64">
        <v>11.9</v>
      </c>
      <c r="AB64">
        <f t="shared" si="0"/>
        <v>199.3</v>
      </c>
      <c r="AC64">
        <v>202.4</v>
      </c>
      <c r="AD64">
        <v>8</v>
      </c>
      <c r="AE64">
        <f t="shared" si="1"/>
        <v>9</v>
      </c>
      <c r="AF64">
        <v>7</v>
      </c>
      <c r="AG64">
        <v>3</v>
      </c>
      <c r="AH64">
        <v>0</v>
      </c>
      <c r="AI64">
        <v>0</v>
      </c>
      <c r="AJ64">
        <v>0.52941176470588236</v>
      </c>
      <c r="AK64">
        <v>0.41176470588235292</v>
      </c>
      <c r="AL64">
        <v>0.17647058823529413</v>
      </c>
      <c r="AM64">
        <v>0</v>
      </c>
      <c r="AN64">
        <v>0</v>
      </c>
    </row>
    <row r="65" spans="1:40" x14ac:dyDescent="0.25">
      <c r="A65">
        <v>2025</v>
      </c>
      <c r="B65" t="s">
        <v>99</v>
      </c>
      <c r="C65" t="str">
        <f>IF(COUNTIF('Rookies 22-25'!$B$198:$B$349,E65)&gt;0,"(R)","No")</f>
        <v>No</v>
      </c>
      <c r="D65">
        <v>19</v>
      </c>
      <c r="E65" t="s">
        <v>118</v>
      </c>
      <c r="F65" t="s">
        <v>24</v>
      </c>
      <c r="G65">
        <f>VLOOKUP(E65,'25 Draft ADP'!$B$3:$D$505,3,FALSE)</f>
        <v>15</v>
      </c>
      <c r="H65">
        <v>12</v>
      </c>
      <c r="I65">
        <v>13.5</v>
      </c>
      <c r="J65">
        <v>5.9</v>
      </c>
      <c r="K65">
        <v>10.5</v>
      </c>
      <c r="L65">
        <v>25</v>
      </c>
      <c r="M65" t="s">
        <v>22</v>
      </c>
      <c r="N65">
        <v>31.8</v>
      </c>
      <c r="O65">
        <v>8.1999999999999993</v>
      </c>
      <c r="P65" t="s">
        <v>33</v>
      </c>
      <c r="Q65">
        <v>38.799999999999997</v>
      </c>
      <c r="R65">
        <v>24.4</v>
      </c>
      <c r="S65">
        <v>18.899999999999999</v>
      </c>
      <c r="T65" t="s">
        <v>33</v>
      </c>
      <c r="U65" t="s">
        <v>33</v>
      </c>
      <c r="V65" t="s">
        <v>33</v>
      </c>
      <c r="W65" t="s">
        <v>33</v>
      </c>
      <c r="X65">
        <v>5.7</v>
      </c>
      <c r="Y65">
        <v>1.4</v>
      </c>
      <c r="Z65">
        <v>17.8</v>
      </c>
      <c r="AA65">
        <v>16.8</v>
      </c>
      <c r="AB65">
        <f t="shared" si="0"/>
        <v>184.1</v>
      </c>
      <c r="AC65">
        <v>201.9</v>
      </c>
      <c r="AD65">
        <v>2</v>
      </c>
      <c r="AE65">
        <f t="shared" si="1"/>
        <v>7</v>
      </c>
      <c r="AF65">
        <v>6</v>
      </c>
      <c r="AG65">
        <v>4</v>
      </c>
      <c r="AH65">
        <v>2</v>
      </c>
      <c r="AI65">
        <v>2</v>
      </c>
      <c r="AJ65">
        <v>0.47058823529411764</v>
      </c>
      <c r="AK65">
        <v>0.5</v>
      </c>
      <c r="AL65">
        <v>0.33333333333333331</v>
      </c>
      <c r="AM65">
        <v>0.16666666666666666</v>
      </c>
      <c r="AN65">
        <v>0.16666666666666666</v>
      </c>
    </row>
    <row r="66" spans="1:40" x14ac:dyDescent="0.25">
      <c r="A66">
        <v>2025</v>
      </c>
      <c r="B66" t="s">
        <v>99</v>
      </c>
      <c r="C66" t="str">
        <f>IF(COUNTIF('Rookies 22-25'!$B$198:$B$349,E66)&gt;0,"(R)","No")</f>
        <v>No</v>
      </c>
      <c r="D66">
        <v>20</v>
      </c>
      <c r="E66" t="s">
        <v>119</v>
      </c>
      <c r="F66" t="s">
        <v>35</v>
      </c>
      <c r="G66">
        <f>VLOOKUP(E66,'25 Draft ADP'!$B$3:$D$505,3,FALSE)</f>
        <v>55</v>
      </c>
      <c r="H66">
        <v>17</v>
      </c>
      <c r="I66">
        <v>4.5999999999999996</v>
      </c>
      <c r="J66">
        <v>9.3000000000000007</v>
      </c>
      <c r="K66">
        <v>20</v>
      </c>
      <c r="L66">
        <v>4.9000000000000004</v>
      </c>
      <c r="M66">
        <v>19.399999999999999</v>
      </c>
      <c r="N66">
        <v>8.9</v>
      </c>
      <c r="O66">
        <v>33.299999999999997</v>
      </c>
      <c r="P66">
        <v>14.4</v>
      </c>
      <c r="Q66" t="s">
        <v>22</v>
      </c>
      <c r="R66">
        <v>16.899999999999999</v>
      </c>
      <c r="S66">
        <v>1.8</v>
      </c>
      <c r="T66">
        <v>14.9</v>
      </c>
      <c r="U66">
        <v>9.8000000000000007</v>
      </c>
      <c r="V66">
        <v>7.7</v>
      </c>
      <c r="W66">
        <v>7</v>
      </c>
      <c r="X66">
        <v>16.2</v>
      </c>
      <c r="Y66">
        <v>4.5</v>
      </c>
      <c r="Z66">
        <v>8.1999999999999993</v>
      </c>
      <c r="AA66">
        <v>11.9</v>
      </c>
      <c r="AB66">
        <f t="shared" si="0"/>
        <v>193.60000000000002</v>
      </c>
      <c r="AC66">
        <v>201.8</v>
      </c>
      <c r="AD66">
        <v>5</v>
      </c>
      <c r="AE66">
        <f t="shared" si="1"/>
        <v>7</v>
      </c>
      <c r="AF66">
        <v>5</v>
      </c>
      <c r="AG66">
        <v>1</v>
      </c>
      <c r="AH66">
        <v>1</v>
      </c>
      <c r="AI66">
        <v>1</v>
      </c>
      <c r="AJ66">
        <v>0.41176470588235292</v>
      </c>
      <c r="AK66">
        <v>0.29411764705882354</v>
      </c>
      <c r="AL66">
        <v>5.8823529411764705E-2</v>
      </c>
      <c r="AM66">
        <v>5.8823529411764705E-2</v>
      </c>
      <c r="AN66">
        <v>5.8823529411764705E-2</v>
      </c>
    </row>
    <row r="67" spans="1:40" x14ac:dyDescent="0.25">
      <c r="A67">
        <v>2025</v>
      </c>
      <c r="B67" t="s">
        <v>99</v>
      </c>
      <c r="C67" t="str">
        <f>IF(COUNTIF('Rookies 22-25'!$B$198:$B$349,E67)&gt;0,"(R)","No")</f>
        <v>No</v>
      </c>
      <c r="D67">
        <v>21</v>
      </c>
      <c r="E67" t="s">
        <v>120</v>
      </c>
      <c r="F67" t="s">
        <v>73</v>
      </c>
      <c r="G67">
        <f>VLOOKUP(E67,'25 Draft ADP'!$B$3:$D$505,3,FALSE)</f>
        <v>6</v>
      </c>
      <c r="H67">
        <v>17</v>
      </c>
      <c r="I67">
        <v>14.8</v>
      </c>
      <c r="J67">
        <v>11.1</v>
      </c>
      <c r="K67">
        <v>12.5</v>
      </c>
      <c r="L67">
        <v>22.6</v>
      </c>
      <c r="M67">
        <v>19.3</v>
      </c>
      <c r="N67" t="s">
        <v>22</v>
      </c>
      <c r="O67">
        <v>12.9</v>
      </c>
      <c r="P67">
        <v>14.4</v>
      </c>
      <c r="Q67">
        <v>16.7</v>
      </c>
      <c r="R67">
        <v>7.7</v>
      </c>
      <c r="S67">
        <v>11.1</v>
      </c>
      <c r="T67">
        <v>8.8000000000000007</v>
      </c>
      <c r="U67">
        <v>2.4</v>
      </c>
      <c r="V67">
        <v>3.1</v>
      </c>
      <c r="W67">
        <v>4.2</v>
      </c>
      <c r="X67">
        <v>14.5</v>
      </c>
      <c r="Y67">
        <v>7</v>
      </c>
      <c r="Z67">
        <v>18.399999999999999</v>
      </c>
      <c r="AA67">
        <v>11.9</v>
      </c>
      <c r="AB67">
        <f t="shared" ref="AB67:AB130" si="2">AC67-Z67</f>
        <v>183.1</v>
      </c>
      <c r="AC67">
        <v>201.5</v>
      </c>
      <c r="AD67">
        <v>1</v>
      </c>
      <c r="AE67">
        <f t="shared" ref="AE67:AE130" si="3">COUNTIF(I67:Y67,"&gt;10")</f>
        <v>10</v>
      </c>
      <c r="AF67">
        <v>4</v>
      </c>
      <c r="AG67">
        <v>1</v>
      </c>
      <c r="AH67">
        <v>0</v>
      </c>
      <c r="AI67">
        <v>0</v>
      </c>
      <c r="AJ67">
        <v>0.6470588235294118</v>
      </c>
      <c r="AK67">
        <v>0.23529411764705882</v>
      </c>
      <c r="AL67">
        <v>5.8823529411764705E-2</v>
      </c>
      <c r="AM67">
        <v>0</v>
      </c>
      <c r="AN67">
        <v>0</v>
      </c>
    </row>
    <row r="68" spans="1:40" x14ac:dyDescent="0.25">
      <c r="A68">
        <v>2025</v>
      </c>
      <c r="B68" t="s">
        <v>99</v>
      </c>
      <c r="C68" t="str">
        <f>IF(COUNTIF('Rookies 22-25'!$B$198:$B$349,E68)&gt;0,"(R)","No")</f>
        <v>No</v>
      </c>
      <c r="D68">
        <v>22</v>
      </c>
      <c r="E68" t="s">
        <v>121</v>
      </c>
      <c r="F68" t="s">
        <v>30</v>
      </c>
      <c r="G68">
        <f>VLOOKUP(E68,'25 Draft ADP'!$B$3:$D$505,3,FALSE)</f>
        <v>4</v>
      </c>
      <c r="H68">
        <v>14</v>
      </c>
      <c r="I68">
        <v>18</v>
      </c>
      <c r="J68">
        <v>20.2</v>
      </c>
      <c r="K68">
        <v>0</v>
      </c>
      <c r="L68" t="s">
        <v>33</v>
      </c>
      <c r="M68" t="s">
        <v>33</v>
      </c>
      <c r="N68" t="s">
        <v>33</v>
      </c>
      <c r="O68">
        <v>22</v>
      </c>
      <c r="P68">
        <v>14.6</v>
      </c>
      <c r="Q68">
        <v>15.5</v>
      </c>
      <c r="R68" t="s">
        <v>22</v>
      </c>
      <c r="S68">
        <v>17.600000000000001</v>
      </c>
      <c r="T68">
        <v>11.5</v>
      </c>
      <c r="U68">
        <v>24.2</v>
      </c>
      <c r="V68">
        <v>18.100000000000001</v>
      </c>
      <c r="W68">
        <v>17.100000000000001</v>
      </c>
      <c r="X68">
        <v>11.1</v>
      </c>
      <c r="Y68">
        <v>9.6</v>
      </c>
      <c r="Z68">
        <v>1.4</v>
      </c>
      <c r="AA68">
        <v>14.4</v>
      </c>
      <c r="AB68">
        <f t="shared" si="2"/>
        <v>199.5</v>
      </c>
      <c r="AC68">
        <v>200.9</v>
      </c>
      <c r="AD68">
        <v>1</v>
      </c>
      <c r="AE68">
        <f t="shared" si="3"/>
        <v>11</v>
      </c>
      <c r="AF68">
        <v>8</v>
      </c>
      <c r="AG68">
        <v>3</v>
      </c>
      <c r="AH68">
        <v>0</v>
      </c>
      <c r="AI68">
        <v>0</v>
      </c>
      <c r="AJ68">
        <v>0.6470588235294118</v>
      </c>
      <c r="AK68">
        <v>0.5714285714285714</v>
      </c>
      <c r="AL68">
        <v>0.21428571428571427</v>
      </c>
      <c r="AM68">
        <v>0</v>
      </c>
      <c r="AN68">
        <v>0</v>
      </c>
    </row>
    <row r="69" spans="1:40" x14ac:dyDescent="0.25">
      <c r="A69">
        <v>2025</v>
      </c>
      <c r="B69" t="s">
        <v>99</v>
      </c>
      <c r="C69" t="str">
        <f>IF(COUNTIF('Rookies 22-25'!$B$198:$B$349,E69)&gt;0,"(R)","No")</f>
        <v>(R)</v>
      </c>
      <c r="D69">
        <v>23</v>
      </c>
      <c r="E69" t="s">
        <v>122</v>
      </c>
      <c r="F69" t="s">
        <v>65</v>
      </c>
      <c r="G69">
        <f>VLOOKUP(E69,'25 Draft ADP'!$B$3:$D$505,3,FALSE)</f>
        <v>59</v>
      </c>
      <c r="H69">
        <v>17</v>
      </c>
      <c r="I69">
        <v>23.6</v>
      </c>
      <c r="J69">
        <v>12.9</v>
      </c>
      <c r="K69">
        <v>14.5</v>
      </c>
      <c r="L69">
        <v>20.100000000000001</v>
      </c>
      <c r="M69">
        <v>31.3</v>
      </c>
      <c r="N69">
        <v>4.4000000000000004</v>
      </c>
      <c r="O69">
        <v>9.8000000000000007</v>
      </c>
      <c r="P69">
        <v>6.5</v>
      </c>
      <c r="Q69" t="s">
        <v>22</v>
      </c>
      <c r="R69">
        <v>23.5</v>
      </c>
      <c r="S69">
        <v>9</v>
      </c>
      <c r="T69">
        <v>6.2</v>
      </c>
      <c r="U69">
        <v>8.1999999999999993</v>
      </c>
      <c r="V69">
        <v>3.5</v>
      </c>
      <c r="W69">
        <v>10.4</v>
      </c>
      <c r="X69">
        <v>5</v>
      </c>
      <c r="Y69">
        <v>5</v>
      </c>
      <c r="Z69">
        <v>1.8</v>
      </c>
      <c r="AA69">
        <v>11.5</v>
      </c>
      <c r="AB69">
        <f t="shared" si="2"/>
        <v>193.89999999999998</v>
      </c>
      <c r="AC69">
        <v>195.7</v>
      </c>
      <c r="AD69">
        <v>5</v>
      </c>
      <c r="AE69">
        <f t="shared" si="3"/>
        <v>7</v>
      </c>
      <c r="AF69">
        <v>4</v>
      </c>
      <c r="AG69">
        <v>4</v>
      </c>
      <c r="AH69">
        <v>1</v>
      </c>
      <c r="AI69">
        <v>1</v>
      </c>
      <c r="AJ69">
        <v>0.41176470588235292</v>
      </c>
      <c r="AK69">
        <v>0.23529411764705882</v>
      </c>
      <c r="AL69">
        <v>0.23529411764705882</v>
      </c>
      <c r="AM69">
        <v>5.8823529411764705E-2</v>
      </c>
      <c r="AN69">
        <v>5.8823529411764705E-2</v>
      </c>
    </row>
    <row r="70" spans="1:40" x14ac:dyDescent="0.25">
      <c r="A70">
        <v>2025</v>
      </c>
      <c r="B70" t="s">
        <v>99</v>
      </c>
      <c r="C70" t="str">
        <f>IF(COUNTIF('Rookies 22-25'!$B$198:$B$349,E70)&gt;0,"(R)","No")</f>
        <v>No</v>
      </c>
      <c r="D70">
        <v>24</v>
      </c>
      <c r="E70" t="s">
        <v>123</v>
      </c>
      <c r="F70" t="s">
        <v>84</v>
      </c>
      <c r="G70">
        <f>VLOOKUP(E70,'25 Draft ADP'!$B$3:$D$505,3,FALSE)</f>
        <v>61</v>
      </c>
      <c r="H70">
        <v>16</v>
      </c>
      <c r="I70">
        <v>7</v>
      </c>
      <c r="J70">
        <v>17.8</v>
      </c>
      <c r="K70">
        <v>14.9</v>
      </c>
      <c r="L70">
        <v>7.8</v>
      </c>
      <c r="M70">
        <v>23</v>
      </c>
      <c r="N70">
        <v>15.8</v>
      </c>
      <c r="O70">
        <v>2.5</v>
      </c>
      <c r="P70">
        <v>20.9</v>
      </c>
      <c r="Q70">
        <v>14.2</v>
      </c>
      <c r="R70">
        <v>19.399999999999999</v>
      </c>
      <c r="S70">
        <v>8.1999999999999993</v>
      </c>
      <c r="T70" t="s">
        <v>22</v>
      </c>
      <c r="U70">
        <v>7</v>
      </c>
      <c r="V70">
        <v>18.100000000000001</v>
      </c>
      <c r="W70">
        <v>4.5999999999999996</v>
      </c>
      <c r="X70">
        <v>12.2</v>
      </c>
      <c r="Y70">
        <v>0.7</v>
      </c>
      <c r="Z70">
        <v>0</v>
      </c>
      <c r="AA70">
        <v>12.1</v>
      </c>
      <c r="AB70">
        <f t="shared" si="2"/>
        <v>194.1</v>
      </c>
      <c r="AC70">
        <v>194.1</v>
      </c>
      <c r="AD70">
        <v>6</v>
      </c>
      <c r="AE70">
        <f t="shared" si="3"/>
        <v>9</v>
      </c>
      <c r="AF70">
        <v>6</v>
      </c>
      <c r="AG70">
        <v>2</v>
      </c>
      <c r="AH70">
        <v>0</v>
      </c>
      <c r="AI70">
        <v>0</v>
      </c>
      <c r="AJ70">
        <v>0.52941176470588236</v>
      </c>
      <c r="AK70">
        <v>0.375</v>
      </c>
      <c r="AL70">
        <v>0.125</v>
      </c>
      <c r="AM70">
        <v>0</v>
      </c>
      <c r="AN70">
        <v>0</v>
      </c>
    </row>
    <row r="71" spans="1:40" x14ac:dyDescent="0.25">
      <c r="A71">
        <v>2025</v>
      </c>
      <c r="B71" t="s">
        <v>99</v>
      </c>
      <c r="C71" t="str">
        <f>IF(COUNTIF('Rookies 22-25'!$B$198:$B$349,E71)&gt;0,"(R)","No")</f>
        <v>No</v>
      </c>
      <c r="D71">
        <v>25</v>
      </c>
      <c r="E71" t="s">
        <v>124</v>
      </c>
      <c r="F71" t="s">
        <v>59</v>
      </c>
      <c r="G71">
        <f>VLOOKUP(E71,'25 Draft ADP'!$B$3:$D$505,3,FALSE)</f>
        <v>74</v>
      </c>
      <c r="H71">
        <v>16</v>
      </c>
      <c r="I71">
        <v>22.6</v>
      </c>
      <c r="J71">
        <v>17.399999999999999</v>
      </c>
      <c r="K71">
        <v>4.9000000000000004</v>
      </c>
      <c r="L71">
        <v>20.100000000000001</v>
      </c>
      <c r="M71">
        <v>23.6</v>
      </c>
      <c r="N71">
        <v>5.4</v>
      </c>
      <c r="O71" t="s">
        <v>33</v>
      </c>
      <c r="P71">
        <v>4.2</v>
      </c>
      <c r="Q71">
        <v>9.4</v>
      </c>
      <c r="R71">
        <v>12.9</v>
      </c>
      <c r="S71">
        <v>20.7</v>
      </c>
      <c r="T71" t="s">
        <v>22</v>
      </c>
      <c r="U71">
        <v>11.1</v>
      </c>
      <c r="V71">
        <v>6.7</v>
      </c>
      <c r="W71">
        <v>7.3</v>
      </c>
      <c r="X71">
        <v>6.5</v>
      </c>
      <c r="Y71">
        <v>11.3</v>
      </c>
      <c r="Z71">
        <v>4.0999999999999996</v>
      </c>
      <c r="AA71">
        <v>11.8</v>
      </c>
      <c r="AB71">
        <f t="shared" si="2"/>
        <v>184.1</v>
      </c>
      <c r="AC71">
        <v>188.2</v>
      </c>
      <c r="AD71">
        <v>6</v>
      </c>
      <c r="AE71">
        <f t="shared" si="3"/>
        <v>8</v>
      </c>
      <c r="AF71">
        <v>5</v>
      </c>
      <c r="AG71">
        <v>4</v>
      </c>
      <c r="AH71">
        <v>0</v>
      </c>
      <c r="AI71">
        <v>0</v>
      </c>
      <c r="AJ71">
        <v>0.47058823529411764</v>
      </c>
      <c r="AK71">
        <v>0.3125</v>
      </c>
      <c r="AL71">
        <v>0.25</v>
      </c>
      <c r="AM71">
        <v>0</v>
      </c>
      <c r="AN71">
        <v>0</v>
      </c>
    </row>
    <row r="72" spans="1:40" x14ac:dyDescent="0.25">
      <c r="A72">
        <v>2025</v>
      </c>
      <c r="B72" t="s">
        <v>99</v>
      </c>
      <c r="C72" t="str">
        <f>IF(COUNTIF('Rookies 22-25'!$B$198:$B$349,E72)&gt;0,"(R)","No")</f>
        <v>No</v>
      </c>
      <c r="D72">
        <v>26</v>
      </c>
      <c r="E72" t="s">
        <v>125</v>
      </c>
      <c r="F72" t="s">
        <v>71</v>
      </c>
      <c r="G72">
        <f>VLOOKUP(E72,'25 Draft ADP'!$B$3:$D$505,3,FALSE)</f>
        <v>53</v>
      </c>
      <c r="H72">
        <v>15</v>
      </c>
      <c r="I72">
        <v>12.3</v>
      </c>
      <c r="J72">
        <v>11</v>
      </c>
      <c r="K72">
        <v>12.2</v>
      </c>
      <c r="L72">
        <v>23.6</v>
      </c>
      <c r="M72" t="s">
        <v>22</v>
      </c>
      <c r="N72">
        <v>19.5</v>
      </c>
      <c r="O72">
        <v>8</v>
      </c>
      <c r="P72">
        <v>16.5</v>
      </c>
      <c r="Q72">
        <v>2.6</v>
      </c>
      <c r="R72">
        <v>6.5</v>
      </c>
      <c r="S72">
        <v>9.9</v>
      </c>
      <c r="T72">
        <v>14.4</v>
      </c>
      <c r="U72">
        <v>6.2</v>
      </c>
      <c r="V72">
        <v>21.8</v>
      </c>
      <c r="W72">
        <v>14.5</v>
      </c>
      <c r="X72">
        <v>8.1999999999999993</v>
      </c>
      <c r="Y72" t="s">
        <v>33</v>
      </c>
      <c r="Z72">
        <v>0</v>
      </c>
      <c r="AA72">
        <v>12.5</v>
      </c>
      <c r="AB72">
        <f t="shared" si="2"/>
        <v>187.2</v>
      </c>
      <c r="AC72">
        <v>187.2</v>
      </c>
      <c r="AD72">
        <v>5</v>
      </c>
      <c r="AE72">
        <f t="shared" si="3"/>
        <v>9</v>
      </c>
      <c r="AF72">
        <v>4</v>
      </c>
      <c r="AG72">
        <v>2</v>
      </c>
      <c r="AH72">
        <v>0</v>
      </c>
      <c r="AI72">
        <v>0</v>
      </c>
      <c r="AJ72">
        <v>0.52941176470588236</v>
      </c>
      <c r="AK72">
        <v>0.26666666666666666</v>
      </c>
      <c r="AL72">
        <v>0.13333333333333333</v>
      </c>
      <c r="AM72">
        <v>0</v>
      </c>
      <c r="AN72">
        <v>0</v>
      </c>
    </row>
    <row r="73" spans="1:40" x14ac:dyDescent="0.25">
      <c r="A73">
        <v>2025</v>
      </c>
      <c r="B73" t="s">
        <v>99</v>
      </c>
      <c r="C73" t="str">
        <f>IF(COUNTIF('Rookies 22-25'!$B$198:$B$349,E73)&gt;0,"(R)","No")</f>
        <v>No</v>
      </c>
      <c r="D73">
        <v>27</v>
      </c>
      <c r="E73" t="s">
        <v>126</v>
      </c>
      <c r="F73" t="s">
        <v>67</v>
      </c>
      <c r="G73">
        <f>VLOOKUP(E73,'25 Draft ADP'!$B$3:$D$505,3,FALSE)</f>
        <v>298</v>
      </c>
      <c r="H73">
        <v>16</v>
      </c>
      <c r="I73">
        <v>0</v>
      </c>
      <c r="J73">
        <v>12.6</v>
      </c>
      <c r="K73">
        <v>7.4</v>
      </c>
      <c r="L73">
        <v>5.9</v>
      </c>
      <c r="M73">
        <v>9.6</v>
      </c>
      <c r="N73">
        <v>4.9000000000000004</v>
      </c>
      <c r="O73">
        <v>10.199999999999999</v>
      </c>
      <c r="P73" t="s">
        <v>22</v>
      </c>
      <c r="Q73">
        <v>17</v>
      </c>
      <c r="R73">
        <v>17.899999999999999</v>
      </c>
      <c r="S73">
        <v>4</v>
      </c>
      <c r="T73">
        <v>18.100000000000001</v>
      </c>
      <c r="U73">
        <v>3.6</v>
      </c>
      <c r="V73" t="s">
        <v>33</v>
      </c>
      <c r="W73">
        <v>8.3000000000000007</v>
      </c>
      <c r="X73">
        <v>26.5</v>
      </c>
      <c r="Y73">
        <v>19</v>
      </c>
      <c r="Z73">
        <v>19.7</v>
      </c>
      <c r="AA73">
        <v>11.5</v>
      </c>
      <c r="AB73">
        <f t="shared" si="2"/>
        <v>165</v>
      </c>
      <c r="AC73">
        <v>184.7</v>
      </c>
      <c r="AD73">
        <v>20</v>
      </c>
      <c r="AE73">
        <f t="shared" si="3"/>
        <v>7</v>
      </c>
      <c r="AF73">
        <v>6</v>
      </c>
      <c r="AG73">
        <v>1</v>
      </c>
      <c r="AH73">
        <v>1</v>
      </c>
      <c r="AI73">
        <v>0</v>
      </c>
      <c r="AJ73">
        <v>0.47058823529411764</v>
      </c>
      <c r="AK73">
        <v>0.375</v>
      </c>
      <c r="AL73">
        <v>6.25E-2</v>
      </c>
      <c r="AM73">
        <v>6.25E-2</v>
      </c>
      <c r="AN73">
        <v>0</v>
      </c>
    </row>
    <row r="74" spans="1:40" x14ac:dyDescent="0.25">
      <c r="A74">
        <v>2025</v>
      </c>
      <c r="B74" t="s">
        <v>99</v>
      </c>
      <c r="C74" t="str">
        <f>IF(COUNTIF('Rookies 22-25'!$B$198:$B$349,E74)&gt;0,"(R)","No")</f>
        <v>No</v>
      </c>
      <c r="D74">
        <v>28</v>
      </c>
      <c r="E74" t="s">
        <v>127</v>
      </c>
      <c r="F74" t="s">
        <v>28</v>
      </c>
      <c r="G74">
        <f>VLOOKUP(E74,'25 Draft ADP'!$B$3:$D$505,3,FALSE)</f>
        <v>187</v>
      </c>
      <c r="H74">
        <v>15</v>
      </c>
      <c r="I74">
        <v>4.5999999999999996</v>
      </c>
      <c r="J74">
        <v>10.8</v>
      </c>
      <c r="K74">
        <v>10.7</v>
      </c>
      <c r="L74" t="s">
        <v>33</v>
      </c>
      <c r="M74" t="s">
        <v>33</v>
      </c>
      <c r="N74">
        <v>6.8</v>
      </c>
      <c r="O74">
        <v>14.8</v>
      </c>
      <c r="P74">
        <v>8.9</v>
      </c>
      <c r="Q74">
        <v>17.5</v>
      </c>
      <c r="R74">
        <v>18.399999999999999</v>
      </c>
      <c r="S74" t="s">
        <v>22</v>
      </c>
      <c r="T74">
        <v>3.6</v>
      </c>
      <c r="U74">
        <v>17.8</v>
      </c>
      <c r="V74">
        <v>13</v>
      </c>
      <c r="W74">
        <v>2.6</v>
      </c>
      <c r="X74">
        <v>24.6</v>
      </c>
      <c r="Y74">
        <v>0</v>
      </c>
      <c r="Z74">
        <v>29.2</v>
      </c>
      <c r="AA74">
        <v>12.2</v>
      </c>
      <c r="AB74">
        <f t="shared" si="2"/>
        <v>154.10000000000002</v>
      </c>
      <c r="AC74">
        <v>183.3</v>
      </c>
      <c r="AD74">
        <v>16</v>
      </c>
      <c r="AE74">
        <f t="shared" si="3"/>
        <v>8</v>
      </c>
      <c r="AF74">
        <v>5</v>
      </c>
      <c r="AG74">
        <v>2</v>
      </c>
      <c r="AH74">
        <v>1</v>
      </c>
      <c r="AI74">
        <v>0</v>
      </c>
      <c r="AJ74">
        <v>0.52941176470588236</v>
      </c>
      <c r="AK74">
        <v>0.33333333333333331</v>
      </c>
      <c r="AL74">
        <v>0.13333333333333333</v>
      </c>
      <c r="AM74">
        <v>6.6666666666666666E-2</v>
      </c>
      <c r="AN74">
        <v>0</v>
      </c>
    </row>
    <row r="75" spans="1:40" x14ac:dyDescent="0.25">
      <c r="A75">
        <v>2025</v>
      </c>
      <c r="B75" t="s">
        <v>99</v>
      </c>
      <c r="C75" t="str">
        <f>IF(COUNTIF('Rookies 22-25'!$B$198:$B$349,E75)&gt;0,"(R)","No")</f>
        <v>No</v>
      </c>
      <c r="D75">
        <v>29</v>
      </c>
      <c r="E75" t="s">
        <v>128</v>
      </c>
      <c r="F75" t="s">
        <v>51</v>
      </c>
      <c r="G75">
        <f>VLOOKUP(E75,'25 Draft ADP'!$B$3:$D$505,3,FALSE)</f>
        <v>119</v>
      </c>
      <c r="H75">
        <v>17</v>
      </c>
      <c r="I75">
        <v>19.8</v>
      </c>
      <c r="J75">
        <v>17.100000000000001</v>
      </c>
      <c r="K75">
        <v>19.5</v>
      </c>
      <c r="L75">
        <v>8.6999999999999993</v>
      </c>
      <c r="M75">
        <v>10.8</v>
      </c>
      <c r="N75">
        <v>6.7</v>
      </c>
      <c r="O75">
        <v>28.9</v>
      </c>
      <c r="P75">
        <v>8.4</v>
      </c>
      <c r="Q75">
        <v>6.1</v>
      </c>
      <c r="R75">
        <v>3.9</v>
      </c>
      <c r="S75">
        <v>9.3000000000000007</v>
      </c>
      <c r="T75" t="s">
        <v>22</v>
      </c>
      <c r="U75">
        <v>7</v>
      </c>
      <c r="V75">
        <v>5.2</v>
      </c>
      <c r="W75">
        <v>8.6</v>
      </c>
      <c r="X75">
        <v>9.4</v>
      </c>
      <c r="Y75">
        <v>2.7</v>
      </c>
      <c r="Z75">
        <v>10.6</v>
      </c>
      <c r="AA75">
        <v>10.7</v>
      </c>
      <c r="AB75">
        <f t="shared" si="2"/>
        <v>172.1</v>
      </c>
      <c r="AC75">
        <v>182.7</v>
      </c>
      <c r="AD75">
        <v>9</v>
      </c>
      <c r="AE75">
        <f t="shared" si="3"/>
        <v>5</v>
      </c>
      <c r="AF75">
        <v>4</v>
      </c>
      <c r="AG75">
        <v>1</v>
      </c>
      <c r="AH75">
        <v>1</v>
      </c>
      <c r="AI75">
        <v>0</v>
      </c>
      <c r="AJ75">
        <v>0.35294117647058826</v>
      </c>
      <c r="AK75">
        <v>0.23529411764705882</v>
      </c>
      <c r="AL75">
        <v>5.8823529411764705E-2</v>
      </c>
      <c r="AM75">
        <v>5.8823529411764705E-2</v>
      </c>
      <c r="AN75">
        <v>0</v>
      </c>
    </row>
    <row r="76" spans="1:40" x14ac:dyDescent="0.25">
      <c r="A76">
        <v>2025</v>
      </c>
      <c r="B76" t="s">
        <v>99</v>
      </c>
      <c r="C76" t="str">
        <f>IF(COUNTIF('Rookies 22-25'!$B$198:$B$349,E76)&gt;0,"(R)","No")</f>
        <v>No</v>
      </c>
      <c r="D76">
        <v>30</v>
      </c>
      <c r="E76" t="s">
        <v>129</v>
      </c>
      <c r="F76" t="s">
        <v>51</v>
      </c>
      <c r="G76">
        <f>VLOOKUP(E76,'25 Draft ADP'!$B$3:$D$505,3,FALSE)</f>
        <v>23</v>
      </c>
      <c r="H76">
        <v>16</v>
      </c>
      <c r="I76">
        <v>13.4</v>
      </c>
      <c r="J76">
        <v>9.8000000000000007</v>
      </c>
      <c r="K76">
        <v>8.1</v>
      </c>
      <c r="L76">
        <v>2.1</v>
      </c>
      <c r="M76">
        <v>14.9</v>
      </c>
      <c r="N76">
        <v>23</v>
      </c>
      <c r="O76">
        <v>15.7</v>
      </c>
      <c r="P76">
        <v>20.8</v>
      </c>
      <c r="Q76">
        <v>9.6</v>
      </c>
      <c r="R76">
        <v>20.7</v>
      </c>
      <c r="S76">
        <v>4.3</v>
      </c>
      <c r="T76" t="s">
        <v>22</v>
      </c>
      <c r="U76">
        <v>13.9</v>
      </c>
      <c r="V76">
        <v>2.2000000000000002</v>
      </c>
      <c r="W76">
        <v>4</v>
      </c>
      <c r="X76">
        <v>14.3</v>
      </c>
      <c r="Y76">
        <v>4.0999999999999996</v>
      </c>
      <c r="Z76">
        <v>0</v>
      </c>
      <c r="AA76">
        <v>11.3</v>
      </c>
      <c r="AB76">
        <f t="shared" si="2"/>
        <v>180.9</v>
      </c>
      <c r="AC76">
        <v>180.9</v>
      </c>
      <c r="AD76">
        <v>2</v>
      </c>
      <c r="AE76">
        <f t="shared" si="3"/>
        <v>8</v>
      </c>
      <c r="AF76">
        <v>4</v>
      </c>
      <c r="AG76">
        <v>3</v>
      </c>
      <c r="AH76">
        <v>0</v>
      </c>
      <c r="AI76">
        <v>0</v>
      </c>
      <c r="AJ76">
        <v>0.47058823529411764</v>
      </c>
      <c r="AK76">
        <v>0.25</v>
      </c>
      <c r="AL76">
        <v>0.1875</v>
      </c>
      <c r="AM76">
        <v>0</v>
      </c>
      <c r="AN76">
        <v>0</v>
      </c>
    </row>
    <row r="77" spans="1:40" x14ac:dyDescent="0.25">
      <c r="A77">
        <v>2025</v>
      </c>
      <c r="B77" t="s">
        <v>99</v>
      </c>
      <c r="C77" t="str">
        <f>IF(COUNTIF('Rookies 22-25'!$B$198:$B$349,E77)&gt;0,"(R)","No")</f>
        <v>No</v>
      </c>
      <c r="D77">
        <v>31</v>
      </c>
      <c r="E77" t="s">
        <v>130</v>
      </c>
      <c r="F77" t="s">
        <v>78</v>
      </c>
      <c r="G77">
        <f>VLOOKUP(E77,'25 Draft ADP'!$B$3:$D$505,3,FALSE)</f>
        <v>198</v>
      </c>
      <c r="H77">
        <v>17</v>
      </c>
      <c r="I77">
        <v>8.4</v>
      </c>
      <c r="J77">
        <v>24</v>
      </c>
      <c r="K77">
        <v>2.8</v>
      </c>
      <c r="L77">
        <v>9.5</v>
      </c>
      <c r="M77">
        <v>8.5</v>
      </c>
      <c r="N77">
        <v>3.1</v>
      </c>
      <c r="O77">
        <v>12.9</v>
      </c>
      <c r="P77">
        <v>26.9</v>
      </c>
      <c r="Q77">
        <v>8.3000000000000007</v>
      </c>
      <c r="R77">
        <v>15</v>
      </c>
      <c r="S77">
        <v>12.4</v>
      </c>
      <c r="T77" t="s">
        <v>22</v>
      </c>
      <c r="U77">
        <v>4.0999999999999996</v>
      </c>
      <c r="V77">
        <v>4.0999999999999996</v>
      </c>
      <c r="W77">
        <v>20.8</v>
      </c>
      <c r="X77">
        <v>10.6</v>
      </c>
      <c r="Y77">
        <v>5.7</v>
      </c>
      <c r="Z77">
        <v>0</v>
      </c>
      <c r="AA77">
        <v>10.4</v>
      </c>
      <c r="AB77">
        <f t="shared" si="2"/>
        <v>177.1</v>
      </c>
      <c r="AC77">
        <v>177.1</v>
      </c>
      <c r="AD77">
        <v>17</v>
      </c>
      <c r="AE77">
        <f t="shared" si="3"/>
        <v>7</v>
      </c>
      <c r="AF77">
        <v>3</v>
      </c>
      <c r="AG77">
        <v>3</v>
      </c>
      <c r="AH77">
        <v>1</v>
      </c>
      <c r="AI77">
        <v>0</v>
      </c>
      <c r="AJ77">
        <v>0.41176470588235292</v>
      </c>
      <c r="AK77">
        <v>0.17647058823529413</v>
      </c>
      <c r="AL77">
        <v>0.17647058823529413</v>
      </c>
      <c r="AM77">
        <v>5.8823529411764705E-2</v>
      </c>
      <c r="AN77">
        <v>0</v>
      </c>
    </row>
    <row r="78" spans="1:40" x14ac:dyDescent="0.25">
      <c r="A78">
        <v>2025</v>
      </c>
      <c r="B78" t="s">
        <v>99</v>
      </c>
      <c r="C78" t="str">
        <f>IF(COUNTIF('Rookies 22-25'!$B$198:$B$349,E78)&gt;0,"(R)","No")</f>
        <v>No</v>
      </c>
      <c r="D78">
        <v>32</v>
      </c>
      <c r="E78" t="s">
        <v>131</v>
      </c>
      <c r="F78" t="s">
        <v>67</v>
      </c>
      <c r="G78">
        <f>VLOOKUP(E78,'25 Draft ADP'!$B$3:$D$505,3,FALSE)</f>
        <v>81</v>
      </c>
      <c r="H78">
        <v>16</v>
      </c>
      <c r="I78">
        <v>17.7</v>
      </c>
      <c r="J78">
        <v>12.8</v>
      </c>
      <c r="K78">
        <v>9.3000000000000007</v>
      </c>
      <c r="L78">
        <v>7</v>
      </c>
      <c r="M78">
        <v>7.2</v>
      </c>
      <c r="N78">
        <v>7.9</v>
      </c>
      <c r="O78" t="s">
        <v>33</v>
      </c>
      <c r="P78" t="s">
        <v>22</v>
      </c>
      <c r="Q78">
        <v>6.3</v>
      </c>
      <c r="R78">
        <v>7.1</v>
      </c>
      <c r="S78">
        <v>11.4</v>
      </c>
      <c r="T78">
        <v>15</v>
      </c>
      <c r="U78">
        <v>21.3</v>
      </c>
      <c r="V78">
        <v>14.8</v>
      </c>
      <c r="W78">
        <v>12.1</v>
      </c>
      <c r="X78">
        <v>8.6</v>
      </c>
      <c r="Y78">
        <v>7.9</v>
      </c>
      <c r="Z78">
        <v>9.4</v>
      </c>
      <c r="AA78">
        <v>11</v>
      </c>
      <c r="AB78">
        <f t="shared" si="2"/>
        <v>166.4</v>
      </c>
      <c r="AC78">
        <v>175.8</v>
      </c>
      <c r="AD78">
        <v>7</v>
      </c>
      <c r="AE78">
        <f t="shared" si="3"/>
        <v>7</v>
      </c>
      <c r="AF78">
        <v>2</v>
      </c>
      <c r="AG78">
        <v>1</v>
      </c>
      <c r="AH78">
        <v>0</v>
      </c>
      <c r="AI78">
        <v>0</v>
      </c>
      <c r="AJ78">
        <v>0.41176470588235292</v>
      </c>
      <c r="AK78">
        <v>0.125</v>
      </c>
      <c r="AL78">
        <v>6.25E-2</v>
      </c>
      <c r="AM78">
        <v>0</v>
      </c>
      <c r="AN78">
        <v>0</v>
      </c>
    </row>
    <row r="79" spans="1:40" x14ac:dyDescent="0.25">
      <c r="A79">
        <v>2025</v>
      </c>
      <c r="B79" t="s">
        <v>99</v>
      </c>
      <c r="C79" t="str">
        <f>IF(COUNTIF('Rookies 22-25'!$B$198:$B$349,E79)&gt;0,"(R)","No")</f>
        <v>No</v>
      </c>
      <c r="D79">
        <v>33</v>
      </c>
      <c r="E79" t="s">
        <v>132</v>
      </c>
      <c r="F79" t="s">
        <v>47</v>
      </c>
      <c r="G79">
        <f>VLOOKUP(E79,'25 Draft ADP'!$B$3:$D$505,3,FALSE)</f>
        <v>88</v>
      </c>
      <c r="H79">
        <v>15</v>
      </c>
      <c r="I79">
        <v>3.6</v>
      </c>
      <c r="J79">
        <v>19.899999999999999</v>
      </c>
      <c r="K79" t="s">
        <v>33</v>
      </c>
      <c r="L79">
        <v>6.4</v>
      </c>
      <c r="M79" t="s">
        <v>33</v>
      </c>
      <c r="N79">
        <v>1.7</v>
      </c>
      <c r="O79">
        <v>7.1</v>
      </c>
      <c r="P79">
        <v>8.5</v>
      </c>
      <c r="Q79">
        <v>14.1</v>
      </c>
      <c r="R79">
        <v>17.100000000000001</v>
      </c>
      <c r="S79">
        <v>9.4</v>
      </c>
      <c r="T79">
        <v>15.1</v>
      </c>
      <c r="U79">
        <v>13.9</v>
      </c>
      <c r="V79" t="s">
        <v>22</v>
      </c>
      <c r="W79">
        <v>18.7</v>
      </c>
      <c r="X79">
        <v>18.100000000000001</v>
      </c>
      <c r="Y79">
        <v>12.2</v>
      </c>
      <c r="Z79">
        <v>7.5</v>
      </c>
      <c r="AA79">
        <v>11.6</v>
      </c>
      <c r="AB79">
        <f t="shared" si="2"/>
        <v>165.8</v>
      </c>
      <c r="AC79">
        <v>173.3</v>
      </c>
      <c r="AD79">
        <v>8</v>
      </c>
      <c r="AE79">
        <f t="shared" si="3"/>
        <v>8</v>
      </c>
      <c r="AF79">
        <v>5</v>
      </c>
      <c r="AG79">
        <v>0</v>
      </c>
      <c r="AH79">
        <v>0</v>
      </c>
      <c r="AI79">
        <v>0</v>
      </c>
      <c r="AJ79">
        <v>0.47058823529411764</v>
      </c>
      <c r="AK79">
        <v>0.33333333333333331</v>
      </c>
      <c r="AL79">
        <v>0</v>
      </c>
      <c r="AM79">
        <v>0</v>
      </c>
      <c r="AN79">
        <v>0</v>
      </c>
    </row>
    <row r="80" spans="1:40" x14ac:dyDescent="0.25">
      <c r="A80">
        <v>2025</v>
      </c>
      <c r="B80" t="s">
        <v>99</v>
      </c>
      <c r="C80" t="str">
        <f>IF(COUNTIF('Rookies 22-25'!$B$198:$B$349,E80)&gt;0,"(R)","No")</f>
        <v>No</v>
      </c>
      <c r="D80">
        <v>34</v>
      </c>
      <c r="E80" t="s">
        <v>133</v>
      </c>
      <c r="F80" t="s">
        <v>51</v>
      </c>
      <c r="G80">
        <f>VLOOKUP(E80,'25 Draft ADP'!$B$3:$D$505,3,FALSE)</f>
        <v>191</v>
      </c>
      <c r="H80">
        <v>14</v>
      </c>
      <c r="I80">
        <v>24.9</v>
      </c>
      <c r="J80">
        <v>15.9</v>
      </c>
      <c r="K80">
        <v>14.9</v>
      </c>
      <c r="L80">
        <v>23.8</v>
      </c>
      <c r="M80">
        <v>6.9</v>
      </c>
      <c r="N80" t="s">
        <v>33</v>
      </c>
      <c r="O80">
        <v>11</v>
      </c>
      <c r="P80">
        <v>0</v>
      </c>
      <c r="Q80">
        <v>15.3</v>
      </c>
      <c r="R80">
        <v>9.1999999999999993</v>
      </c>
      <c r="S80">
        <v>0</v>
      </c>
      <c r="T80" t="s">
        <v>22</v>
      </c>
      <c r="U80">
        <v>11.3</v>
      </c>
      <c r="V80">
        <v>2.8</v>
      </c>
      <c r="W80" t="s">
        <v>33</v>
      </c>
      <c r="X80">
        <v>20.399999999999999</v>
      </c>
      <c r="Y80">
        <v>14.8</v>
      </c>
      <c r="Z80">
        <v>0</v>
      </c>
      <c r="AA80">
        <v>12.2</v>
      </c>
      <c r="AB80">
        <f t="shared" si="2"/>
        <v>171.2</v>
      </c>
      <c r="AC80">
        <v>171.2</v>
      </c>
      <c r="AD80">
        <v>16</v>
      </c>
      <c r="AE80">
        <f t="shared" si="3"/>
        <v>9</v>
      </c>
      <c r="AF80">
        <v>5</v>
      </c>
      <c r="AG80">
        <v>3</v>
      </c>
      <c r="AH80">
        <v>0</v>
      </c>
      <c r="AI80">
        <v>0</v>
      </c>
      <c r="AJ80">
        <v>0.52941176470588236</v>
      </c>
      <c r="AK80">
        <v>0.35714285714285715</v>
      </c>
      <c r="AL80">
        <v>0.21428571428571427</v>
      </c>
      <c r="AM80">
        <v>0</v>
      </c>
      <c r="AN80">
        <v>0</v>
      </c>
    </row>
    <row r="81" spans="1:40" x14ac:dyDescent="0.25">
      <c r="A81">
        <v>2025</v>
      </c>
      <c r="B81" t="s">
        <v>99</v>
      </c>
      <c r="C81" t="str">
        <f>IF(COUNTIF('Rookies 22-25'!$B$198:$B$349,E81)&gt;0,"(R)","No")</f>
        <v>No</v>
      </c>
      <c r="D81">
        <v>35</v>
      </c>
      <c r="E81" t="s">
        <v>134</v>
      </c>
      <c r="F81" t="s">
        <v>45</v>
      </c>
      <c r="G81">
        <f>VLOOKUP(E81,'25 Draft ADP'!$B$3:$D$505,3,FALSE)</f>
        <v>49</v>
      </c>
      <c r="H81">
        <v>17</v>
      </c>
      <c r="I81">
        <v>8.6</v>
      </c>
      <c r="J81">
        <v>9.6</v>
      </c>
      <c r="K81">
        <v>12.8</v>
      </c>
      <c r="L81">
        <v>7.8</v>
      </c>
      <c r="M81" t="s">
        <v>22</v>
      </c>
      <c r="N81">
        <v>8.1999999999999993</v>
      </c>
      <c r="O81">
        <v>8.1999999999999993</v>
      </c>
      <c r="P81">
        <v>11.6</v>
      </c>
      <c r="Q81">
        <v>23</v>
      </c>
      <c r="R81">
        <v>0</v>
      </c>
      <c r="S81">
        <v>3.1</v>
      </c>
      <c r="T81">
        <v>23.4</v>
      </c>
      <c r="U81">
        <v>4.7</v>
      </c>
      <c r="V81">
        <v>0.6</v>
      </c>
      <c r="W81">
        <v>22.9</v>
      </c>
      <c r="X81">
        <v>21.9</v>
      </c>
      <c r="Y81">
        <v>1.7</v>
      </c>
      <c r="Z81">
        <v>2.1</v>
      </c>
      <c r="AA81">
        <v>10</v>
      </c>
      <c r="AB81">
        <f t="shared" si="2"/>
        <v>168.1</v>
      </c>
      <c r="AC81">
        <v>170.2</v>
      </c>
      <c r="AD81">
        <v>5</v>
      </c>
      <c r="AE81">
        <f t="shared" si="3"/>
        <v>6</v>
      </c>
      <c r="AF81">
        <v>4</v>
      </c>
      <c r="AG81">
        <v>4</v>
      </c>
      <c r="AH81">
        <v>0</v>
      </c>
      <c r="AI81">
        <v>0</v>
      </c>
      <c r="AJ81">
        <v>0.35294117647058826</v>
      </c>
      <c r="AK81">
        <v>0.23529411764705882</v>
      </c>
      <c r="AL81">
        <v>0.23529411764705882</v>
      </c>
      <c r="AM81">
        <v>0</v>
      </c>
      <c r="AN81">
        <v>0</v>
      </c>
    </row>
    <row r="82" spans="1:40" x14ac:dyDescent="0.25">
      <c r="A82">
        <v>2025</v>
      </c>
      <c r="B82" t="s">
        <v>99</v>
      </c>
      <c r="C82" t="str">
        <f>IF(COUNTIF('Rookies 22-25'!$B$198:$B$349,E82)&gt;0,"(R)","No")</f>
        <v>No</v>
      </c>
      <c r="D82">
        <v>36</v>
      </c>
      <c r="E82" t="s">
        <v>135</v>
      </c>
      <c r="F82" t="s">
        <v>61</v>
      </c>
      <c r="G82">
        <f>VLOOKUP(E82,'25 Draft ADP'!$B$3:$D$505,3,FALSE)</f>
        <v>91</v>
      </c>
      <c r="H82">
        <v>16</v>
      </c>
      <c r="I82">
        <v>12.4</v>
      </c>
      <c r="J82">
        <v>2.2000000000000002</v>
      </c>
      <c r="K82">
        <v>14.5</v>
      </c>
      <c r="L82">
        <v>17.899999999999999</v>
      </c>
      <c r="M82">
        <v>11</v>
      </c>
      <c r="N82">
        <v>6.3</v>
      </c>
      <c r="O82" t="s">
        <v>22</v>
      </c>
      <c r="P82">
        <v>20.8</v>
      </c>
      <c r="Q82">
        <v>11.3</v>
      </c>
      <c r="R82">
        <v>12.8</v>
      </c>
      <c r="S82">
        <v>0.7</v>
      </c>
      <c r="T82">
        <v>17</v>
      </c>
      <c r="U82">
        <v>1.5</v>
      </c>
      <c r="V82">
        <v>9.6</v>
      </c>
      <c r="W82">
        <v>11.5</v>
      </c>
      <c r="X82">
        <v>7.4</v>
      </c>
      <c r="Y82">
        <v>9.5</v>
      </c>
      <c r="Z82">
        <v>0</v>
      </c>
      <c r="AA82">
        <v>10.4</v>
      </c>
      <c r="AB82">
        <f t="shared" si="2"/>
        <v>166.4</v>
      </c>
      <c r="AC82">
        <v>166.4</v>
      </c>
      <c r="AD82">
        <v>8</v>
      </c>
      <c r="AE82">
        <f t="shared" si="3"/>
        <v>9</v>
      </c>
      <c r="AF82">
        <v>3</v>
      </c>
      <c r="AG82">
        <v>1</v>
      </c>
      <c r="AH82">
        <v>0</v>
      </c>
      <c r="AI82">
        <v>0</v>
      </c>
      <c r="AJ82">
        <v>0.52941176470588236</v>
      </c>
      <c r="AK82">
        <v>0.1875</v>
      </c>
      <c r="AL82">
        <v>6.25E-2</v>
      </c>
      <c r="AM82">
        <v>0</v>
      </c>
      <c r="AN82">
        <v>0</v>
      </c>
    </row>
    <row r="83" spans="1:40" x14ac:dyDescent="0.25">
      <c r="A83">
        <v>2025</v>
      </c>
      <c r="B83" t="s">
        <v>99</v>
      </c>
      <c r="C83" t="str">
        <f>IF(COUNTIF('Rookies 22-25'!$B$198:$B$349,E83)&gt;0,"(R)","No")</f>
        <v>No</v>
      </c>
      <c r="D83">
        <v>37</v>
      </c>
      <c r="E83" t="s">
        <v>136</v>
      </c>
      <c r="F83" t="s">
        <v>69</v>
      </c>
      <c r="G83">
        <f>VLOOKUP(E83,'25 Draft ADP'!$B$3:$D$505,3,FALSE)</f>
        <v>158</v>
      </c>
      <c r="H83">
        <v>16</v>
      </c>
      <c r="I83">
        <v>8.8000000000000007</v>
      </c>
      <c r="J83">
        <v>11.8</v>
      </c>
      <c r="K83">
        <v>4.5</v>
      </c>
      <c r="L83">
        <v>29.8</v>
      </c>
      <c r="M83" t="s">
        <v>22</v>
      </c>
      <c r="N83">
        <v>10.5</v>
      </c>
      <c r="O83">
        <v>13.2</v>
      </c>
      <c r="P83">
        <v>9.4</v>
      </c>
      <c r="Q83">
        <v>16.100000000000001</v>
      </c>
      <c r="R83">
        <v>1.5</v>
      </c>
      <c r="S83">
        <v>9.3000000000000007</v>
      </c>
      <c r="T83">
        <v>4.3</v>
      </c>
      <c r="U83">
        <v>12</v>
      </c>
      <c r="V83">
        <v>0</v>
      </c>
      <c r="W83">
        <v>5.6</v>
      </c>
      <c r="X83">
        <v>19.399999999999999</v>
      </c>
      <c r="Y83">
        <v>9.1999999999999993</v>
      </c>
      <c r="Z83">
        <v>0</v>
      </c>
      <c r="AA83">
        <v>10.3</v>
      </c>
      <c r="AB83">
        <f t="shared" si="2"/>
        <v>165.4</v>
      </c>
      <c r="AC83">
        <v>165.4</v>
      </c>
      <c r="AD83">
        <v>13</v>
      </c>
      <c r="AE83">
        <f t="shared" si="3"/>
        <v>7</v>
      </c>
      <c r="AF83">
        <v>3</v>
      </c>
      <c r="AG83">
        <v>1</v>
      </c>
      <c r="AH83">
        <v>1</v>
      </c>
      <c r="AI83">
        <v>0</v>
      </c>
      <c r="AJ83">
        <v>0.41176470588235292</v>
      </c>
      <c r="AK83">
        <v>0.1875</v>
      </c>
      <c r="AL83">
        <v>6.25E-2</v>
      </c>
      <c r="AM83">
        <v>6.25E-2</v>
      </c>
      <c r="AN83">
        <v>0</v>
      </c>
    </row>
    <row r="84" spans="1:40" x14ac:dyDescent="0.25">
      <c r="A84">
        <v>2025</v>
      </c>
      <c r="B84" t="s">
        <v>99</v>
      </c>
      <c r="C84" t="str">
        <f>IF(COUNTIF('Rookies 22-25'!$B$198:$B$349,E84)&gt;0,"(R)","No")</f>
        <v>No</v>
      </c>
      <c r="D84">
        <v>38</v>
      </c>
      <c r="E84" t="s">
        <v>137</v>
      </c>
      <c r="F84" t="s">
        <v>43</v>
      </c>
      <c r="G84">
        <f>VLOOKUP(E84,'25 Draft ADP'!$B$3:$D$505,3,FALSE)</f>
        <v>251</v>
      </c>
      <c r="H84">
        <v>17</v>
      </c>
      <c r="I84">
        <v>13.4</v>
      </c>
      <c r="J84">
        <v>4.9000000000000004</v>
      </c>
      <c r="K84">
        <v>40.9</v>
      </c>
      <c r="L84">
        <v>4.2</v>
      </c>
      <c r="M84">
        <v>11.1</v>
      </c>
      <c r="N84">
        <v>12</v>
      </c>
      <c r="O84">
        <v>8.3000000000000007</v>
      </c>
      <c r="P84" t="s">
        <v>22</v>
      </c>
      <c r="Q84">
        <v>6.8</v>
      </c>
      <c r="R84">
        <v>5.5</v>
      </c>
      <c r="S84">
        <v>14.7</v>
      </c>
      <c r="T84">
        <v>5.8</v>
      </c>
      <c r="U84">
        <v>5</v>
      </c>
      <c r="V84">
        <v>4.4000000000000004</v>
      </c>
      <c r="W84">
        <v>0</v>
      </c>
      <c r="X84">
        <v>9.4</v>
      </c>
      <c r="Y84">
        <v>9.9</v>
      </c>
      <c r="Z84">
        <v>5.4</v>
      </c>
      <c r="AA84">
        <v>9.5</v>
      </c>
      <c r="AB84">
        <f t="shared" si="2"/>
        <v>156.29999999999998</v>
      </c>
      <c r="AC84">
        <v>161.69999999999999</v>
      </c>
      <c r="AD84">
        <v>20</v>
      </c>
      <c r="AE84">
        <f t="shared" si="3"/>
        <v>5</v>
      </c>
      <c r="AF84">
        <v>1</v>
      </c>
      <c r="AG84">
        <v>1</v>
      </c>
      <c r="AH84">
        <v>1</v>
      </c>
      <c r="AI84">
        <v>1</v>
      </c>
      <c r="AJ84">
        <v>0.29411764705882354</v>
      </c>
      <c r="AK84">
        <v>5.8823529411764705E-2</v>
      </c>
      <c r="AL84">
        <v>5.8823529411764705E-2</v>
      </c>
      <c r="AM84">
        <v>5.8823529411764705E-2</v>
      </c>
      <c r="AN84">
        <v>5.8823529411764705E-2</v>
      </c>
    </row>
    <row r="85" spans="1:40" x14ac:dyDescent="0.25">
      <c r="A85">
        <v>2025</v>
      </c>
      <c r="B85" t="s">
        <v>99</v>
      </c>
      <c r="C85" t="str">
        <f>IF(COUNTIF('Rookies 22-25'!$B$198:$B$349,E85)&gt;0,"(R)","No")</f>
        <v>No</v>
      </c>
      <c r="D85">
        <v>39</v>
      </c>
      <c r="E85" t="s">
        <v>138</v>
      </c>
      <c r="F85" t="s">
        <v>49</v>
      </c>
      <c r="G85">
        <f>VLOOKUP(E85,'25 Draft ADP'!$B$3:$D$505,3,FALSE)</f>
        <v>114</v>
      </c>
      <c r="H85">
        <v>18</v>
      </c>
      <c r="I85">
        <v>9.3000000000000007</v>
      </c>
      <c r="J85">
        <v>15.2</v>
      </c>
      <c r="K85">
        <v>8.1999999999999993</v>
      </c>
      <c r="L85">
        <v>9.1999999999999993</v>
      </c>
      <c r="M85">
        <v>21.4</v>
      </c>
      <c r="N85">
        <v>6.8</v>
      </c>
      <c r="O85">
        <v>8</v>
      </c>
      <c r="P85">
        <v>14.5</v>
      </c>
      <c r="Q85">
        <v>11.8</v>
      </c>
      <c r="R85">
        <v>3.3</v>
      </c>
      <c r="S85">
        <v>4.9000000000000004</v>
      </c>
      <c r="T85">
        <v>0.5</v>
      </c>
      <c r="U85">
        <v>2.6</v>
      </c>
      <c r="V85">
        <v>16.7</v>
      </c>
      <c r="W85">
        <v>12.1</v>
      </c>
      <c r="X85">
        <v>9.1</v>
      </c>
      <c r="Y85">
        <v>1.8</v>
      </c>
      <c r="Z85">
        <v>1.2</v>
      </c>
      <c r="AA85">
        <v>8.6999999999999993</v>
      </c>
      <c r="AB85">
        <f t="shared" si="2"/>
        <v>155.4</v>
      </c>
      <c r="AC85">
        <v>156.6</v>
      </c>
      <c r="AD85">
        <v>10</v>
      </c>
      <c r="AE85">
        <f t="shared" si="3"/>
        <v>6</v>
      </c>
      <c r="AF85">
        <v>3</v>
      </c>
      <c r="AG85">
        <v>1</v>
      </c>
      <c r="AH85">
        <v>0</v>
      </c>
      <c r="AI85">
        <v>0</v>
      </c>
      <c r="AJ85">
        <v>0.35294117647058826</v>
      </c>
      <c r="AK85">
        <v>0.16666666666666666</v>
      </c>
      <c r="AL85">
        <v>5.5555555555555552E-2</v>
      </c>
      <c r="AM85">
        <v>0</v>
      </c>
      <c r="AN85">
        <v>0</v>
      </c>
    </row>
    <row r="86" spans="1:40" x14ac:dyDescent="0.25">
      <c r="A86">
        <v>2025</v>
      </c>
      <c r="B86" t="s">
        <v>99</v>
      </c>
      <c r="C86" t="str">
        <f>IF(COUNTIF('Rookies 22-25'!$B$198:$B$349,E86)&gt;0,"(R)","No")</f>
        <v>No</v>
      </c>
      <c r="D86">
        <v>40</v>
      </c>
      <c r="E86" t="s">
        <v>139</v>
      </c>
      <c r="F86" t="s">
        <v>26</v>
      </c>
      <c r="G86">
        <f>VLOOKUP(E86,'25 Draft ADP'!$B$3:$D$505,3,FALSE)</f>
        <v>67</v>
      </c>
      <c r="H86">
        <v>8</v>
      </c>
      <c r="I86" t="s">
        <v>33</v>
      </c>
      <c r="J86" t="s">
        <v>33</v>
      </c>
      <c r="K86" t="s">
        <v>33</v>
      </c>
      <c r="L86" t="s">
        <v>33</v>
      </c>
      <c r="M86" t="s">
        <v>33</v>
      </c>
      <c r="N86" t="s">
        <v>33</v>
      </c>
      <c r="O86">
        <v>23.2</v>
      </c>
      <c r="P86">
        <v>25.5</v>
      </c>
      <c r="Q86">
        <v>18.600000000000001</v>
      </c>
      <c r="R86" t="s">
        <v>22</v>
      </c>
      <c r="S86">
        <v>9.8000000000000007</v>
      </c>
      <c r="T86">
        <v>24.1</v>
      </c>
      <c r="U86">
        <v>29.4</v>
      </c>
      <c r="V86">
        <v>7.4</v>
      </c>
      <c r="W86">
        <v>12.1</v>
      </c>
      <c r="X86" t="s">
        <v>33</v>
      </c>
      <c r="Y86" t="s">
        <v>33</v>
      </c>
      <c r="Z86">
        <v>0</v>
      </c>
      <c r="AA86">
        <v>18.8</v>
      </c>
      <c r="AB86">
        <f t="shared" si="2"/>
        <v>150.1</v>
      </c>
      <c r="AC86">
        <v>150.1</v>
      </c>
      <c r="AD86">
        <v>6</v>
      </c>
      <c r="AE86">
        <f t="shared" si="3"/>
        <v>6</v>
      </c>
      <c r="AF86">
        <v>5</v>
      </c>
      <c r="AG86">
        <v>4</v>
      </c>
      <c r="AH86">
        <v>2</v>
      </c>
      <c r="AI86">
        <v>0</v>
      </c>
      <c r="AJ86">
        <v>0.35294117647058826</v>
      </c>
      <c r="AK86">
        <v>0.625</v>
      </c>
      <c r="AL86">
        <v>0.5</v>
      </c>
      <c r="AM86">
        <v>0.25</v>
      </c>
      <c r="AN86">
        <v>0</v>
      </c>
    </row>
    <row r="87" spans="1:40" x14ac:dyDescent="0.25">
      <c r="A87">
        <v>2025</v>
      </c>
      <c r="B87" t="s">
        <v>99</v>
      </c>
      <c r="C87" t="str">
        <f>IF(COUNTIF('Rookies 22-25'!$B$198:$B$349,E87)&gt;0,"(R)","No")</f>
        <v>No</v>
      </c>
      <c r="D87">
        <v>41</v>
      </c>
      <c r="E87" t="s">
        <v>140</v>
      </c>
      <c r="F87" t="s">
        <v>45</v>
      </c>
      <c r="G87">
        <f>VLOOKUP(E87,'25 Draft ADP'!$B$3:$D$505,3,FALSE)</f>
        <v>71</v>
      </c>
      <c r="H87">
        <v>12</v>
      </c>
      <c r="I87">
        <v>15.7</v>
      </c>
      <c r="J87">
        <v>31.8</v>
      </c>
      <c r="K87">
        <v>15.2</v>
      </c>
      <c r="L87">
        <v>16.899999999999999</v>
      </c>
      <c r="M87" t="s">
        <v>22</v>
      </c>
      <c r="N87">
        <v>5.2</v>
      </c>
      <c r="O87">
        <v>5.0999999999999996</v>
      </c>
      <c r="P87">
        <v>18.399999999999999</v>
      </c>
      <c r="Q87">
        <v>0</v>
      </c>
      <c r="R87">
        <v>20.6</v>
      </c>
      <c r="S87">
        <v>6.1</v>
      </c>
      <c r="T87">
        <v>8.3000000000000007</v>
      </c>
      <c r="U87">
        <v>2.8</v>
      </c>
      <c r="V87" t="s">
        <v>33</v>
      </c>
      <c r="W87" t="s">
        <v>33</v>
      </c>
      <c r="X87" t="s">
        <v>33</v>
      </c>
      <c r="Y87" t="s">
        <v>33</v>
      </c>
      <c r="Z87">
        <v>0</v>
      </c>
      <c r="AA87">
        <v>12.2</v>
      </c>
      <c r="AB87">
        <f t="shared" si="2"/>
        <v>146.1</v>
      </c>
      <c r="AC87">
        <v>146.1</v>
      </c>
      <c r="AD87">
        <v>6</v>
      </c>
      <c r="AE87">
        <f t="shared" si="3"/>
        <v>6</v>
      </c>
      <c r="AF87">
        <v>6</v>
      </c>
      <c r="AG87">
        <v>2</v>
      </c>
      <c r="AH87">
        <v>1</v>
      </c>
      <c r="AI87">
        <v>1</v>
      </c>
      <c r="AJ87">
        <v>0.35294117647058826</v>
      </c>
      <c r="AK87">
        <v>0.5</v>
      </c>
      <c r="AL87">
        <v>0.16666666666666666</v>
      </c>
      <c r="AM87">
        <v>8.3333333333333329E-2</v>
      </c>
      <c r="AN87">
        <v>8.3333333333333329E-2</v>
      </c>
    </row>
    <row r="88" spans="1:40" x14ac:dyDescent="0.25">
      <c r="A88">
        <v>2025</v>
      </c>
      <c r="B88" t="s">
        <v>99</v>
      </c>
      <c r="C88" t="str">
        <f>IF(COUNTIF('Rookies 22-25'!$B$198:$B$349,E88)&gt;0,"(R)","No")</f>
        <v>No</v>
      </c>
      <c r="D88">
        <v>42</v>
      </c>
      <c r="E88" t="s">
        <v>141</v>
      </c>
      <c r="F88" t="s">
        <v>67</v>
      </c>
      <c r="G88">
        <f>VLOOKUP(E88,'25 Draft ADP'!$B$3:$D$505,3,FALSE)</f>
        <v>13</v>
      </c>
      <c r="H88">
        <v>14</v>
      </c>
      <c r="I88">
        <v>9</v>
      </c>
      <c r="J88">
        <v>8.9</v>
      </c>
      <c r="K88">
        <v>7.5</v>
      </c>
      <c r="L88">
        <v>10.6</v>
      </c>
      <c r="M88">
        <v>12</v>
      </c>
      <c r="N88">
        <v>23</v>
      </c>
      <c r="O88">
        <v>6.1</v>
      </c>
      <c r="P88" t="s">
        <v>22</v>
      </c>
      <c r="Q88">
        <v>8.5</v>
      </c>
      <c r="R88" t="s">
        <v>33</v>
      </c>
      <c r="S88" t="s">
        <v>33</v>
      </c>
      <c r="T88" t="s">
        <v>33</v>
      </c>
      <c r="U88">
        <v>4.8</v>
      </c>
      <c r="V88">
        <v>11.7</v>
      </c>
      <c r="W88">
        <v>17.100000000000001</v>
      </c>
      <c r="X88">
        <v>3.8</v>
      </c>
      <c r="Y88">
        <v>7.9</v>
      </c>
      <c r="Z88">
        <v>7.9</v>
      </c>
      <c r="AA88">
        <v>9.9</v>
      </c>
      <c r="AB88">
        <f t="shared" si="2"/>
        <v>130.9</v>
      </c>
      <c r="AC88">
        <v>138.80000000000001</v>
      </c>
      <c r="AD88">
        <v>2</v>
      </c>
      <c r="AE88">
        <f t="shared" si="3"/>
        <v>5</v>
      </c>
      <c r="AF88">
        <v>2</v>
      </c>
      <c r="AG88">
        <v>1</v>
      </c>
      <c r="AH88">
        <v>0</v>
      </c>
      <c r="AI88">
        <v>0</v>
      </c>
      <c r="AJ88">
        <v>0.29411764705882354</v>
      </c>
      <c r="AK88">
        <v>0.14285714285714285</v>
      </c>
      <c r="AL88">
        <v>7.1428571428571425E-2</v>
      </c>
      <c r="AM88">
        <v>0</v>
      </c>
      <c r="AN88">
        <v>0</v>
      </c>
    </row>
    <row r="89" spans="1:40" x14ac:dyDescent="0.25">
      <c r="A89">
        <v>2025</v>
      </c>
      <c r="B89" t="s">
        <v>99</v>
      </c>
      <c r="C89" t="str">
        <f>IF(COUNTIF('Rookies 22-25'!$B$198:$B$349,E89)&gt;0,"(R)","No")</f>
        <v>No</v>
      </c>
      <c r="D89">
        <v>43</v>
      </c>
      <c r="E89" t="s">
        <v>142</v>
      </c>
      <c r="F89" t="s">
        <v>26</v>
      </c>
      <c r="G89">
        <f>VLOOKUP(E89,'25 Draft ADP'!$B$3:$D$505,3,FALSE)</f>
        <v>151</v>
      </c>
      <c r="H89">
        <v>16</v>
      </c>
      <c r="I89">
        <v>19.899999999999999</v>
      </c>
      <c r="J89">
        <v>8</v>
      </c>
      <c r="K89">
        <v>8.1999999999999993</v>
      </c>
      <c r="L89">
        <v>12.8</v>
      </c>
      <c r="M89">
        <v>8.8000000000000007</v>
      </c>
      <c r="N89">
        <v>20.5</v>
      </c>
      <c r="O89">
        <v>9.4</v>
      </c>
      <c r="P89">
        <v>0</v>
      </c>
      <c r="Q89">
        <v>9.3000000000000007</v>
      </c>
      <c r="R89" t="s">
        <v>22</v>
      </c>
      <c r="S89">
        <v>8</v>
      </c>
      <c r="T89">
        <v>2</v>
      </c>
      <c r="U89">
        <v>10</v>
      </c>
      <c r="V89">
        <v>4.5</v>
      </c>
      <c r="W89" t="s">
        <v>33</v>
      </c>
      <c r="X89">
        <v>5.2</v>
      </c>
      <c r="Y89">
        <v>1.7</v>
      </c>
      <c r="Z89">
        <v>9.4</v>
      </c>
      <c r="AA89">
        <v>8.6</v>
      </c>
      <c r="AB89">
        <f t="shared" si="2"/>
        <v>128.29999999999998</v>
      </c>
      <c r="AC89">
        <v>137.69999999999999</v>
      </c>
      <c r="AD89">
        <v>14</v>
      </c>
      <c r="AE89">
        <f t="shared" si="3"/>
        <v>3</v>
      </c>
      <c r="AF89">
        <v>2</v>
      </c>
      <c r="AG89">
        <v>1</v>
      </c>
      <c r="AH89">
        <v>0</v>
      </c>
      <c r="AI89">
        <v>0</v>
      </c>
      <c r="AJ89">
        <v>0.17647058823529413</v>
      </c>
      <c r="AK89">
        <v>0.125</v>
      </c>
      <c r="AL89">
        <v>6.25E-2</v>
      </c>
      <c r="AM89">
        <v>0</v>
      </c>
      <c r="AN89">
        <v>0</v>
      </c>
    </row>
    <row r="90" spans="1:40" x14ac:dyDescent="0.25">
      <c r="A90">
        <v>2025</v>
      </c>
      <c r="B90" t="s">
        <v>99</v>
      </c>
      <c r="C90" t="str">
        <f>IF(COUNTIF('Rookies 22-25'!$B$198:$B$349,E90)&gt;0,"(R)","No")</f>
        <v>No</v>
      </c>
      <c r="D90">
        <v>44</v>
      </c>
      <c r="E90" t="s">
        <v>143</v>
      </c>
      <c r="F90" t="s">
        <v>28</v>
      </c>
      <c r="G90">
        <f>VLOOKUP(E90,'25 Draft ADP'!$B$3:$D$505,3,FALSE)</f>
        <v>102</v>
      </c>
      <c r="H90">
        <v>16</v>
      </c>
      <c r="I90">
        <v>3.2</v>
      </c>
      <c r="J90">
        <v>11.1</v>
      </c>
      <c r="K90">
        <v>5.4</v>
      </c>
      <c r="L90">
        <v>6.4</v>
      </c>
      <c r="M90">
        <v>11.4</v>
      </c>
      <c r="N90">
        <v>16.2</v>
      </c>
      <c r="O90" t="s">
        <v>33</v>
      </c>
      <c r="P90">
        <v>12.9</v>
      </c>
      <c r="Q90">
        <v>15.7</v>
      </c>
      <c r="R90">
        <v>1.3</v>
      </c>
      <c r="S90" t="s">
        <v>22</v>
      </c>
      <c r="T90">
        <v>3</v>
      </c>
      <c r="U90">
        <v>6.4</v>
      </c>
      <c r="V90">
        <v>6.3</v>
      </c>
      <c r="W90">
        <v>10.3</v>
      </c>
      <c r="X90">
        <v>11.8</v>
      </c>
      <c r="Y90">
        <v>5.4</v>
      </c>
      <c r="Z90">
        <v>9.6</v>
      </c>
      <c r="AA90">
        <v>8.5</v>
      </c>
      <c r="AB90">
        <f t="shared" si="2"/>
        <v>126.80000000000001</v>
      </c>
      <c r="AC90">
        <v>136.4</v>
      </c>
      <c r="AD90">
        <v>9</v>
      </c>
      <c r="AE90">
        <f t="shared" si="3"/>
        <v>7</v>
      </c>
      <c r="AF90">
        <v>2</v>
      </c>
      <c r="AG90">
        <v>0</v>
      </c>
      <c r="AH90">
        <v>0</v>
      </c>
      <c r="AI90">
        <v>0</v>
      </c>
      <c r="AJ90">
        <v>0.41176470588235292</v>
      </c>
      <c r="AK90">
        <v>0.125</v>
      </c>
      <c r="AL90">
        <v>0</v>
      </c>
      <c r="AM90">
        <v>0</v>
      </c>
      <c r="AN90">
        <v>0</v>
      </c>
    </row>
    <row r="91" spans="1:40" x14ac:dyDescent="0.25">
      <c r="A91">
        <v>2025</v>
      </c>
      <c r="B91" t="s">
        <v>99</v>
      </c>
      <c r="C91" t="str">
        <f>IF(COUNTIF('Rookies 22-25'!$B$198:$B$349,E91)&gt;0,"(R)","No")</f>
        <v>No</v>
      </c>
      <c r="D91">
        <v>45</v>
      </c>
      <c r="E91" t="s">
        <v>144</v>
      </c>
      <c r="F91" t="s">
        <v>73</v>
      </c>
      <c r="G91">
        <f>VLOOKUP(E91,'25 Draft ADP'!$B$3:$D$505,3,FALSE)</f>
        <v>84</v>
      </c>
      <c r="H91">
        <v>14</v>
      </c>
      <c r="I91" t="s">
        <v>33</v>
      </c>
      <c r="J91" t="s">
        <v>33</v>
      </c>
      <c r="K91" t="s">
        <v>33</v>
      </c>
      <c r="L91">
        <v>15.4</v>
      </c>
      <c r="M91">
        <v>15.1</v>
      </c>
      <c r="N91" t="s">
        <v>22</v>
      </c>
      <c r="O91">
        <v>21.8</v>
      </c>
      <c r="P91">
        <v>11.6</v>
      </c>
      <c r="Q91">
        <v>8.4</v>
      </c>
      <c r="R91">
        <v>6.5</v>
      </c>
      <c r="S91">
        <v>10</v>
      </c>
      <c r="T91">
        <v>0</v>
      </c>
      <c r="U91">
        <v>8.6</v>
      </c>
      <c r="V91">
        <v>10.199999999999999</v>
      </c>
      <c r="W91">
        <v>8.6</v>
      </c>
      <c r="X91">
        <v>4.5999999999999996</v>
      </c>
      <c r="Y91">
        <v>12.5</v>
      </c>
      <c r="Z91">
        <v>1.8</v>
      </c>
      <c r="AA91">
        <v>9.6999999999999993</v>
      </c>
      <c r="AB91">
        <f t="shared" si="2"/>
        <v>133.29999999999998</v>
      </c>
      <c r="AC91">
        <v>135.1</v>
      </c>
      <c r="AD91">
        <v>8</v>
      </c>
      <c r="AE91">
        <f t="shared" si="3"/>
        <v>6</v>
      </c>
      <c r="AF91">
        <v>3</v>
      </c>
      <c r="AG91">
        <v>1</v>
      </c>
      <c r="AH91">
        <v>0</v>
      </c>
      <c r="AI91">
        <v>0</v>
      </c>
      <c r="AJ91">
        <v>0.35294117647058826</v>
      </c>
      <c r="AK91">
        <v>0.21428571428571427</v>
      </c>
      <c r="AL91">
        <v>7.1428571428571425E-2</v>
      </c>
      <c r="AM91">
        <v>0</v>
      </c>
      <c r="AN91">
        <v>0</v>
      </c>
    </row>
    <row r="92" spans="1:40" x14ac:dyDescent="0.25">
      <c r="A92">
        <v>2025</v>
      </c>
      <c r="B92" t="s">
        <v>99</v>
      </c>
      <c r="C92" t="str">
        <f>IF(COUNTIF('Rookies 22-25'!$B$198:$B$349,E92)&gt;0,"(R)","No")</f>
        <v>No</v>
      </c>
      <c r="D92">
        <v>46</v>
      </c>
      <c r="E92" t="s">
        <v>145</v>
      </c>
      <c r="F92" t="s">
        <v>69</v>
      </c>
      <c r="G92">
        <f>VLOOKUP(E92,'25 Draft ADP'!$B$3:$D$505,3,FALSE)</f>
        <v>276</v>
      </c>
      <c r="H92">
        <v>10</v>
      </c>
      <c r="I92" t="s">
        <v>33</v>
      </c>
      <c r="J92" t="s">
        <v>33</v>
      </c>
      <c r="K92" t="s">
        <v>33</v>
      </c>
      <c r="L92" t="s">
        <v>33</v>
      </c>
      <c r="M92" t="s">
        <v>22</v>
      </c>
      <c r="N92" t="s">
        <v>33</v>
      </c>
      <c r="O92" t="s">
        <v>33</v>
      </c>
      <c r="P92">
        <v>12.5</v>
      </c>
      <c r="Q92">
        <v>7.8</v>
      </c>
      <c r="R92">
        <v>6.5</v>
      </c>
      <c r="S92">
        <v>20.6</v>
      </c>
      <c r="T92">
        <v>9.9</v>
      </c>
      <c r="U92">
        <v>18.3</v>
      </c>
      <c r="V92">
        <v>24.9</v>
      </c>
      <c r="W92">
        <v>5.9</v>
      </c>
      <c r="X92">
        <v>3.7</v>
      </c>
      <c r="Y92">
        <v>22.3</v>
      </c>
      <c r="Z92">
        <v>0</v>
      </c>
      <c r="AA92">
        <v>13.2</v>
      </c>
      <c r="AB92">
        <f t="shared" si="2"/>
        <v>132.4</v>
      </c>
      <c r="AC92">
        <v>132.4</v>
      </c>
      <c r="AD92">
        <v>20</v>
      </c>
      <c r="AE92">
        <f t="shared" si="3"/>
        <v>5</v>
      </c>
      <c r="AF92">
        <v>4</v>
      </c>
      <c r="AG92">
        <v>3</v>
      </c>
      <c r="AH92">
        <v>0</v>
      </c>
      <c r="AI92">
        <v>0</v>
      </c>
      <c r="AJ92">
        <v>0.29411764705882354</v>
      </c>
      <c r="AK92">
        <v>0.4</v>
      </c>
      <c r="AL92">
        <v>0.3</v>
      </c>
      <c r="AM92">
        <v>0</v>
      </c>
      <c r="AN92">
        <v>0</v>
      </c>
    </row>
    <row r="93" spans="1:40" x14ac:dyDescent="0.25">
      <c r="A93">
        <v>2025</v>
      </c>
      <c r="B93" t="s">
        <v>99</v>
      </c>
      <c r="C93" t="str">
        <f>IF(COUNTIF('Rookies 22-25'!$B$198:$B$349,E93)&gt;0,"(R)","No")</f>
        <v>(R)</v>
      </c>
      <c r="D93">
        <v>47</v>
      </c>
      <c r="E93" t="s">
        <v>146</v>
      </c>
      <c r="F93" t="s">
        <v>41</v>
      </c>
      <c r="G93">
        <f>VLOOKUP(E93,'25 Draft ADP'!$B$3:$D$505,3,FALSE)</f>
        <v>117</v>
      </c>
      <c r="H93">
        <v>17</v>
      </c>
      <c r="I93">
        <v>5.2</v>
      </c>
      <c r="J93">
        <v>3.8</v>
      </c>
      <c r="K93">
        <v>1.5</v>
      </c>
      <c r="L93">
        <v>9.4</v>
      </c>
      <c r="M93">
        <v>7.2</v>
      </c>
      <c r="N93" t="s">
        <v>22</v>
      </c>
      <c r="O93">
        <v>0</v>
      </c>
      <c r="P93">
        <v>13.4</v>
      </c>
      <c r="Q93">
        <v>1.4</v>
      </c>
      <c r="R93">
        <v>15.2</v>
      </c>
      <c r="S93">
        <v>9.5</v>
      </c>
      <c r="T93">
        <v>13.8</v>
      </c>
      <c r="U93">
        <v>11.5</v>
      </c>
      <c r="V93">
        <v>6.4</v>
      </c>
      <c r="W93">
        <v>1.4</v>
      </c>
      <c r="X93">
        <v>2.7</v>
      </c>
      <c r="Y93">
        <v>16.8</v>
      </c>
      <c r="Z93">
        <v>10.3</v>
      </c>
      <c r="AA93">
        <v>7.6</v>
      </c>
      <c r="AB93">
        <f t="shared" si="2"/>
        <v>119.2</v>
      </c>
      <c r="AC93">
        <v>129.5</v>
      </c>
      <c r="AD93">
        <v>10</v>
      </c>
      <c r="AE93">
        <f t="shared" si="3"/>
        <v>5</v>
      </c>
      <c r="AF93">
        <v>2</v>
      </c>
      <c r="AG93">
        <v>0</v>
      </c>
      <c r="AH93">
        <v>0</v>
      </c>
      <c r="AI93">
        <v>0</v>
      </c>
      <c r="AJ93">
        <v>0.35294117647058826</v>
      </c>
      <c r="AK93">
        <v>0.11764705882352941</v>
      </c>
      <c r="AL93">
        <v>0</v>
      </c>
      <c r="AM93">
        <v>0</v>
      </c>
      <c r="AN93">
        <v>0</v>
      </c>
    </row>
    <row r="94" spans="1:40" x14ac:dyDescent="0.25">
      <c r="A94">
        <v>2025</v>
      </c>
      <c r="B94" t="s">
        <v>99</v>
      </c>
      <c r="C94" t="str">
        <f>IF(COUNTIF('Rookies 22-25'!$B$198:$B$349,E94)&gt;0,"(R)","No")</f>
        <v>(R)</v>
      </c>
      <c r="D94">
        <v>48</v>
      </c>
      <c r="E94" t="s">
        <v>147</v>
      </c>
      <c r="F94" t="s">
        <v>45</v>
      </c>
      <c r="G94">
        <f>VLOOKUP(E94,'25 Draft ADP'!$B$3:$D$505,3,FALSE)</f>
        <v>129</v>
      </c>
      <c r="H94">
        <v>15</v>
      </c>
      <c r="I94">
        <v>0.7</v>
      </c>
      <c r="J94">
        <v>1.5</v>
      </c>
      <c r="K94">
        <v>19.8</v>
      </c>
      <c r="L94">
        <v>1.6</v>
      </c>
      <c r="M94" t="s">
        <v>22</v>
      </c>
      <c r="N94">
        <v>9.1</v>
      </c>
      <c r="O94">
        <v>3.1</v>
      </c>
      <c r="P94">
        <v>0.9</v>
      </c>
      <c r="Q94" t="s">
        <v>33</v>
      </c>
      <c r="R94">
        <v>8.1</v>
      </c>
      <c r="S94">
        <v>5.7</v>
      </c>
      <c r="T94">
        <v>9.1</v>
      </c>
      <c r="U94">
        <v>7.6</v>
      </c>
      <c r="V94">
        <v>11</v>
      </c>
      <c r="W94">
        <v>14.4</v>
      </c>
      <c r="X94" t="s">
        <v>33</v>
      </c>
      <c r="Y94">
        <v>27.8</v>
      </c>
      <c r="Z94">
        <v>7.5</v>
      </c>
      <c r="AA94">
        <v>8.5</v>
      </c>
      <c r="AB94">
        <f t="shared" si="2"/>
        <v>120.4</v>
      </c>
      <c r="AC94">
        <v>127.9</v>
      </c>
      <c r="AD94">
        <v>12</v>
      </c>
      <c r="AE94">
        <f t="shared" si="3"/>
        <v>4</v>
      </c>
      <c r="AF94">
        <v>2</v>
      </c>
      <c r="AG94">
        <v>1</v>
      </c>
      <c r="AH94">
        <v>1</v>
      </c>
      <c r="AI94">
        <v>0</v>
      </c>
      <c r="AJ94">
        <v>0.23529411764705882</v>
      </c>
      <c r="AK94">
        <v>0.13333333333333333</v>
      </c>
      <c r="AL94">
        <v>6.6666666666666666E-2</v>
      </c>
      <c r="AM94">
        <v>6.6666666666666666E-2</v>
      </c>
      <c r="AN94">
        <v>0</v>
      </c>
    </row>
    <row r="95" spans="1:40" x14ac:dyDescent="0.25">
      <c r="A95">
        <v>2025</v>
      </c>
      <c r="B95" t="s">
        <v>99</v>
      </c>
      <c r="C95" t="str">
        <f>IF(COUNTIF('Rookies 22-25'!$B$198:$B$349,E95)&gt;0,"(R)","No")</f>
        <v>No</v>
      </c>
      <c r="D95">
        <v>49</v>
      </c>
      <c r="E95" t="s">
        <v>148</v>
      </c>
      <c r="F95" t="s">
        <v>21</v>
      </c>
      <c r="G95">
        <f>VLOOKUP(E95,'25 Draft ADP'!$B$3:$D$505,3,FALSE)</f>
        <v>37</v>
      </c>
      <c r="H95">
        <v>12</v>
      </c>
      <c r="I95">
        <v>18.100000000000001</v>
      </c>
      <c r="J95">
        <v>4.7</v>
      </c>
      <c r="K95">
        <v>7.4</v>
      </c>
      <c r="L95">
        <v>18.600000000000001</v>
      </c>
      <c r="M95">
        <v>13.8</v>
      </c>
      <c r="N95">
        <v>5.2</v>
      </c>
      <c r="O95">
        <v>7.8</v>
      </c>
      <c r="P95" t="s">
        <v>22</v>
      </c>
      <c r="Q95">
        <v>22.6</v>
      </c>
      <c r="R95">
        <v>14.3</v>
      </c>
      <c r="S95" t="s">
        <v>33</v>
      </c>
      <c r="T95" t="s">
        <v>33</v>
      </c>
      <c r="U95">
        <v>12.9</v>
      </c>
      <c r="V95" t="s">
        <v>33</v>
      </c>
      <c r="W95" t="s">
        <v>33</v>
      </c>
      <c r="X95">
        <v>2.4</v>
      </c>
      <c r="Y95">
        <v>0</v>
      </c>
      <c r="Z95">
        <v>0</v>
      </c>
      <c r="AA95">
        <v>10.7</v>
      </c>
      <c r="AB95">
        <f t="shared" si="2"/>
        <v>127.8</v>
      </c>
      <c r="AC95">
        <v>127.8</v>
      </c>
      <c r="AD95">
        <v>4</v>
      </c>
      <c r="AE95">
        <f t="shared" si="3"/>
        <v>6</v>
      </c>
      <c r="AF95">
        <v>3</v>
      </c>
      <c r="AG95">
        <v>1</v>
      </c>
      <c r="AH95">
        <v>0</v>
      </c>
      <c r="AI95">
        <v>0</v>
      </c>
      <c r="AJ95">
        <v>0.35294117647058826</v>
      </c>
      <c r="AK95">
        <v>0.25</v>
      </c>
      <c r="AL95">
        <v>8.3333333333333329E-2</v>
      </c>
      <c r="AM95">
        <v>0</v>
      </c>
      <c r="AN95">
        <v>0</v>
      </c>
    </row>
    <row r="96" spans="1:40" x14ac:dyDescent="0.25">
      <c r="A96">
        <v>2025</v>
      </c>
      <c r="B96" t="s">
        <v>99</v>
      </c>
      <c r="C96" t="str">
        <f>IF(COUNTIF('Rookies 22-25'!$B$198:$B$349,E96)&gt;0,"(R)","No")</f>
        <v>(R)</v>
      </c>
      <c r="D96">
        <v>50</v>
      </c>
      <c r="E96" t="s">
        <v>149</v>
      </c>
      <c r="F96" t="s">
        <v>63</v>
      </c>
      <c r="G96">
        <f>VLOOKUP(E96,'25 Draft ADP'!$B$3:$D$505,3,FALSE)</f>
        <v>389</v>
      </c>
      <c r="H96">
        <v>17</v>
      </c>
      <c r="I96">
        <v>0.9</v>
      </c>
      <c r="J96">
        <v>2.8</v>
      </c>
      <c r="K96">
        <v>3.5</v>
      </c>
      <c r="L96">
        <v>-0.4</v>
      </c>
      <c r="M96">
        <v>3.7</v>
      </c>
      <c r="N96">
        <v>2.8</v>
      </c>
      <c r="O96">
        <v>16.899999999999999</v>
      </c>
      <c r="P96">
        <v>16.399999999999999</v>
      </c>
      <c r="Q96">
        <v>7.5</v>
      </c>
      <c r="R96" t="s">
        <v>22</v>
      </c>
      <c r="S96">
        <v>3.4</v>
      </c>
      <c r="T96">
        <v>21.4</v>
      </c>
      <c r="U96">
        <v>-0.1</v>
      </c>
      <c r="V96">
        <v>13.4</v>
      </c>
      <c r="W96">
        <v>5</v>
      </c>
      <c r="X96">
        <v>13</v>
      </c>
      <c r="Y96">
        <v>10.199999999999999</v>
      </c>
      <c r="Z96">
        <v>5.7</v>
      </c>
      <c r="AA96">
        <v>7.4</v>
      </c>
      <c r="AB96">
        <f t="shared" si="2"/>
        <v>120.39999999999999</v>
      </c>
      <c r="AC96">
        <v>126.1</v>
      </c>
      <c r="AD96">
        <v>20</v>
      </c>
      <c r="AE96">
        <f t="shared" si="3"/>
        <v>6</v>
      </c>
      <c r="AF96">
        <v>3</v>
      </c>
      <c r="AG96">
        <v>1</v>
      </c>
      <c r="AH96">
        <v>0</v>
      </c>
      <c r="AI96">
        <v>0</v>
      </c>
      <c r="AJ96">
        <v>0.35294117647058826</v>
      </c>
      <c r="AK96">
        <v>0.17647058823529413</v>
      </c>
      <c r="AL96">
        <v>5.8823529411764705E-2</v>
      </c>
      <c r="AM96">
        <v>0</v>
      </c>
      <c r="AN96">
        <v>0</v>
      </c>
    </row>
    <row r="97" spans="1:40" x14ac:dyDescent="0.25">
      <c r="A97">
        <v>2025</v>
      </c>
      <c r="B97" t="s">
        <v>99</v>
      </c>
      <c r="C97" t="str">
        <f>IF(COUNTIF('Rookies 22-25'!$B$198:$B$349,E97)&gt;0,"(R)","No")</f>
        <v>No</v>
      </c>
      <c r="D97">
        <v>51</v>
      </c>
      <c r="E97" t="s">
        <v>150</v>
      </c>
      <c r="F97" t="s">
        <v>39</v>
      </c>
      <c r="G97">
        <f>VLOOKUP(E97,'25 Draft ADP'!$B$3:$D$505,3,FALSE)</f>
        <v>232</v>
      </c>
      <c r="H97">
        <v>14</v>
      </c>
      <c r="I97">
        <v>16.3</v>
      </c>
      <c r="J97">
        <v>8.6</v>
      </c>
      <c r="K97">
        <v>4.8</v>
      </c>
      <c r="L97">
        <v>2.8</v>
      </c>
      <c r="M97">
        <v>7.3</v>
      </c>
      <c r="N97">
        <v>26.3</v>
      </c>
      <c r="O97">
        <v>13.5</v>
      </c>
      <c r="P97">
        <v>16.5</v>
      </c>
      <c r="Q97">
        <v>0</v>
      </c>
      <c r="R97" t="s">
        <v>33</v>
      </c>
      <c r="S97" t="s">
        <v>33</v>
      </c>
      <c r="T97">
        <v>3.5</v>
      </c>
      <c r="U97">
        <v>13.5</v>
      </c>
      <c r="V97" t="s">
        <v>22</v>
      </c>
      <c r="W97">
        <v>4</v>
      </c>
      <c r="X97">
        <v>2.6</v>
      </c>
      <c r="Y97" t="s">
        <v>33</v>
      </c>
      <c r="Z97">
        <v>4.4000000000000004</v>
      </c>
      <c r="AA97">
        <v>8.9</v>
      </c>
      <c r="AB97">
        <f t="shared" si="2"/>
        <v>119.69999999999999</v>
      </c>
      <c r="AC97">
        <v>124.1</v>
      </c>
      <c r="AD97">
        <v>20</v>
      </c>
      <c r="AE97">
        <f t="shared" si="3"/>
        <v>5</v>
      </c>
      <c r="AF97">
        <v>3</v>
      </c>
      <c r="AG97">
        <v>1</v>
      </c>
      <c r="AH97">
        <v>1</v>
      </c>
      <c r="AI97">
        <v>0</v>
      </c>
      <c r="AJ97">
        <v>0.29411764705882354</v>
      </c>
      <c r="AK97">
        <v>0.21428571428571427</v>
      </c>
      <c r="AL97">
        <v>7.1428571428571425E-2</v>
      </c>
      <c r="AM97">
        <v>7.1428571428571425E-2</v>
      </c>
      <c r="AN97">
        <v>0</v>
      </c>
    </row>
    <row r="98" spans="1:40" x14ac:dyDescent="0.25">
      <c r="A98">
        <v>2025</v>
      </c>
      <c r="B98" t="s">
        <v>99</v>
      </c>
      <c r="C98" t="str">
        <f>IF(COUNTIF('Rookies 22-25'!$B$198:$B$349,E98)&gt;0,"(R)","No")</f>
        <v>No</v>
      </c>
      <c r="D98">
        <v>52</v>
      </c>
      <c r="E98" t="s">
        <v>151</v>
      </c>
      <c r="F98" t="s">
        <v>32</v>
      </c>
      <c r="G98">
        <f>VLOOKUP(E98,'25 Draft ADP'!$B$3:$D$505,3,FALSE)</f>
        <v>70</v>
      </c>
      <c r="H98">
        <v>17</v>
      </c>
      <c r="I98">
        <v>11.6</v>
      </c>
      <c r="J98">
        <v>9.1</v>
      </c>
      <c r="K98">
        <v>2.7</v>
      </c>
      <c r="L98">
        <v>7.8</v>
      </c>
      <c r="M98">
        <v>3.5</v>
      </c>
      <c r="N98">
        <v>9.3000000000000007</v>
      </c>
      <c r="O98">
        <v>3.7</v>
      </c>
      <c r="P98">
        <v>0</v>
      </c>
      <c r="Q98" t="s">
        <v>22</v>
      </c>
      <c r="R98">
        <v>19.8</v>
      </c>
      <c r="S98">
        <v>5.0999999999999996</v>
      </c>
      <c r="T98">
        <v>2.9</v>
      </c>
      <c r="U98">
        <v>5.6</v>
      </c>
      <c r="V98">
        <v>16.600000000000001</v>
      </c>
      <c r="W98">
        <v>4.2</v>
      </c>
      <c r="X98">
        <v>4.2</v>
      </c>
      <c r="Y98">
        <v>10.4</v>
      </c>
      <c r="Z98">
        <v>4.2</v>
      </c>
      <c r="AA98">
        <v>7.1</v>
      </c>
      <c r="AB98">
        <f t="shared" si="2"/>
        <v>116.5</v>
      </c>
      <c r="AC98">
        <v>120.7</v>
      </c>
      <c r="AD98">
        <v>7</v>
      </c>
      <c r="AE98">
        <f t="shared" si="3"/>
        <v>4</v>
      </c>
      <c r="AF98">
        <v>2</v>
      </c>
      <c r="AG98">
        <v>0</v>
      </c>
      <c r="AH98">
        <v>0</v>
      </c>
      <c r="AI98">
        <v>0</v>
      </c>
      <c r="AJ98">
        <v>0.23529411764705882</v>
      </c>
      <c r="AK98">
        <v>0.11764705882352941</v>
      </c>
      <c r="AL98">
        <v>0</v>
      </c>
      <c r="AM98">
        <v>0</v>
      </c>
      <c r="AN98">
        <v>0</v>
      </c>
    </row>
    <row r="99" spans="1:40" x14ac:dyDescent="0.25">
      <c r="A99">
        <v>2025</v>
      </c>
      <c r="B99" t="s">
        <v>99</v>
      </c>
      <c r="C99" t="str">
        <f>IF(COUNTIF('Rookies 22-25'!$B$198:$B$349,E99)&gt;0,"(R)","No")</f>
        <v>No</v>
      </c>
      <c r="D99">
        <v>53</v>
      </c>
      <c r="E99" t="s">
        <v>152</v>
      </c>
      <c r="F99" t="s">
        <v>49</v>
      </c>
      <c r="G99">
        <f>VLOOKUP(E99,'25 Draft ADP'!$B$3:$D$505,3,FALSE)</f>
        <v>92</v>
      </c>
      <c r="H99">
        <v>16</v>
      </c>
      <c r="I99">
        <v>3.5</v>
      </c>
      <c r="J99">
        <v>16</v>
      </c>
      <c r="K99">
        <v>5.0999999999999996</v>
      </c>
      <c r="L99">
        <v>6.6</v>
      </c>
      <c r="M99">
        <v>11.9</v>
      </c>
      <c r="N99">
        <v>12</v>
      </c>
      <c r="O99">
        <v>3.2</v>
      </c>
      <c r="P99" t="s">
        <v>22</v>
      </c>
      <c r="Q99" t="s">
        <v>33</v>
      </c>
      <c r="R99">
        <v>9.4</v>
      </c>
      <c r="S99">
        <v>5.3</v>
      </c>
      <c r="T99">
        <v>4.4000000000000004</v>
      </c>
      <c r="U99">
        <v>5.4</v>
      </c>
      <c r="V99">
        <v>11.5</v>
      </c>
      <c r="W99">
        <v>9.6</v>
      </c>
      <c r="X99">
        <v>6.9</v>
      </c>
      <c r="Y99">
        <v>1.6</v>
      </c>
      <c r="Z99">
        <v>4.9000000000000004</v>
      </c>
      <c r="AA99">
        <v>7.3</v>
      </c>
      <c r="AB99">
        <f t="shared" si="2"/>
        <v>112.39999999999999</v>
      </c>
      <c r="AC99">
        <v>117.3</v>
      </c>
      <c r="AD99">
        <v>8</v>
      </c>
      <c r="AE99">
        <f t="shared" si="3"/>
        <v>4</v>
      </c>
      <c r="AF99">
        <v>1</v>
      </c>
      <c r="AG99">
        <v>0</v>
      </c>
      <c r="AH99">
        <v>0</v>
      </c>
      <c r="AI99">
        <v>0</v>
      </c>
      <c r="AJ99">
        <v>0.23529411764705882</v>
      </c>
      <c r="AK99">
        <v>6.25E-2</v>
      </c>
      <c r="AL99">
        <v>0</v>
      </c>
      <c r="AM99">
        <v>0</v>
      </c>
      <c r="AN99">
        <v>0</v>
      </c>
    </row>
    <row r="100" spans="1:40" x14ac:dyDescent="0.25">
      <c r="A100">
        <v>2025</v>
      </c>
      <c r="B100" t="s">
        <v>99</v>
      </c>
      <c r="C100" t="str">
        <f>IF(COUNTIF('Rookies 22-25'!$B$198:$B$349,E100)&gt;0,"(R)","No")</f>
        <v>No</v>
      </c>
      <c r="D100">
        <v>54</v>
      </c>
      <c r="E100" t="s">
        <v>153</v>
      </c>
      <c r="F100" t="s">
        <v>84</v>
      </c>
      <c r="G100">
        <f>VLOOKUP(E100,'25 Draft ADP'!$B$3:$D$505,3,FALSE)</f>
        <v>233</v>
      </c>
      <c r="H100">
        <v>17</v>
      </c>
      <c r="I100">
        <v>4.9000000000000004</v>
      </c>
      <c r="J100">
        <v>9.5</v>
      </c>
      <c r="K100">
        <v>6.2</v>
      </c>
      <c r="L100">
        <v>4.0999999999999996</v>
      </c>
      <c r="M100">
        <v>4</v>
      </c>
      <c r="N100">
        <v>6.3</v>
      </c>
      <c r="O100">
        <v>8</v>
      </c>
      <c r="P100">
        <v>13.6</v>
      </c>
      <c r="Q100">
        <v>7.1</v>
      </c>
      <c r="R100">
        <v>9.3000000000000007</v>
      </c>
      <c r="S100">
        <v>7.2</v>
      </c>
      <c r="T100" t="s">
        <v>22</v>
      </c>
      <c r="U100">
        <v>7</v>
      </c>
      <c r="V100">
        <v>4</v>
      </c>
      <c r="W100">
        <v>2</v>
      </c>
      <c r="X100">
        <v>10.199999999999999</v>
      </c>
      <c r="Y100">
        <v>1.5</v>
      </c>
      <c r="Z100">
        <v>11.8</v>
      </c>
      <c r="AA100">
        <v>6.9</v>
      </c>
      <c r="AB100">
        <f t="shared" si="2"/>
        <v>104.9</v>
      </c>
      <c r="AC100">
        <v>116.7</v>
      </c>
      <c r="AD100">
        <v>19</v>
      </c>
      <c r="AE100">
        <f t="shared" si="3"/>
        <v>2</v>
      </c>
      <c r="AF100">
        <v>0</v>
      </c>
      <c r="AG100">
        <v>0</v>
      </c>
      <c r="AH100">
        <v>0</v>
      </c>
      <c r="AI100">
        <v>0</v>
      </c>
      <c r="AJ100">
        <v>0.17647058823529413</v>
      </c>
      <c r="AK100">
        <v>0</v>
      </c>
      <c r="AL100">
        <v>0</v>
      </c>
      <c r="AM100">
        <v>0</v>
      </c>
      <c r="AN100">
        <v>0</v>
      </c>
    </row>
    <row r="101" spans="1:40" x14ac:dyDescent="0.25">
      <c r="A101">
        <v>2025</v>
      </c>
      <c r="B101" t="s">
        <v>99</v>
      </c>
      <c r="C101" t="str">
        <f>IF(COUNTIF('Rookies 22-25'!$B$198:$B$349,E101)&gt;0,"(R)","No")</f>
        <v>(R)</v>
      </c>
      <c r="D101">
        <v>55</v>
      </c>
      <c r="E101" t="s">
        <v>154</v>
      </c>
      <c r="F101" t="s">
        <v>63</v>
      </c>
      <c r="G101">
        <f>VLOOKUP(E101,'25 Draft ADP'!$B$3:$D$505,3,FALSE)</f>
        <v>190</v>
      </c>
      <c r="H101">
        <v>16</v>
      </c>
      <c r="I101">
        <v>3.3</v>
      </c>
      <c r="J101">
        <v>15.6</v>
      </c>
      <c r="K101">
        <v>13.8</v>
      </c>
      <c r="L101">
        <v>6.4</v>
      </c>
      <c r="M101">
        <v>3.8</v>
      </c>
      <c r="N101">
        <v>5.7</v>
      </c>
      <c r="O101">
        <v>4.9000000000000004</v>
      </c>
      <c r="P101">
        <v>9.1999999999999993</v>
      </c>
      <c r="Q101">
        <v>7.6</v>
      </c>
      <c r="R101" t="s">
        <v>22</v>
      </c>
      <c r="S101">
        <v>3.1</v>
      </c>
      <c r="T101" t="s">
        <v>33</v>
      </c>
      <c r="U101">
        <v>1.5</v>
      </c>
      <c r="V101">
        <v>8.4</v>
      </c>
      <c r="W101">
        <v>2.7</v>
      </c>
      <c r="X101">
        <v>8.8000000000000007</v>
      </c>
      <c r="Y101">
        <v>13.7</v>
      </c>
      <c r="Z101">
        <v>8</v>
      </c>
      <c r="AA101">
        <v>7.3</v>
      </c>
      <c r="AB101">
        <f t="shared" si="2"/>
        <v>108.5</v>
      </c>
      <c r="AC101">
        <v>116.5</v>
      </c>
      <c r="AD101">
        <v>16</v>
      </c>
      <c r="AE101">
        <f t="shared" si="3"/>
        <v>3</v>
      </c>
      <c r="AF101">
        <v>1</v>
      </c>
      <c r="AG101">
        <v>0</v>
      </c>
      <c r="AH101">
        <v>0</v>
      </c>
      <c r="AI101">
        <v>0</v>
      </c>
      <c r="AJ101">
        <v>0.17647058823529413</v>
      </c>
      <c r="AK101">
        <v>6.25E-2</v>
      </c>
      <c r="AL101">
        <v>0</v>
      </c>
      <c r="AM101">
        <v>0</v>
      </c>
      <c r="AN101">
        <v>0</v>
      </c>
    </row>
    <row r="102" spans="1:40" x14ac:dyDescent="0.25">
      <c r="A102">
        <v>2025</v>
      </c>
      <c r="B102" t="s">
        <v>99</v>
      </c>
      <c r="C102" t="str">
        <f>IF(COUNTIF('Rookies 22-25'!$B$198:$B$349,E102)&gt;0,"(R)","No")</f>
        <v>No</v>
      </c>
      <c r="D102">
        <v>56</v>
      </c>
      <c r="E102" t="s">
        <v>155</v>
      </c>
      <c r="F102" t="s">
        <v>59</v>
      </c>
      <c r="G102">
        <f>VLOOKUP(E102,'25 Draft ADP'!$B$3:$D$505,3,FALSE)</f>
        <v>39</v>
      </c>
      <c r="H102">
        <v>10</v>
      </c>
      <c r="I102">
        <v>4.7</v>
      </c>
      <c r="J102">
        <v>9.8000000000000007</v>
      </c>
      <c r="K102">
        <v>10.4</v>
      </c>
      <c r="L102" t="s">
        <v>33</v>
      </c>
      <c r="M102" t="s">
        <v>33</v>
      </c>
      <c r="N102" t="s">
        <v>33</v>
      </c>
      <c r="O102" t="s">
        <v>33</v>
      </c>
      <c r="P102">
        <v>14.4</v>
      </c>
      <c r="Q102" t="s">
        <v>33</v>
      </c>
      <c r="R102" t="s">
        <v>33</v>
      </c>
      <c r="S102" t="s">
        <v>33</v>
      </c>
      <c r="T102" t="s">
        <v>22</v>
      </c>
      <c r="U102">
        <v>22.6</v>
      </c>
      <c r="V102">
        <v>7.1</v>
      </c>
      <c r="W102">
        <v>15.9</v>
      </c>
      <c r="X102">
        <v>8.3000000000000007</v>
      </c>
      <c r="Y102">
        <v>11.3</v>
      </c>
      <c r="Z102">
        <v>9.6999999999999993</v>
      </c>
      <c r="AA102">
        <v>11.4</v>
      </c>
      <c r="AB102">
        <f t="shared" si="2"/>
        <v>104.5</v>
      </c>
      <c r="AC102">
        <v>114.2</v>
      </c>
      <c r="AD102">
        <v>4</v>
      </c>
      <c r="AE102">
        <f t="shared" si="3"/>
        <v>5</v>
      </c>
      <c r="AF102">
        <v>2</v>
      </c>
      <c r="AG102">
        <v>1</v>
      </c>
      <c r="AH102">
        <v>0</v>
      </c>
      <c r="AI102">
        <v>0</v>
      </c>
      <c r="AJ102">
        <v>0.29411764705882354</v>
      </c>
      <c r="AK102">
        <v>0.2</v>
      </c>
      <c r="AL102">
        <v>0.1</v>
      </c>
      <c r="AM102">
        <v>0</v>
      </c>
      <c r="AN102">
        <v>0</v>
      </c>
    </row>
    <row r="103" spans="1:40" x14ac:dyDescent="0.25">
      <c r="A103">
        <v>2025</v>
      </c>
      <c r="B103" t="s">
        <v>99</v>
      </c>
      <c r="C103" t="str">
        <f>IF(COUNTIF('Rookies 22-25'!$B$198:$B$349,E103)&gt;0,"(R)","No")</f>
        <v>No</v>
      </c>
      <c r="D103">
        <v>57</v>
      </c>
      <c r="E103" t="s">
        <v>156</v>
      </c>
      <c r="F103" t="s">
        <v>30</v>
      </c>
      <c r="G103">
        <v>300</v>
      </c>
      <c r="H103">
        <v>15</v>
      </c>
      <c r="I103" t="s">
        <v>33</v>
      </c>
      <c r="J103">
        <v>0</v>
      </c>
      <c r="K103">
        <v>4.0999999999999996</v>
      </c>
      <c r="L103">
        <v>4.5999999999999996</v>
      </c>
      <c r="M103">
        <v>18.399999999999999</v>
      </c>
      <c r="N103">
        <v>6.3</v>
      </c>
      <c r="O103">
        <v>0</v>
      </c>
      <c r="P103">
        <v>1.7</v>
      </c>
      <c r="Q103">
        <v>9.1999999999999993</v>
      </c>
      <c r="R103" t="s">
        <v>22</v>
      </c>
      <c r="S103">
        <v>7.2</v>
      </c>
      <c r="T103">
        <v>0</v>
      </c>
      <c r="U103">
        <v>6.4</v>
      </c>
      <c r="V103">
        <v>26.5</v>
      </c>
      <c r="W103">
        <v>8</v>
      </c>
      <c r="X103">
        <v>9.8000000000000007</v>
      </c>
      <c r="Y103" t="s">
        <v>33</v>
      </c>
      <c r="Z103">
        <v>11.8</v>
      </c>
      <c r="AA103">
        <v>7.6</v>
      </c>
      <c r="AB103">
        <f t="shared" si="2"/>
        <v>102.2</v>
      </c>
      <c r="AC103">
        <v>114</v>
      </c>
      <c r="AD103">
        <v>20</v>
      </c>
      <c r="AE103">
        <f t="shared" si="3"/>
        <v>2</v>
      </c>
      <c r="AF103">
        <v>2</v>
      </c>
      <c r="AG103">
        <v>1</v>
      </c>
      <c r="AH103">
        <v>1</v>
      </c>
      <c r="AI103">
        <v>0</v>
      </c>
      <c r="AJ103">
        <v>0.17647058823529413</v>
      </c>
      <c r="AK103">
        <v>0.13333333333333333</v>
      </c>
      <c r="AL103">
        <v>6.6666666666666666E-2</v>
      </c>
      <c r="AM103">
        <v>6.6666666666666666E-2</v>
      </c>
      <c r="AN103">
        <v>0</v>
      </c>
    </row>
    <row r="104" spans="1:40" x14ac:dyDescent="0.25">
      <c r="A104">
        <v>2025</v>
      </c>
      <c r="B104" t="s">
        <v>99</v>
      </c>
      <c r="C104" t="str">
        <f>IF(COUNTIF('Rookies 22-25'!$B$198:$B$349,E104)&gt;0,"(R)","No")</f>
        <v>No</v>
      </c>
      <c r="D104">
        <v>58</v>
      </c>
      <c r="E104" t="s">
        <v>157</v>
      </c>
      <c r="F104" t="s">
        <v>39</v>
      </c>
      <c r="G104">
        <f>VLOOKUP(E104,'25 Draft ADP'!$B$3:$D$505,3,FALSE)</f>
        <v>318</v>
      </c>
      <c r="H104">
        <v>15</v>
      </c>
      <c r="I104">
        <v>1.3</v>
      </c>
      <c r="J104">
        <v>7.8</v>
      </c>
      <c r="K104">
        <v>6.7</v>
      </c>
      <c r="L104">
        <v>7.4</v>
      </c>
      <c r="M104">
        <v>0</v>
      </c>
      <c r="N104">
        <v>4.8</v>
      </c>
      <c r="O104">
        <v>7.3</v>
      </c>
      <c r="P104">
        <v>15.9</v>
      </c>
      <c r="Q104">
        <v>2.9</v>
      </c>
      <c r="R104">
        <v>16.600000000000001</v>
      </c>
      <c r="S104">
        <v>10.4</v>
      </c>
      <c r="T104">
        <v>5</v>
      </c>
      <c r="U104">
        <v>5.3</v>
      </c>
      <c r="V104" t="s">
        <v>22</v>
      </c>
      <c r="W104">
        <v>8.1</v>
      </c>
      <c r="X104">
        <v>13.9</v>
      </c>
      <c r="Y104" t="s">
        <v>33</v>
      </c>
      <c r="Z104">
        <v>0</v>
      </c>
      <c r="AA104">
        <v>7.6</v>
      </c>
      <c r="AB104">
        <f t="shared" si="2"/>
        <v>113.4</v>
      </c>
      <c r="AC104">
        <v>113.4</v>
      </c>
      <c r="AD104">
        <v>20</v>
      </c>
      <c r="AE104">
        <f t="shared" si="3"/>
        <v>4</v>
      </c>
      <c r="AF104">
        <v>2</v>
      </c>
      <c r="AG104">
        <v>0</v>
      </c>
      <c r="AH104">
        <v>0</v>
      </c>
      <c r="AI104">
        <v>0</v>
      </c>
      <c r="AJ104">
        <v>0.23529411764705882</v>
      </c>
      <c r="AK104">
        <v>0.13333333333333333</v>
      </c>
      <c r="AL104">
        <v>0</v>
      </c>
      <c r="AM104">
        <v>0</v>
      </c>
      <c r="AN104">
        <v>0</v>
      </c>
    </row>
    <row r="105" spans="1:40" x14ac:dyDescent="0.25">
      <c r="A105">
        <v>2025</v>
      </c>
      <c r="B105" t="s">
        <v>99</v>
      </c>
      <c r="C105" t="str">
        <f>IF(COUNTIF('Rookies 22-25'!$B$198:$B$349,E105)&gt;0,"(R)","No")</f>
        <v>No</v>
      </c>
      <c r="D105">
        <v>59</v>
      </c>
      <c r="E105" t="s">
        <v>158</v>
      </c>
      <c r="F105" t="s">
        <v>26</v>
      </c>
      <c r="G105">
        <f>VLOOKUP(E105,'25 Draft ADP'!$B$3:$D$505,3,FALSE)</f>
        <v>46</v>
      </c>
      <c r="H105">
        <v>14</v>
      </c>
      <c r="I105">
        <v>0</v>
      </c>
      <c r="J105" t="s">
        <v>33</v>
      </c>
      <c r="K105" t="s">
        <v>33</v>
      </c>
      <c r="L105">
        <v>17.100000000000001</v>
      </c>
      <c r="M105">
        <v>11.1</v>
      </c>
      <c r="N105">
        <v>10.6</v>
      </c>
      <c r="O105">
        <v>7.8</v>
      </c>
      <c r="P105">
        <v>10.3</v>
      </c>
      <c r="Q105">
        <v>6</v>
      </c>
      <c r="R105" t="s">
        <v>22</v>
      </c>
      <c r="S105">
        <v>5.5</v>
      </c>
      <c r="T105">
        <v>9.9</v>
      </c>
      <c r="U105">
        <v>11.4</v>
      </c>
      <c r="V105">
        <v>8.5</v>
      </c>
      <c r="W105">
        <v>5.5</v>
      </c>
      <c r="X105">
        <v>6.1</v>
      </c>
      <c r="Y105">
        <v>0.1</v>
      </c>
      <c r="Z105">
        <v>0</v>
      </c>
      <c r="AA105">
        <v>7.9</v>
      </c>
      <c r="AB105">
        <f t="shared" si="2"/>
        <v>109.9</v>
      </c>
      <c r="AC105">
        <v>109.9</v>
      </c>
      <c r="AD105">
        <v>4</v>
      </c>
      <c r="AE105">
        <f t="shared" si="3"/>
        <v>5</v>
      </c>
      <c r="AF105">
        <v>1</v>
      </c>
      <c r="AG105">
        <v>0</v>
      </c>
      <c r="AH105">
        <v>0</v>
      </c>
      <c r="AI105">
        <v>0</v>
      </c>
      <c r="AJ105">
        <v>0.29411764705882354</v>
      </c>
      <c r="AK105">
        <v>7.1428571428571425E-2</v>
      </c>
      <c r="AL105">
        <v>0</v>
      </c>
      <c r="AM105">
        <v>0</v>
      </c>
      <c r="AN105">
        <v>0</v>
      </c>
    </row>
    <row r="106" spans="1:40" x14ac:dyDescent="0.25">
      <c r="A106">
        <v>2025</v>
      </c>
      <c r="B106" t="s">
        <v>99</v>
      </c>
      <c r="C106" t="str">
        <f>IF(COUNTIF('Rookies 22-25'!$B$198:$B$349,E106)&gt;0,"(R)","No")</f>
        <v>No</v>
      </c>
      <c r="D106">
        <v>60</v>
      </c>
      <c r="E106" t="s">
        <v>159</v>
      </c>
      <c r="F106" t="s">
        <v>61</v>
      </c>
      <c r="G106">
        <f>VLOOKUP(E106,'25 Draft ADP'!$B$3:$D$505,3,FALSE)</f>
        <v>93</v>
      </c>
      <c r="H106">
        <v>13</v>
      </c>
      <c r="I106">
        <v>25.2</v>
      </c>
      <c r="J106">
        <v>5.6</v>
      </c>
      <c r="K106">
        <v>5</v>
      </c>
      <c r="L106">
        <v>7.5</v>
      </c>
      <c r="M106">
        <v>10.3</v>
      </c>
      <c r="N106">
        <v>4.0999999999999996</v>
      </c>
      <c r="O106" t="s">
        <v>22</v>
      </c>
      <c r="P106">
        <v>6</v>
      </c>
      <c r="Q106">
        <v>3.7</v>
      </c>
      <c r="R106">
        <v>13.6</v>
      </c>
      <c r="S106" t="s">
        <v>33</v>
      </c>
      <c r="T106" t="s">
        <v>33</v>
      </c>
      <c r="U106">
        <v>8.9</v>
      </c>
      <c r="V106">
        <v>3.6</v>
      </c>
      <c r="W106">
        <v>0</v>
      </c>
      <c r="X106" t="s">
        <v>33</v>
      </c>
      <c r="Y106" t="s">
        <v>33</v>
      </c>
      <c r="Z106">
        <v>8.9</v>
      </c>
      <c r="AA106">
        <v>7.9</v>
      </c>
      <c r="AB106">
        <f t="shared" si="2"/>
        <v>93.5</v>
      </c>
      <c r="AC106">
        <v>102.4</v>
      </c>
      <c r="AD106">
        <v>8</v>
      </c>
      <c r="AE106">
        <f t="shared" si="3"/>
        <v>3</v>
      </c>
      <c r="AF106">
        <v>1</v>
      </c>
      <c r="AG106">
        <v>1</v>
      </c>
      <c r="AH106">
        <v>1</v>
      </c>
      <c r="AI106">
        <v>0</v>
      </c>
      <c r="AJ106">
        <v>0.17647058823529413</v>
      </c>
      <c r="AK106">
        <v>7.6923076923076927E-2</v>
      </c>
      <c r="AL106">
        <v>7.6923076923076927E-2</v>
      </c>
      <c r="AM106">
        <v>7.6923076923076927E-2</v>
      </c>
      <c r="AN106">
        <v>0</v>
      </c>
    </row>
    <row r="107" spans="1:40" x14ac:dyDescent="0.25">
      <c r="A107">
        <v>2025</v>
      </c>
      <c r="B107" t="s">
        <v>99</v>
      </c>
      <c r="C107" t="str">
        <f>IF(COUNTIF('Rookies 22-25'!$B$198:$B$349,E107)&gt;0,"(R)","No")</f>
        <v>No</v>
      </c>
      <c r="D107">
        <v>61</v>
      </c>
      <c r="E107" t="s">
        <v>160</v>
      </c>
      <c r="F107" t="s">
        <v>73</v>
      </c>
      <c r="G107">
        <f>VLOOKUP(E107,'25 Draft ADP'!$B$3:$D$505,3,FALSE)</f>
        <v>242</v>
      </c>
      <c r="H107">
        <v>17</v>
      </c>
      <c r="I107">
        <v>3.8</v>
      </c>
      <c r="J107">
        <v>6.1</v>
      </c>
      <c r="K107">
        <v>6.7</v>
      </c>
      <c r="L107">
        <v>9.1999999999999993</v>
      </c>
      <c r="M107">
        <v>7.2</v>
      </c>
      <c r="N107" t="s">
        <v>22</v>
      </c>
      <c r="O107">
        <v>5.7</v>
      </c>
      <c r="P107">
        <v>0</v>
      </c>
      <c r="Q107">
        <v>2.6</v>
      </c>
      <c r="R107">
        <v>23.4</v>
      </c>
      <c r="S107">
        <v>2.6</v>
      </c>
      <c r="T107">
        <v>0</v>
      </c>
      <c r="U107">
        <v>0</v>
      </c>
      <c r="V107">
        <v>6</v>
      </c>
      <c r="W107">
        <v>19.5</v>
      </c>
      <c r="X107">
        <v>0</v>
      </c>
      <c r="Y107">
        <v>0</v>
      </c>
      <c r="Z107">
        <v>7.9</v>
      </c>
      <c r="AA107">
        <v>5.9</v>
      </c>
      <c r="AB107">
        <f t="shared" si="2"/>
        <v>92.8</v>
      </c>
      <c r="AC107">
        <v>100.7</v>
      </c>
      <c r="AD107">
        <v>20</v>
      </c>
      <c r="AE107">
        <f t="shared" si="3"/>
        <v>2</v>
      </c>
      <c r="AF107">
        <v>2</v>
      </c>
      <c r="AG107">
        <v>1</v>
      </c>
      <c r="AH107">
        <v>0</v>
      </c>
      <c r="AI107">
        <v>0</v>
      </c>
      <c r="AJ107">
        <v>0.11764705882352941</v>
      </c>
      <c r="AK107">
        <v>0.11764705882352941</v>
      </c>
      <c r="AL107">
        <v>5.8823529411764705E-2</v>
      </c>
      <c r="AM107">
        <v>0</v>
      </c>
      <c r="AN107">
        <v>0</v>
      </c>
    </row>
    <row r="108" spans="1:40" x14ac:dyDescent="0.25">
      <c r="A108">
        <v>2025</v>
      </c>
      <c r="B108" t="s">
        <v>99</v>
      </c>
      <c r="C108" t="str">
        <f>IF(COUNTIF('Rookies 22-25'!$B$198:$B$349,E108)&gt;0,"(R)","No")</f>
        <v>No</v>
      </c>
      <c r="D108">
        <v>62</v>
      </c>
      <c r="E108" t="s">
        <v>161</v>
      </c>
      <c r="F108" t="s">
        <v>82</v>
      </c>
      <c r="G108">
        <f>VLOOKUP(E108,'25 Draft ADP'!$B$3:$D$505,3,FALSE)</f>
        <v>36</v>
      </c>
      <c r="H108">
        <v>7</v>
      </c>
      <c r="I108">
        <v>22.5</v>
      </c>
      <c r="J108">
        <v>9</v>
      </c>
      <c r="K108">
        <v>24.4</v>
      </c>
      <c r="L108">
        <v>20.2</v>
      </c>
      <c r="M108">
        <v>19.100000000000001</v>
      </c>
      <c r="N108">
        <v>4.3</v>
      </c>
      <c r="O108" t="s">
        <v>33</v>
      </c>
      <c r="P108" t="s">
        <v>33</v>
      </c>
      <c r="Q108" t="s">
        <v>22</v>
      </c>
      <c r="R108">
        <v>0</v>
      </c>
      <c r="S108" t="s">
        <v>33</v>
      </c>
      <c r="T108" t="s">
        <v>33</v>
      </c>
      <c r="U108" t="s">
        <v>33</v>
      </c>
      <c r="V108" t="s">
        <v>33</v>
      </c>
      <c r="W108" t="s">
        <v>33</v>
      </c>
      <c r="X108" t="s">
        <v>33</v>
      </c>
      <c r="Y108" t="s">
        <v>33</v>
      </c>
      <c r="Z108">
        <v>0</v>
      </c>
      <c r="AA108">
        <v>14.2</v>
      </c>
      <c r="AB108">
        <f t="shared" si="2"/>
        <v>99.5</v>
      </c>
      <c r="AC108">
        <v>99.5</v>
      </c>
      <c r="AD108">
        <v>4</v>
      </c>
      <c r="AE108">
        <f t="shared" si="3"/>
        <v>4</v>
      </c>
      <c r="AF108">
        <v>4</v>
      </c>
      <c r="AG108">
        <v>3</v>
      </c>
      <c r="AH108">
        <v>0</v>
      </c>
      <c r="AI108">
        <v>0</v>
      </c>
      <c r="AJ108">
        <v>0.23529411764705882</v>
      </c>
      <c r="AK108">
        <v>0.5714285714285714</v>
      </c>
      <c r="AL108">
        <v>0.42857142857142855</v>
      </c>
      <c r="AM108">
        <v>0</v>
      </c>
      <c r="AN108">
        <v>0</v>
      </c>
    </row>
    <row r="109" spans="1:40" x14ac:dyDescent="0.25">
      <c r="A109">
        <v>2025</v>
      </c>
      <c r="B109" t="s">
        <v>99</v>
      </c>
      <c r="C109" t="str">
        <f>IF(COUNTIF('Rookies 22-25'!$B$198:$B$349,E109)&gt;0,"(R)","No")</f>
        <v>No</v>
      </c>
      <c r="D109">
        <v>63</v>
      </c>
      <c r="E109" t="s">
        <v>162</v>
      </c>
      <c r="F109" t="s">
        <v>57</v>
      </c>
      <c r="G109">
        <f>VLOOKUP(E109,'25 Draft ADP'!$B$3:$D$505,3,FALSE)</f>
        <v>200</v>
      </c>
      <c r="H109">
        <v>14</v>
      </c>
      <c r="I109">
        <v>0</v>
      </c>
      <c r="J109">
        <v>8.1</v>
      </c>
      <c r="K109">
        <v>7</v>
      </c>
      <c r="L109">
        <v>7.4</v>
      </c>
      <c r="M109">
        <v>4.0999999999999996</v>
      </c>
      <c r="N109" t="s">
        <v>33</v>
      </c>
      <c r="O109" t="s">
        <v>33</v>
      </c>
      <c r="P109">
        <v>4.5999999999999996</v>
      </c>
      <c r="Q109">
        <v>11.2</v>
      </c>
      <c r="R109">
        <v>12.9</v>
      </c>
      <c r="S109" t="s">
        <v>33</v>
      </c>
      <c r="T109">
        <v>3.3</v>
      </c>
      <c r="U109">
        <v>14.1</v>
      </c>
      <c r="V109" t="s">
        <v>22</v>
      </c>
      <c r="W109">
        <v>9.3000000000000007</v>
      </c>
      <c r="X109">
        <v>1.8</v>
      </c>
      <c r="Y109">
        <v>5.6</v>
      </c>
      <c r="Z109">
        <v>9.4</v>
      </c>
      <c r="AA109">
        <v>7.1</v>
      </c>
      <c r="AB109">
        <f t="shared" si="2"/>
        <v>89.399999999999991</v>
      </c>
      <c r="AC109">
        <v>98.8</v>
      </c>
      <c r="AD109">
        <v>17</v>
      </c>
      <c r="AE109">
        <f t="shared" si="3"/>
        <v>3</v>
      </c>
      <c r="AF109">
        <v>0</v>
      </c>
      <c r="AG109">
        <v>0</v>
      </c>
      <c r="AH109">
        <v>0</v>
      </c>
      <c r="AI109">
        <v>0</v>
      </c>
      <c r="AJ109">
        <v>0.17647058823529413</v>
      </c>
      <c r="AK109">
        <v>0</v>
      </c>
      <c r="AL109">
        <v>0</v>
      </c>
      <c r="AM109">
        <v>0</v>
      </c>
      <c r="AN109">
        <v>0</v>
      </c>
    </row>
    <row r="110" spans="1:40" x14ac:dyDescent="0.25">
      <c r="A110">
        <v>2025</v>
      </c>
      <c r="B110" t="s">
        <v>99</v>
      </c>
      <c r="C110" t="str">
        <f>IF(COUNTIF('Rookies 22-25'!$B$198:$B$349,E110)&gt;0,"(R)","No")</f>
        <v>No</v>
      </c>
      <c r="D110">
        <v>64</v>
      </c>
      <c r="E110" t="s">
        <v>163</v>
      </c>
      <c r="F110" t="s">
        <v>41</v>
      </c>
      <c r="G110">
        <f>VLOOKUP(E110,'25 Draft ADP'!$B$3:$D$505,3,FALSE)</f>
        <v>341</v>
      </c>
      <c r="H110">
        <v>17</v>
      </c>
      <c r="I110">
        <v>5.5</v>
      </c>
      <c r="J110">
        <v>4.9000000000000004</v>
      </c>
      <c r="K110">
        <v>4.5999999999999996</v>
      </c>
      <c r="L110">
        <v>3.7</v>
      </c>
      <c r="M110">
        <v>16.8</v>
      </c>
      <c r="N110" t="s">
        <v>22</v>
      </c>
      <c r="O110">
        <v>2.2999999999999998</v>
      </c>
      <c r="P110">
        <v>17.899999999999999</v>
      </c>
      <c r="Q110">
        <v>6</v>
      </c>
      <c r="R110">
        <v>0</v>
      </c>
      <c r="S110">
        <v>7.2</v>
      </c>
      <c r="T110">
        <v>0.9</v>
      </c>
      <c r="U110">
        <v>5.9</v>
      </c>
      <c r="V110">
        <v>0</v>
      </c>
      <c r="W110">
        <v>2.6</v>
      </c>
      <c r="X110">
        <v>1.4</v>
      </c>
      <c r="Y110">
        <v>4.9000000000000004</v>
      </c>
      <c r="Z110">
        <v>13.4</v>
      </c>
      <c r="AA110">
        <v>5.8</v>
      </c>
      <c r="AB110">
        <f t="shared" si="2"/>
        <v>84.6</v>
      </c>
      <c r="AC110">
        <v>98</v>
      </c>
      <c r="AD110">
        <v>20</v>
      </c>
      <c r="AE110">
        <f t="shared" si="3"/>
        <v>2</v>
      </c>
      <c r="AF110">
        <v>2</v>
      </c>
      <c r="AG110">
        <v>0</v>
      </c>
      <c r="AH110">
        <v>0</v>
      </c>
      <c r="AI110">
        <v>0</v>
      </c>
      <c r="AJ110">
        <v>0.17647058823529413</v>
      </c>
      <c r="AK110">
        <v>0.11764705882352941</v>
      </c>
      <c r="AL110">
        <v>0</v>
      </c>
      <c r="AM110">
        <v>0</v>
      </c>
      <c r="AN110">
        <v>0</v>
      </c>
    </row>
    <row r="111" spans="1:40" x14ac:dyDescent="0.25">
      <c r="A111">
        <v>2025</v>
      </c>
      <c r="B111" t="s">
        <v>99</v>
      </c>
      <c r="C111" t="str">
        <f>IF(COUNTIF('Rookies 22-25'!$B$198:$B$349,E111)&gt;0,"(R)","No")</f>
        <v>No</v>
      </c>
      <c r="D111">
        <v>65</v>
      </c>
      <c r="E111" t="s">
        <v>164</v>
      </c>
      <c r="F111" t="s">
        <v>39</v>
      </c>
      <c r="G111">
        <f>VLOOKUP(E111,'25 Draft ADP'!$B$3:$D$505,3,FALSE)</f>
        <v>155</v>
      </c>
      <c r="H111">
        <v>17</v>
      </c>
      <c r="I111">
        <v>8.1999999999999993</v>
      </c>
      <c r="J111">
        <v>1.8</v>
      </c>
      <c r="K111">
        <v>2.7</v>
      </c>
      <c r="L111">
        <v>0</v>
      </c>
      <c r="M111">
        <v>3.7</v>
      </c>
      <c r="N111">
        <v>16.100000000000001</v>
      </c>
      <c r="O111">
        <v>4.7</v>
      </c>
      <c r="P111">
        <v>5.7</v>
      </c>
      <c r="Q111">
        <v>20</v>
      </c>
      <c r="R111">
        <v>5.4</v>
      </c>
      <c r="S111">
        <v>6.1</v>
      </c>
      <c r="T111">
        <v>6.1</v>
      </c>
      <c r="U111">
        <v>6.3</v>
      </c>
      <c r="V111" t="s">
        <v>22</v>
      </c>
      <c r="W111">
        <v>0.5</v>
      </c>
      <c r="X111">
        <v>1.6</v>
      </c>
      <c r="Y111">
        <v>2</v>
      </c>
      <c r="Z111">
        <v>4.9000000000000004</v>
      </c>
      <c r="AA111">
        <v>5.6</v>
      </c>
      <c r="AB111">
        <f t="shared" si="2"/>
        <v>90.899999999999991</v>
      </c>
      <c r="AC111">
        <v>95.8</v>
      </c>
      <c r="AD111">
        <v>13</v>
      </c>
      <c r="AE111">
        <f t="shared" si="3"/>
        <v>2</v>
      </c>
      <c r="AF111">
        <v>2</v>
      </c>
      <c r="AG111">
        <v>0</v>
      </c>
      <c r="AH111">
        <v>0</v>
      </c>
      <c r="AI111">
        <v>0</v>
      </c>
      <c r="AJ111">
        <v>0.11764705882352941</v>
      </c>
      <c r="AK111">
        <v>0.11764705882352941</v>
      </c>
      <c r="AL111">
        <v>0</v>
      </c>
      <c r="AM111">
        <v>0</v>
      </c>
      <c r="AN111">
        <v>0</v>
      </c>
    </row>
    <row r="112" spans="1:40" x14ac:dyDescent="0.25">
      <c r="A112">
        <v>2025</v>
      </c>
      <c r="B112" t="s">
        <v>99</v>
      </c>
      <c r="C112" t="str">
        <f>IF(COUNTIF('Rookies 22-25'!$B$198:$B$349,E112)&gt;0,"(R)","No")</f>
        <v>No</v>
      </c>
      <c r="D112">
        <v>66</v>
      </c>
      <c r="E112" t="s">
        <v>165</v>
      </c>
      <c r="F112" t="s">
        <v>78</v>
      </c>
      <c r="G112">
        <f>VLOOKUP(E112,'25 Draft ADP'!$B$3:$D$505,3,FALSE)</f>
        <v>122</v>
      </c>
      <c r="H112">
        <v>16</v>
      </c>
      <c r="I112">
        <v>2.2000000000000002</v>
      </c>
      <c r="J112">
        <v>10.4</v>
      </c>
      <c r="K112">
        <v>1.4</v>
      </c>
      <c r="L112">
        <v>20.5</v>
      </c>
      <c r="M112">
        <v>3.9</v>
      </c>
      <c r="N112">
        <v>4.8</v>
      </c>
      <c r="O112">
        <v>15.8</v>
      </c>
      <c r="P112">
        <v>1.8</v>
      </c>
      <c r="Q112">
        <v>0</v>
      </c>
      <c r="R112" t="s">
        <v>33</v>
      </c>
      <c r="S112">
        <v>0.2</v>
      </c>
      <c r="T112" t="s">
        <v>22</v>
      </c>
      <c r="U112">
        <v>3.7</v>
      </c>
      <c r="V112">
        <v>7.7</v>
      </c>
      <c r="W112">
        <v>7.7</v>
      </c>
      <c r="X112">
        <v>5.9</v>
      </c>
      <c r="Y112">
        <v>4</v>
      </c>
      <c r="Z112">
        <v>3</v>
      </c>
      <c r="AA112">
        <v>5.8</v>
      </c>
      <c r="AB112">
        <f t="shared" si="2"/>
        <v>90</v>
      </c>
      <c r="AC112">
        <v>93</v>
      </c>
      <c r="AD112">
        <v>11</v>
      </c>
      <c r="AE112">
        <f t="shared" si="3"/>
        <v>3</v>
      </c>
      <c r="AF112">
        <v>2</v>
      </c>
      <c r="AG112">
        <v>1</v>
      </c>
      <c r="AH112">
        <v>0</v>
      </c>
      <c r="AI112">
        <v>0</v>
      </c>
      <c r="AJ112">
        <v>0.17647058823529413</v>
      </c>
      <c r="AK112">
        <v>0.125</v>
      </c>
      <c r="AL112">
        <v>6.25E-2</v>
      </c>
      <c r="AM112">
        <v>0</v>
      </c>
      <c r="AN112">
        <v>0</v>
      </c>
    </row>
    <row r="113" spans="1:40" x14ac:dyDescent="0.25">
      <c r="A113">
        <v>2025</v>
      </c>
      <c r="B113" t="s">
        <v>99</v>
      </c>
      <c r="C113" t="str">
        <f>IF(COUNTIF('Rookies 22-25'!$B$198:$B$349,E113)&gt;0,"(R)","No")</f>
        <v>(R)</v>
      </c>
      <c r="D113">
        <v>67</v>
      </c>
      <c r="E113" t="s">
        <v>166</v>
      </c>
      <c r="F113" t="s">
        <v>65</v>
      </c>
      <c r="G113">
        <f>VLOOKUP(E113,'25 Draft ADP'!$B$3:$D$505,3,FALSE)</f>
        <v>304</v>
      </c>
      <c r="H113">
        <v>16</v>
      </c>
      <c r="I113">
        <v>0</v>
      </c>
      <c r="J113" t="s">
        <v>33</v>
      </c>
      <c r="K113">
        <v>0</v>
      </c>
      <c r="L113">
        <v>2.2999999999999998</v>
      </c>
      <c r="M113">
        <v>10.1</v>
      </c>
      <c r="N113">
        <v>11.5</v>
      </c>
      <c r="O113">
        <v>15.8</v>
      </c>
      <c r="P113">
        <v>9.3000000000000007</v>
      </c>
      <c r="Q113" t="s">
        <v>22</v>
      </c>
      <c r="R113">
        <v>20.2</v>
      </c>
      <c r="S113">
        <v>1.6</v>
      </c>
      <c r="T113">
        <v>12.3</v>
      </c>
      <c r="U113">
        <v>1.5</v>
      </c>
      <c r="V113">
        <v>0</v>
      </c>
      <c r="W113">
        <v>0</v>
      </c>
      <c r="X113">
        <v>0.9</v>
      </c>
      <c r="Y113">
        <v>3.9</v>
      </c>
      <c r="Z113">
        <v>3.2</v>
      </c>
      <c r="AA113">
        <v>5.8</v>
      </c>
      <c r="AB113">
        <f t="shared" si="2"/>
        <v>89.399999999999991</v>
      </c>
      <c r="AC113">
        <v>92.6</v>
      </c>
      <c r="AD113">
        <v>20</v>
      </c>
      <c r="AE113">
        <f t="shared" si="3"/>
        <v>5</v>
      </c>
      <c r="AF113">
        <v>2</v>
      </c>
      <c r="AG113">
        <v>1</v>
      </c>
      <c r="AH113">
        <v>0</v>
      </c>
      <c r="AI113">
        <v>0</v>
      </c>
      <c r="AJ113">
        <v>0.29411764705882354</v>
      </c>
      <c r="AK113">
        <v>0.125</v>
      </c>
      <c r="AL113">
        <v>6.25E-2</v>
      </c>
      <c r="AM113">
        <v>0</v>
      </c>
      <c r="AN113">
        <v>0</v>
      </c>
    </row>
    <row r="114" spans="1:40" x14ac:dyDescent="0.25">
      <c r="A114">
        <v>2025</v>
      </c>
      <c r="B114" t="s">
        <v>99</v>
      </c>
      <c r="C114" t="str">
        <f>IF(COUNTIF('Rookies 22-25'!$B$198:$B$349,E114)&gt;0,"(R)","No")</f>
        <v>No</v>
      </c>
      <c r="D114">
        <v>68</v>
      </c>
      <c r="E114" t="s">
        <v>167</v>
      </c>
      <c r="F114" t="s">
        <v>47</v>
      </c>
      <c r="G114">
        <f>VLOOKUP(E114,'25 Draft ADP'!$B$3:$D$505,3,FALSE)</f>
        <v>368</v>
      </c>
      <c r="H114">
        <v>16</v>
      </c>
      <c r="I114" t="s">
        <v>33</v>
      </c>
      <c r="J114">
        <v>6.2</v>
      </c>
      <c r="K114">
        <v>7.8</v>
      </c>
      <c r="L114">
        <v>2.7</v>
      </c>
      <c r="M114">
        <v>24.2</v>
      </c>
      <c r="N114">
        <v>19.2</v>
      </c>
      <c r="O114">
        <v>3.4</v>
      </c>
      <c r="P114">
        <v>7.4</v>
      </c>
      <c r="Q114">
        <v>5.4</v>
      </c>
      <c r="R114">
        <v>2.9</v>
      </c>
      <c r="S114">
        <v>0</v>
      </c>
      <c r="T114">
        <v>0</v>
      </c>
      <c r="U114">
        <v>0</v>
      </c>
      <c r="V114" t="s">
        <v>22</v>
      </c>
      <c r="W114">
        <v>3.7</v>
      </c>
      <c r="X114">
        <v>5.7</v>
      </c>
      <c r="Y114">
        <v>3.5</v>
      </c>
      <c r="Z114">
        <v>0</v>
      </c>
      <c r="AA114">
        <v>5.8</v>
      </c>
      <c r="AB114">
        <f t="shared" si="2"/>
        <v>92.1</v>
      </c>
      <c r="AC114">
        <v>92.1</v>
      </c>
      <c r="AD114">
        <v>20</v>
      </c>
      <c r="AE114">
        <f t="shared" si="3"/>
        <v>2</v>
      </c>
      <c r="AF114">
        <v>2</v>
      </c>
      <c r="AG114">
        <v>1</v>
      </c>
      <c r="AH114">
        <v>0</v>
      </c>
      <c r="AI114">
        <v>0</v>
      </c>
      <c r="AJ114">
        <v>0.11764705882352941</v>
      </c>
      <c r="AK114">
        <v>0.125</v>
      </c>
      <c r="AL114">
        <v>6.25E-2</v>
      </c>
      <c r="AM114">
        <v>0</v>
      </c>
      <c r="AN114">
        <v>0</v>
      </c>
    </row>
    <row r="115" spans="1:40" x14ac:dyDescent="0.25">
      <c r="A115">
        <v>2025</v>
      </c>
      <c r="B115" t="s">
        <v>99</v>
      </c>
      <c r="C115" t="str">
        <f>IF(COUNTIF('Rookies 22-25'!$B$198:$B$349,E115)&gt;0,"(R)","No")</f>
        <v>No</v>
      </c>
      <c r="D115">
        <v>69</v>
      </c>
      <c r="E115" t="s">
        <v>168</v>
      </c>
      <c r="F115" t="s">
        <v>95</v>
      </c>
      <c r="G115">
        <f>VLOOKUP(E115,'25 Draft ADP'!$B$3:$D$505,3,FALSE)</f>
        <v>193</v>
      </c>
      <c r="H115">
        <v>11</v>
      </c>
      <c r="I115" t="s">
        <v>33</v>
      </c>
      <c r="J115" t="s">
        <v>33</v>
      </c>
      <c r="K115" t="s">
        <v>33</v>
      </c>
      <c r="L115" t="s">
        <v>33</v>
      </c>
      <c r="M115" t="s">
        <v>33</v>
      </c>
      <c r="N115" t="s">
        <v>33</v>
      </c>
      <c r="O115">
        <v>0</v>
      </c>
      <c r="P115">
        <v>6.6</v>
      </c>
      <c r="Q115">
        <v>1.9</v>
      </c>
      <c r="R115">
        <v>5.0999999999999996</v>
      </c>
      <c r="S115">
        <v>11.2</v>
      </c>
      <c r="T115">
        <v>6.2</v>
      </c>
      <c r="U115">
        <v>17.399999999999999</v>
      </c>
      <c r="V115" t="s">
        <v>22</v>
      </c>
      <c r="W115">
        <v>14</v>
      </c>
      <c r="X115">
        <v>7.7</v>
      </c>
      <c r="Y115">
        <v>3.6</v>
      </c>
      <c r="Z115">
        <v>16.7</v>
      </c>
      <c r="AA115">
        <v>8.1999999999999993</v>
      </c>
      <c r="AB115">
        <f t="shared" si="2"/>
        <v>73.7</v>
      </c>
      <c r="AC115">
        <v>90.4</v>
      </c>
      <c r="AD115">
        <v>17</v>
      </c>
      <c r="AE115">
        <f t="shared" si="3"/>
        <v>3</v>
      </c>
      <c r="AF115">
        <v>2</v>
      </c>
      <c r="AG115">
        <v>0</v>
      </c>
      <c r="AH115">
        <v>0</v>
      </c>
      <c r="AI115">
        <v>0</v>
      </c>
      <c r="AJ115">
        <v>0.23529411764705882</v>
      </c>
      <c r="AK115">
        <v>0.18181818181818182</v>
      </c>
      <c r="AL115">
        <v>0</v>
      </c>
      <c r="AM115">
        <v>0</v>
      </c>
      <c r="AN115">
        <v>0</v>
      </c>
    </row>
    <row r="116" spans="1:40" x14ac:dyDescent="0.25">
      <c r="A116">
        <v>2025</v>
      </c>
      <c r="B116" t="s">
        <v>99</v>
      </c>
      <c r="C116" t="str">
        <f>IF(COUNTIF('Rookies 22-25'!$B$198:$B$349,E116)&gt;0,"(R)","No")</f>
        <v>No</v>
      </c>
      <c r="D116">
        <v>70</v>
      </c>
      <c r="E116" t="s">
        <v>169</v>
      </c>
      <c r="F116" t="s">
        <v>89</v>
      </c>
      <c r="G116">
        <f>VLOOKUP(E116,'25 Draft ADP'!$B$3:$D$505,3,FALSE)</f>
        <v>213</v>
      </c>
      <c r="H116">
        <v>17</v>
      </c>
      <c r="I116">
        <v>0</v>
      </c>
      <c r="J116">
        <v>2.2000000000000002</v>
      </c>
      <c r="K116">
        <v>0</v>
      </c>
      <c r="L116">
        <v>3.7</v>
      </c>
      <c r="M116">
        <v>13.2</v>
      </c>
      <c r="N116">
        <v>1.5</v>
      </c>
      <c r="O116">
        <v>7.9</v>
      </c>
      <c r="P116">
        <v>0</v>
      </c>
      <c r="Q116">
        <v>18</v>
      </c>
      <c r="R116" t="s">
        <v>22</v>
      </c>
      <c r="S116">
        <v>5</v>
      </c>
      <c r="T116">
        <v>10.6</v>
      </c>
      <c r="U116">
        <v>9.9</v>
      </c>
      <c r="V116">
        <v>3.7</v>
      </c>
      <c r="W116">
        <v>0</v>
      </c>
      <c r="X116">
        <v>3.1</v>
      </c>
      <c r="Y116">
        <v>8.1</v>
      </c>
      <c r="Z116">
        <v>3</v>
      </c>
      <c r="AA116">
        <v>5.3</v>
      </c>
      <c r="AB116">
        <f t="shared" si="2"/>
        <v>86.9</v>
      </c>
      <c r="AC116">
        <v>89.9</v>
      </c>
      <c r="AD116">
        <v>17</v>
      </c>
      <c r="AE116">
        <f t="shared" si="3"/>
        <v>3</v>
      </c>
      <c r="AF116">
        <v>1</v>
      </c>
      <c r="AG116">
        <v>0</v>
      </c>
      <c r="AH116">
        <v>0</v>
      </c>
      <c r="AI116">
        <v>0</v>
      </c>
      <c r="AJ116">
        <v>0.17647058823529413</v>
      </c>
      <c r="AK116">
        <v>5.8823529411764705E-2</v>
      </c>
      <c r="AL116">
        <v>0</v>
      </c>
      <c r="AM116">
        <v>0</v>
      </c>
      <c r="AN116">
        <v>0</v>
      </c>
    </row>
    <row r="117" spans="1:40" x14ac:dyDescent="0.25">
      <c r="A117">
        <v>2025</v>
      </c>
      <c r="B117" t="s">
        <v>99</v>
      </c>
      <c r="C117" t="str">
        <f>IF(COUNTIF('Rookies 22-25'!$B$198:$B$349,E117)&gt;0,"(R)","No")</f>
        <v>No</v>
      </c>
      <c r="D117">
        <v>71</v>
      </c>
      <c r="E117" t="s">
        <v>170</v>
      </c>
      <c r="F117" t="s">
        <v>95</v>
      </c>
      <c r="G117">
        <f>VLOOKUP(E117,'25 Draft ADP'!$B$3:$D$505,3,FALSE)</f>
        <v>161</v>
      </c>
      <c r="H117">
        <v>15</v>
      </c>
      <c r="I117">
        <v>4</v>
      </c>
      <c r="J117">
        <v>0.8</v>
      </c>
      <c r="K117" t="s">
        <v>33</v>
      </c>
      <c r="L117" t="s">
        <v>33</v>
      </c>
      <c r="M117">
        <v>11.1</v>
      </c>
      <c r="N117">
        <v>3.1</v>
      </c>
      <c r="O117">
        <v>24.2</v>
      </c>
      <c r="P117">
        <v>3.7</v>
      </c>
      <c r="Q117">
        <v>3.2</v>
      </c>
      <c r="R117">
        <v>0</v>
      </c>
      <c r="S117">
        <v>18.3</v>
      </c>
      <c r="T117">
        <v>5.2</v>
      </c>
      <c r="U117">
        <v>1.1000000000000001</v>
      </c>
      <c r="V117" t="s">
        <v>22</v>
      </c>
      <c r="W117">
        <v>5.9</v>
      </c>
      <c r="X117">
        <v>2.2000000000000002</v>
      </c>
      <c r="Y117">
        <v>1.3</v>
      </c>
      <c r="Z117">
        <v>5.2</v>
      </c>
      <c r="AA117">
        <v>6</v>
      </c>
      <c r="AB117">
        <f t="shared" si="2"/>
        <v>84.1</v>
      </c>
      <c r="AC117">
        <v>89.3</v>
      </c>
      <c r="AD117">
        <v>14</v>
      </c>
      <c r="AE117">
        <f t="shared" si="3"/>
        <v>3</v>
      </c>
      <c r="AF117">
        <v>2</v>
      </c>
      <c r="AG117">
        <v>1</v>
      </c>
      <c r="AH117">
        <v>0</v>
      </c>
      <c r="AI117">
        <v>0</v>
      </c>
      <c r="AJ117">
        <v>0.17647058823529413</v>
      </c>
      <c r="AK117">
        <v>0.13333333333333333</v>
      </c>
      <c r="AL117">
        <v>6.6666666666666666E-2</v>
      </c>
      <c r="AM117">
        <v>0</v>
      </c>
      <c r="AN117">
        <v>0</v>
      </c>
    </row>
    <row r="118" spans="1:40" x14ac:dyDescent="0.25">
      <c r="A118">
        <v>2025</v>
      </c>
      <c r="B118" t="s">
        <v>99</v>
      </c>
      <c r="C118" t="str">
        <f>IF(COUNTIF('Rookies 22-25'!$B$198:$B$349,E118)&gt;0,"(R)","No")</f>
        <v>No</v>
      </c>
      <c r="D118">
        <v>72</v>
      </c>
      <c r="E118" t="s">
        <v>171</v>
      </c>
      <c r="F118" t="s">
        <v>47</v>
      </c>
      <c r="G118">
        <f>VLOOKUP(E118,'25 Draft ADP'!$B$3:$D$505,3,FALSE)</f>
        <v>63</v>
      </c>
      <c r="H118">
        <v>10</v>
      </c>
      <c r="I118">
        <v>14.8</v>
      </c>
      <c r="J118">
        <v>9.1999999999999993</v>
      </c>
      <c r="K118">
        <v>19.7</v>
      </c>
      <c r="L118">
        <v>8.6</v>
      </c>
      <c r="M118" t="s">
        <v>33</v>
      </c>
      <c r="N118" t="s">
        <v>33</v>
      </c>
      <c r="O118" t="s">
        <v>33</v>
      </c>
      <c r="P118" t="s">
        <v>33</v>
      </c>
      <c r="Q118">
        <v>0</v>
      </c>
      <c r="R118" t="s">
        <v>33</v>
      </c>
      <c r="S118">
        <v>1</v>
      </c>
      <c r="T118">
        <v>2.8</v>
      </c>
      <c r="U118">
        <v>3.4</v>
      </c>
      <c r="V118" t="s">
        <v>22</v>
      </c>
      <c r="W118">
        <v>15.6</v>
      </c>
      <c r="X118" t="s">
        <v>33</v>
      </c>
      <c r="Y118">
        <v>13.5</v>
      </c>
      <c r="Z118">
        <v>0</v>
      </c>
      <c r="AA118">
        <v>8.9</v>
      </c>
      <c r="AB118">
        <f t="shared" si="2"/>
        <v>88.6</v>
      </c>
      <c r="AC118">
        <v>88.6</v>
      </c>
      <c r="AD118">
        <v>5</v>
      </c>
      <c r="AE118">
        <f t="shared" si="3"/>
        <v>4</v>
      </c>
      <c r="AF118">
        <v>2</v>
      </c>
      <c r="AG118">
        <v>0</v>
      </c>
      <c r="AH118">
        <v>0</v>
      </c>
      <c r="AI118">
        <v>0</v>
      </c>
      <c r="AJ118">
        <v>0.23529411764705882</v>
      </c>
      <c r="AK118">
        <v>0.2</v>
      </c>
      <c r="AL118">
        <v>0</v>
      </c>
      <c r="AM118">
        <v>0</v>
      </c>
      <c r="AN118">
        <v>0</v>
      </c>
    </row>
    <row r="119" spans="1:40" x14ac:dyDescent="0.25">
      <c r="A119">
        <v>2025</v>
      </c>
      <c r="B119" t="s">
        <v>99</v>
      </c>
      <c r="C119" t="str">
        <f>IF(COUNTIF('Rookies 22-25'!$B$198:$B$349,E119)&gt;0,"(R)","No")</f>
        <v>No</v>
      </c>
      <c r="D119">
        <v>73</v>
      </c>
      <c r="E119" t="s">
        <v>172</v>
      </c>
      <c r="F119" t="s">
        <v>82</v>
      </c>
      <c r="G119">
        <f>VLOOKUP(E119,'25 Draft ADP'!$B$3:$D$505,3,FALSE)</f>
        <v>240</v>
      </c>
      <c r="H119">
        <v>16</v>
      </c>
      <c r="I119">
        <v>4.0999999999999996</v>
      </c>
      <c r="J119">
        <v>4</v>
      </c>
      <c r="K119">
        <v>0</v>
      </c>
      <c r="L119">
        <v>10.6</v>
      </c>
      <c r="M119">
        <v>0</v>
      </c>
      <c r="N119" t="s">
        <v>33</v>
      </c>
      <c r="O119">
        <v>1.8</v>
      </c>
      <c r="P119">
        <v>0</v>
      </c>
      <c r="Q119">
        <v>1.7</v>
      </c>
      <c r="R119" t="s">
        <v>33</v>
      </c>
      <c r="S119">
        <v>2</v>
      </c>
      <c r="T119">
        <v>6.2</v>
      </c>
      <c r="U119">
        <v>24.2</v>
      </c>
      <c r="V119">
        <v>3.4</v>
      </c>
      <c r="W119">
        <v>17.399999999999999</v>
      </c>
      <c r="X119">
        <v>7.3</v>
      </c>
      <c r="Y119">
        <v>5.2</v>
      </c>
      <c r="Z119">
        <v>0</v>
      </c>
      <c r="AA119">
        <v>5.5</v>
      </c>
      <c r="AB119">
        <f t="shared" si="2"/>
        <v>87.9</v>
      </c>
      <c r="AC119">
        <v>87.9</v>
      </c>
      <c r="AD119">
        <v>20</v>
      </c>
      <c r="AE119">
        <f t="shared" si="3"/>
        <v>3</v>
      </c>
      <c r="AF119">
        <v>2</v>
      </c>
      <c r="AG119">
        <v>1</v>
      </c>
      <c r="AH119">
        <v>0</v>
      </c>
      <c r="AI119">
        <v>0</v>
      </c>
      <c r="AJ119">
        <v>0.17647058823529413</v>
      </c>
      <c r="AK119">
        <v>0.125</v>
      </c>
      <c r="AL119">
        <v>6.25E-2</v>
      </c>
      <c r="AM119">
        <v>0</v>
      </c>
      <c r="AN119">
        <v>0</v>
      </c>
    </row>
    <row r="120" spans="1:40" x14ac:dyDescent="0.25">
      <c r="A120">
        <v>2025</v>
      </c>
      <c r="B120" t="s">
        <v>99</v>
      </c>
      <c r="C120" t="str">
        <f>IF(COUNTIF('Rookies 22-25'!$B$198:$B$349,E120)&gt;0,"(R)","No")</f>
        <v>No</v>
      </c>
      <c r="D120">
        <v>74</v>
      </c>
      <c r="E120" t="s">
        <v>173</v>
      </c>
      <c r="F120" t="s">
        <v>71</v>
      </c>
      <c r="G120">
        <f>VLOOKUP(E120,'25 Draft ADP'!$B$3:$D$505,3,FALSE)</f>
        <v>226</v>
      </c>
      <c r="H120">
        <v>14</v>
      </c>
      <c r="I120">
        <v>17</v>
      </c>
      <c r="J120">
        <v>3.2</v>
      </c>
      <c r="K120">
        <v>12.4</v>
      </c>
      <c r="L120">
        <v>3.3</v>
      </c>
      <c r="M120" t="s">
        <v>22</v>
      </c>
      <c r="N120" t="s">
        <v>33</v>
      </c>
      <c r="O120" t="s">
        <v>33</v>
      </c>
      <c r="P120">
        <v>6.8</v>
      </c>
      <c r="Q120">
        <v>10.6</v>
      </c>
      <c r="R120">
        <v>3.4</v>
      </c>
      <c r="S120">
        <v>1.5</v>
      </c>
      <c r="T120">
        <v>7.6</v>
      </c>
      <c r="U120">
        <v>0</v>
      </c>
      <c r="V120">
        <v>4.0999999999999996</v>
      </c>
      <c r="W120">
        <v>0</v>
      </c>
      <c r="X120">
        <v>1.8</v>
      </c>
      <c r="Y120" t="s">
        <v>33</v>
      </c>
      <c r="Z120">
        <v>14.5</v>
      </c>
      <c r="AA120">
        <v>6.2</v>
      </c>
      <c r="AB120">
        <f t="shared" si="2"/>
        <v>71.7</v>
      </c>
      <c r="AC120">
        <v>86.2</v>
      </c>
      <c r="AD120">
        <v>19</v>
      </c>
      <c r="AE120">
        <f t="shared" si="3"/>
        <v>3</v>
      </c>
      <c r="AF120">
        <v>1</v>
      </c>
      <c r="AG120">
        <v>0</v>
      </c>
      <c r="AH120">
        <v>0</v>
      </c>
      <c r="AI120">
        <v>0</v>
      </c>
      <c r="AJ120">
        <v>0.23529411764705882</v>
      </c>
      <c r="AK120">
        <v>7.1428571428571425E-2</v>
      </c>
      <c r="AL120">
        <v>0</v>
      </c>
      <c r="AM120">
        <v>0</v>
      </c>
      <c r="AN120">
        <v>0</v>
      </c>
    </row>
    <row r="121" spans="1:40" x14ac:dyDescent="0.25">
      <c r="A121">
        <v>2025</v>
      </c>
      <c r="B121" t="s">
        <v>99</v>
      </c>
      <c r="C121" t="str">
        <f>IF(COUNTIF('Rookies 22-25'!$B$198:$B$349,E121)&gt;0,"(R)","No")</f>
        <v>No</v>
      </c>
      <c r="D121">
        <v>75</v>
      </c>
      <c r="E121" t="s">
        <v>174</v>
      </c>
      <c r="F121" t="s">
        <v>65</v>
      </c>
      <c r="G121">
        <f>VLOOKUP(E121,'25 Draft ADP'!$B$3:$D$505,3,FALSE)</f>
        <v>34</v>
      </c>
      <c r="H121">
        <v>8</v>
      </c>
      <c r="I121">
        <v>10.1</v>
      </c>
      <c r="J121">
        <v>10.6</v>
      </c>
      <c r="K121">
        <v>13.3</v>
      </c>
      <c r="L121" t="s">
        <v>33</v>
      </c>
      <c r="M121" t="s">
        <v>33</v>
      </c>
      <c r="N121" t="s">
        <v>33</v>
      </c>
      <c r="O121">
        <v>0</v>
      </c>
      <c r="P121" t="s">
        <v>33</v>
      </c>
      <c r="Q121" t="s">
        <v>22</v>
      </c>
      <c r="R121" t="s">
        <v>33</v>
      </c>
      <c r="S121" t="s">
        <v>33</v>
      </c>
      <c r="T121" t="s">
        <v>33</v>
      </c>
      <c r="U121" t="s">
        <v>33</v>
      </c>
      <c r="V121" t="s">
        <v>33</v>
      </c>
      <c r="W121">
        <v>19.2</v>
      </c>
      <c r="X121">
        <v>14.1</v>
      </c>
      <c r="Y121">
        <v>12.1</v>
      </c>
      <c r="Z121">
        <v>5.4</v>
      </c>
      <c r="AA121">
        <v>10.6</v>
      </c>
      <c r="AB121">
        <f t="shared" si="2"/>
        <v>79.399999999999991</v>
      </c>
      <c r="AC121">
        <v>84.8</v>
      </c>
      <c r="AD121">
        <v>3</v>
      </c>
      <c r="AE121">
        <f t="shared" si="3"/>
        <v>6</v>
      </c>
      <c r="AF121">
        <v>1</v>
      </c>
      <c r="AG121">
        <v>0</v>
      </c>
      <c r="AH121">
        <v>0</v>
      </c>
      <c r="AI121">
        <v>0</v>
      </c>
      <c r="AJ121">
        <v>0.35294117647058826</v>
      </c>
      <c r="AK121">
        <v>0.125</v>
      </c>
      <c r="AL121">
        <v>0</v>
      </c>
      <c r="AM121">
        <v>0</v>
      </c>
      <c r="AN121">
        <v>0</v>
      </c>
    </row>
    <row r="122" spans="1:40" x14ac:dyDescent="0.25">
      <c r="A122">
        <v>2025</v>
      </c>
      <c r="B122" t="s">
        <v>99</v>
      </c>
      <c r="C122" t="str">
        <f>IF(COUNTIF('Rookies 22-25'!$B$198:$B$349,E122)&gt;0,"(R)","No")</f>
        <v>No</v>
      </c>
      <c r="D122">
        <v>75</v>
      </c>
      <c r="E122" t="s">
        <v>175</v>
      </c>
      <c r="F122" t="s">
        <v>45</v>
      </c>
      <c r="G122">
        <f>VLOOKUP(E122,'25 Draft ADP'!$B$3:$D$505,3,FALSE)</f>
        <v>244</v>
      </c>
      <c r="H122">
        <v>16</v>
      </c>
      <c r="I122">
        <v>8.1999999999999993</v>
      </c>
      <c r="J122">
        <v>4.0999999999999996</v>
      </c>
      <c r="K122">
        <v>6.6</v>
      </c>
      <c r="L122">
        <v>9.1</v>
      </c>
      <c r="M122" t="s">
        <v>22</v>
      </c>
      <c r="N122">
        <v>4.8</v>
      </c>
      <c r="O122">
        <v>2.9</v>
      </c>
      <c r="P122">
        <v>10.3</v>
      </c>
      <c r="Q122">
        <v>17.8</v>
      </c>
      <c r="R122">
        <v>1.5</v>
      </c>
      <c r="S122">
        <v>0</v>
      </c>
      <c r="T122">
        <v>1.6</v>
      </c>
      <c r="U122">
        <v>3.9</v>
      </c>
      <c r="V122">
        <v>8.6999999999999993</v>
      </c>
      <c r="W122">
        <v>0</v>
      </c>
      <c r="X122">
        <v>5.3</v>
      </c>
      <c r="Y122" t="s">
        <v>33</v>
      </c>
      <c r="Z122">
        <v>0</v>
      </c>
      <c r="AA122">
        <v>5.3</v>
      </c>
      <c r="AB122">
        <f t="shared" si="2"/>
        <v>84.8</v>
      </c>
      <c r="AC122">
        <v>84.8</v>
      </c>
      <c r="AD122">
        <v>20</v>
      </c>
      <c r="AE122">
        <f t="shared" si="3"/>
        <v>2</v>
      </c>
      <c r="AF122">
        <v>1</v>
      </c>
      <c r="AG122">
        <v>0</v>
      </c>
      <c r="AH122">
        <v>0</v>
      </c>
      <c r="AI122">
        <v>0</v>
      </c>
      <c r="AJ122">
        <v>0.11764705882352941</v>
      </c>
      <c r="AK122">
        <v>6.25E-2</v>
      </c>
      <c r="AL122">
        <v>0</v>
      </c>
      <c r="AM122">
        <v>0</v>
      </c>
      <c r="AN122">
        <v>0</v>
      </c>
    </row>
    <row r="123" spans="1:40" x14ac:dyDescent="0.25">
      <c r="A123">
        <v>2025</v>
      </c>
      <c r="B123" t="s">
        <v>99</v>
      </c>
      <c r="C123" t="str">
        <f>IF(COUNTIF('Rookies 22-25'!$B$198:$B$349,E123)&gt;0,"(R)","No")</f>
        <v>No</v>
      </c>
      <c r="D123">
        <v>77</v>
      </c>
      <c r="E123" t="s">
        <v>176</v>
      </c>
      <c r="F123" t="s">
        <v>30</v>
      </c>
      <c r="G123">
        <f>VLOOKUP(E123,'25 Draft ADP'!$B$3:$D$505,3,FALSE)</f>
        <v>260</v>
      </c>
      <c r="H123">
        <v>15</v>
      </c>
      <c r="I123">
        <v>4.7</v>
      </c>
      <c r="J123">
        <v>15.3</v>
      </c>
      <c r="K123">
        <v>8.8000000000000007</v>
      </c>
      <c r="L123">
        <v>6.4</v>
      </c>
      <c r="M123" t="s">
        <v>33</v>
      </c>
      <c r="N123" t="s">
        <v>33</v>
      </c>
      <c r="O123">
        <v>2.7</v>
      </c>
      <c r="P123">
        <v>0.8</v>
      </c>
      <c r="Q123">
        <v>3.3</v>
      </c>
      <c r="R123" t="s">
        <v>22</v>
      </c>
      <c r="S123">
        <v>1</v>
      </c>
      <c r="T123">
        <v>4.2</v>
      </c>
      <c r="U123">
        <v>8.1</v>
      </c>
      <c r="V123">
        <v>5</v>
      </c>
      <c r="W123">
        <v>3.2</v>
      </c>
      <c r="X123">
        <v>4.7</v>
      </c>
      <c r="Y123">
        <v>15.6</v>
      </c>
      <c r="Z123">
        <v>0.7</v>
      </c>
      <c r="AA123">
        <v>5.6</v>
      </c>
      <c r="AB123">
        <f t="shared" si="2"/>
        <v>83.8</v>
      </c>
      <c r="AC123">
        <v>84.5</v>
      </c>
      <c r="AD123">
        <v>20</v>
      </c>
      <c r="AE123">
        <f t="shared" si="3"/>
        <v>2</v>
      </c>
      <c r="AF123">
        <v>2</v>
      </c>
      <c r="AG123">
        <v>0</v>
      </c>
      <c r="AH123">
        <v>0</v>
      </c>
      <c r="AI123">
        <v>0</v>
      </c>
      <c r="AJ123">
        <v>0.11764705882352941</v>
      </c>
      <c r="AK123">
        <v>0.13333333333333333</v>
      </c>
      <c r="AL123">
        <v>0</v>
      </c>
      <c r="AM123">
        <v>0</v>
      </c>
      <c r="AN123">
        <v>0</v>
      </c>
    </row>
    <row r="124" spans="1:40" x14ac:dyDescent="0.25">
      <c r="A124">
        <v>2025</v>
      </c>
      <c r="B124" t="s">
        <v>99</v>
      </c>
      <c r="C124" t="str">
        <f>IF(COUNTIF('Rookies 22-25'!$B$198:$B$349,E124)&gt;0,"(R)","No")</f>
        <v>No</v>
      </c>
      <c r="D124">
        <v>78</v>
      </c>
      <c r="E124" t="s">
        <v>177</v>
      </c>
      <c r="F124" t="s">
        <v>65</v>
      </c>
      <c r="G124">
        <f>VLOOKUP(E124,'25 Draft ADP'!$B$3:$D$505,3,FALSE)</f>
        <v>109</v>
      </c>
      <c r="H124">
        <v>9</v>
      </c>
      <c r="I124" t="s">
        <v>33</v>
      </c>
      <c r="J124" t="s">
        <v>33</v>
      </c>
      <c r="K124" t="s">
        <v>33</v>
      </c>
      <c r="L124">
        <v>5.6</v>
      </c>
      <c r="M124">
        <v>5.6</v>
      </c>
      <c r="N124" t="s">
        <v>33</v>
      </c>
      <c r="O124" t="s">
        <v>33</v>
      </c>
      <c r="P124" t="s">
        <v>33</v>
      </c>
      <c r="Q124" t="s">
        <v>22</v>
      </c>
      <c r="R124" t="s">
        <v>33</v>
      </c>
      <c r="S124" t="s">
        <v>33</v>
      </c>
      <c r="T124">
        <v>2.9</v>
      </c>
      <c r="U124">
        <v>10.8</v>
      </c>
      <c r="V124">
        <v>10.5</v>
      </c>
      <c r="W124">
        <v>14</v>
      </c>
      <c r="X124">
        <v>8</v>
      </c>
      <c r="Y124">
        <v>23.8</v>
      </c>
      <c r="Z124">
        <v>1.8</v>
      </c>
      <c r="AA124">
        <v>9.1999999999999993</v>
      </c>
      <c r="AB124">
        <f t="shared" si="2"/>
        <v>81.2</v>
      </c>
      <c r="AC124">
        <v>83</v>
      </c>
      <c r="AD124">
        <v>10</v>
      </c>
      <c r="AE124">
        <f t="shared" si="3"/>
        <v>4</v>
      </c>
      <c r="AF124">
        <v>1</v>
      </c>
      <c r="AG124">
        <v>1</v>
      </c>
      <c r="AH124">
        <v>0</v>
      </c>
      <c r="AI124">
        <v>0</v>
      </c>
      <c r="AJ124">
        <v>0.23529411764705882</v>
      </c>
      <c r="AK124">
        <v>0.1111111111111111</v>
      </c>
      <c r="AL124">
        <v>0.1111111111111111</v>
      </c>
      <c r="AM124">
        <v>0</v>
      </c>
      <c r="AN124">
        <v>0</v>
      </c>
    </row>
    <row r="125" spans="1:40" x14ac:dyDescent="0.25">
      <c r="A125">
        <v>2025</v>
      </c>
      <c r="B125" t="s">
        <v>99</v>
      </c>
      <c r="C125" t="str">
        <f>IF(COUNTIF('Rookies 22-25'!$B$198:$B$349,E125)&gt;0,"(R)","No")</f>
        <v>No</v>
      </c>
      <c r="D125">
        <v>79</v>
      </c>
      <c r="E125" t="s">
        <v>178</v>
      </c>
      <c r="F125" t="s">
        <v>24</v>
      </c>
      <c r="G125">
        <f>VLOOKUP(E125,'25 Draft ADP'!$B$3:$D$505,3,FALSE)</f>
        <v>116</v>
      </c>
      <c r="H125">
        <v>15</v>
      </c>
      <c r="I125" t="s">
        <v>33</v>
      </c>
      <c r="J125">
        <v>4</v>
      </c>
      <c r="K125">
        <v>8.4</v>
      </c>
      <c r="L125">
        <v>2.5</v>
      </c>
      <c r="M125" t="s">
        <v>22</v>
      </c>
      <c r="N125" t="s">
        <v>33</v>
      </c>
      <c r="O125">
        <v>9.8000000000000007</v>
      </c>
      <c r="P125">
        <v>2.1</v>
      </c>
      <c r="Q125">
        <v>2.5</v>
      </c>
      <c r="R125">
        <v>2.7</v>
      </c>
      <c r="S125">
        <v>6.4</v>
      </c>
      <c r="T125">
        <v>16.399999999999999</v>
      </c>
      <c r="U125">
        <v>4.5</v>
      </c>
      <c r="V125">
        <v>1.6</v>
      </c>
      <c r="W125">
        <v>6.5</v>
      </c>
      <c r="X125">
        <v>4.4000000000000004</v>
      </c>
      <c r="Y125">
        <v>5.5</v>
      </c>
      <c r="Z125">
        <v>5</v>
      </c>
      <c r="AA125">
        <v>5.5</v>
      </c>
      <c r="AB125">
        <f t="shared" si="2"/>
        <v>77.3</v>
      </c>
      <c r="AC125">
        <v>82.3</v>
      </c>
      <c r="AD125">
        <v>11</v>
      </c>
      <c r="AE125">
        <f t="shared" si="3"/>
        <v>1</v>
      </c>
      <c r="AF125">
        <v>1</v>
      </c>
      <c r="AG125">
        <v>0</v>
      </c>
      <c r="AH125">
        <v>0</v>
      </c>
      <c r="AI125">
        <v>0</v>
      </c>
      <c r="AJ125">
        <v>5.8823529411764705E-2</v>
      </c>
      <c r="AK125">
        <v>6.6666666666666666E-2</v>
      </c>
      <c r="AL125">
        <v>0</v>
      </c>
      <c r="AM125">
        <v>0</v>
      </c>
      <c r="AN125">
        <v>0</v>
      </c>
    </row>
    <row r="126" spans="1:40" x14ac:dyDescent="0.25">
      <c r="A126">
        <v>2025</v>
      </c>
      <c r="B126" t="s">
        <v>99</v>
      </c>
      <c r="C126" t="str">
        <f>IF(COUNTIF('Rookies 22-25'!$B$198:$B$349,E126)&gt;0,"(R)","No")</f>
        <v>No</v>
      </c>
      <c r="D126">
        <v>80</v>
      </c>
      <c r="E126" t="s">
        <v>179</v>
      </c>
      <c r="F126" t="s">
        <v>65</v>
      </c>
      <c r="G126">
        <f>VLOOKUP(E126,'25 Draft ADP'!$B$3:$D$505,3,FALSE)</f>
        <v>335</v>
      </c>
      <c r="H126">
        <v>13</v>
      </c>
      <c r="I126">
        <v>6.9</v>
      </c>
      <c r="J126">
        <v>7.4</v>
      </c>
      <c r="K126">
        <v>12</v>
      </c>
      <c r="L126">
        <v>4</v>
      </c>
      <c r="M126">
        <v>11.9</v>
      </c>
      <c r="N126">
        <v>7.1</v>
      </c>
      <c r="O126">
        <v>7.5</v>
      </c>
      <c r="P126">
        <v>1.8</v>
      </c>
      <c r="Q126" t="s">
        <v>22</v>
      </c>
      <c r="R126">
        <v>6.1</v>
      </c>
      <c r="S126">
        <v>10.1</v>
      </c>
      <c r="T126">
        <v>4.2</v>
      </c>
      <c r="U126">
        <v>1.5</v>
      </c>
      <c r="V126">
        <v>1.5</v>
      </c>
      <c r="W126" t="s">
        <v>33</v>
      </c>
      <c r="X126" t="s">
        <v>33</v>
      </c>
      <c r="Y126" t="s">
        <v>33</v>
      </c>
      <c r="Z126">
        <v>0</v>
      </c>
      <c r="AA126">
        <v>6.3</v>
      </c>
      <c r="AB126">
        <f t="shared" si="2"/>
        <v>82</v>
      </c>
      <c r="AC126">
        <v>82</v>
      </c>
      <c r="AD126">
        <v>20</v>
      </c>
      <c r="AE126">
        <f t="shared" si="3"/>
        <v>3</v>
      </c>
      <c r="AF126">
        <v>0</v>
      </c>
      <c r="AG126">
        <v>0</v>
      </c>
      <c r="AH126">
        <v>0</v>
      </c>
      <c r="AI126">
        <v>0</v>
      </c>
      <c r="AJ126">
        <v>0.17647058823529413</v>
      </c>
      <c r="AK126">
        <v>0</v>
      </c>
      <c r="AL126">
        <v>0</v>
      </c>
      <c r="AM126">
        <v>0</v>
      </c>
      <c r="AN126">
        <v>0</v>
      </c>
    </row>
    <row r="127" spans="1:40" x14ac:dyDescent="0.25">
      <c r="A127">
        <v>2025</v>
      </c>
      <c r="B127" t="s">
        <v>99</v>
      </c>
      <c r="C127" t="str">
        <f>IF(COUNTIF('Rookies 22-25'!$B$198:$B$349,E127)&gt;0,"(R)","No")</f>
        <v>No</v>
      </c>
      <c r="D127">
        <v>81</v>
      </c>
      <c r="E127" t="s">
        <v>180</v>
      </c>
      <c r="F127" t="s">
        <v>26</v>
      </c>
      <c r="G127">
        <f>VLOOKUP(E127,'25 Draft ADP'!$B$3:$D$505,3,FALSE)</f>
        <v>283</v>
      </c>
      <c r="H127">
        <v>14</v>
      </c>
      <c r="I127">
        <v>6.1</v>
      </c>
      <c r="J127">
        <v>13.9</v>
      </c>
      <c r="K127">
        <v>18.100000000000001</v>
      </c>
      <c r="L127">
        <v>8.1</v>
      </c>
      <c r="M127">
        <v>12</v>
      </c>
      <c r="N127">
        <v>0</v>
      </c>
      <c r="O127">
        <v>4.9000000000000004</v>
      </c>
      <c r="P127">
        <v>0</v>
      </c>
      <c r="Q127">
        <v>0</v>
      </c>
      <c r="R127" t="s">
        <v>22</v>
      </c>
      <c r="S127">
        <v>7.1</v>
      </c>
      <c r="T127">
        <v>0</v>
      </c>
      <c r="U127">
        <v>0</v>
      </c>
      <c r="V127">
        <v>3.9</v>
      </c>
      <c r="W127">
        <v>6.7</v>
      </c>
      <c r="X127" t="s">
        <v>33</v>
      </c>
      <c r="Y127" t="s">
        <v>33</v>
      </c>
      <c r="Z127">
        <v>0</v>
      </c>
      <c r="AA127">
        <v>5.8</v>
      </c>
      <c r="AB127">
        <f t="shared" si="2"/>
        <v>80.8</v>
      </c>
      <c r="AC127">
        <v>80.8</v>
      </c>
      <c r="AD127">
        <v>20</v>
      </c>
      <c r="AE127">
        <f t="shared" si="3"/>
        <v>3</v>
      </c>
      <c r="AF127">
        <v>1</v>
      </c>
      <c r="AG127">
        <v>0</v>
      </c>
      <c r="AH127">
        <v>0</v>
      </c>
      <c r="AI127">
        <v>0</v>
      </c>
      <c r="AJ127">
        <v>0.17647058823529413</v>
      </c>
      <c r="AK127">
        <v>7.1428571428571425E-2</v>
      </c>
      <c r="AL127">
        <v>0</v>
      </c>
      <c r="AM127">
        <v>0</v>
      </c>
      <c r="AN127">
        <v>0</v>
      </c>
    </row>
    <row r="128" spans="1:40" x14ac:dyDescent="0.25">
      <c r="A128">
        <v>2025</v>
      </c>
      <c r="B128" t="s">
        <v>99</v>
      </c>
      <c r="C128" t="str">
        <f>IF(COUNTIF('Rookies 22-25'!$B$198:$B$349,E128)&gt;0,"(R)","No")</f>
        <v>(R)</v>
      </c>
      <c r="D128">
        <v>82</v>
      </c>
      <c r="E128" t="s">
        <v>181</v>
      </c>
      <c r="F128" t="s">
        <v>75</v>
      </c>
      <c r="G128">
        <f>VLOOKUP(E128,'25 Draft ADP'!$B$3:$D$505,3,FALSE)</f>
        <v>175</v>
      </c>
      <c r="H128">
        <v>17</v>
      </c>
      <c r="I128">
        <v>8.3000000000000007</v>
      </c>
      <c r="J128">
        <v>3.9</v>
      </c>
      <c r="K128">
        <v>0</v>
      </c>
      <c r="L128">
        <v>0</v>
      </c>
      <c r="M128">
        <v>8.1999999999999993</v>
      </c>
      <c r="N128">
        <v>0</v>
      </c>
      <c r="O128">
        <v>0</v>
      </c>
      <c r="P128" t="s">
        <v>22</v>
      </c>
      <c r="Q128">
        <v>0</v>
      </c>
      <c r="R128">
        <v>2.1</v>
      </c>
      <c r="S128">
        <v>0</v>
      </c>
      <c r="T128">
        <v>0</v>
      </c>
      <c r="U128">
        <v>11.5</v>
      </c>
      <c r="V128">
        <v>10</v>
      </c>
      <c r="W128">
        <v>0</v>
      </c>
      <c r="X128">
        <v>15.2</v>
      </c>
      <c r="Y128">
        <v>13.9</v>
      </c>
      <c r="Z128">
        <v>2.8</v>
      </c>
      <c r="AA128">
        <v>4.5</v>
      </c>
      <c r="AB128">
        <f t="shared" si="2"/>
        <v>73.100000000000009</v>
      </c>
      <c r="AC128">
        <v>75.900000000000006</v>
      </c>
      <c r="AD128">
        <v>14</v>
      </c>
      <c r="AE128">
        <f t="shared" si="3"/>
        <v>3</v>
      </c>
      <c r="AF128">
        <v>1</v>
      </c>
      <c r="AG128">
        <v>0</v>
      </c>
      <c r="AH128">
        <v>0</v>
      </c>
      <c r="AI128">
        <v>0</v>
      </c>
      <c r="AJ128">
        <v>0.17647058823529413</v>
      </c>
      <c r="AK128">
        <v>5.8823529411764705E-2</v>
      </c>
      <c r="AL128">
        <v>0</v>
      </c>
      <c r="AM128">
        <v>0</v>
      </c>
      <c r="AN128">
        <v>0</v>
      </c>
    </row>
    <row r="129" spans="1:40" x14ac:dyDescent="0.25">
      <c r="A129">
        <v>2025</v>
      </c>
      <c r="B129" t="s">
        <v>99</v>
      </c>
      <c r="C129" t="str">
        <f>IF(COUNTIF('Rookies 22-25'!$B$198:$B$349,E129)&gt;0,"(R)","No")</f>
        <v>No</v>
      </c>
      <c r="D129">
        <v>83</v>
      </c>
      <c r="E129" t="s">
        <v>182</v>
      </c>
      <c r="F129" t="s">
        <v>69</v>
      </c>
      <c r="G129">
        <f>VLOOKUP(E129,'25 Draft ADP'!$B$3:$D$505,3,FALSE)</f>
        <v>243</v>
      </c>
      <c r="H129">
        <v>14</v>
      </c>
      <c r="I129">
        <v>5</v>
      </c>
      <c r="J129">
        <v>8.4</v>
      </c>
      <c r="K129">
        <v>4.0999999999999996</v>
      </c>
      <c r="L129">
        <v>3.9</v>
      </c>
      <c r="M129" t="s">
        <v>22</v>
      </c>
      <c r="N129">
        <v>3.5</v>
      </c>
      <c r="O129">
        <v>1.5</v>
      </c>
      <c r="P129" t="s">
        <v>33</v>
      </c>
      <c r="Q129" t="s">
        <v>33</v>
      </c>
      <c r="R129">
        <v>7.8</v>
      </c>
      <c r="S129">
        <v>1.9</v>
      </c>
      <c r="T129">
        <v>5.2</v>
      </c>
      <c r="U129">
        <v>28</v>
      </c>
      <c r="V129">
        <v>0</v>
      </c>
      <c r="W129">
        <v>1.6</v>
      </c>
      <c r="X129">
        <v>3.2</v>
      </c>
      <c r="Y129">
        <v>1.7</v>
      </c>
      <c r="Z129">
        <v>0</v>
      </c>
      <c r="AA129">
        <v>5.4</v>
      </c>
      <c r="AB129">
        <f t="shared" si="2"/>
        <v>75.8</v>
      </c>
      <c r="AC129">
        <v>75.8</v>
      </c>
      <c r="AD129">
        <v>20</v>
      </c>
      <c r="AE129">
        <f t="shared" si="3"/>
        <v>1</v>
      </c>
      <c r="AF129">
        <v>1</v>
      </c>
      <c r="AG129">
        <v>1</v>
      </c>
      <c r="AH129">
        <v>1</v>
      </c>
      <c r="AI129">
        <v>0</v>
      </c>
      <c r="AJ129">
        <v>5.8823529411764705E-2</v>
      </c>
      <c r="AK129">
        <v>7.1428571428571425E-2</v>
      </c>
      <c r="AL129">
        <v>7.1428571428571425E-2</v>
      </c>
      <c r="AM129">
        <v>7.1428571428571425E-2</v>
      </c>
      <c r="AN129">
        <v>0</v>
      </c>
    </row>
    <row r="130" spans="1:40" x14ac:dyDescent="0.25">
      <c r="A130">
        <v>2025</v>
      </c>
      <c r="B130" t="s">
        <v>99</v>
      </c>
      <c r="C130" t="str">
        <f>IF(COUNTIF('Rookies 22-25'!$B$198:$B$349,E130)&gt;0,"(R)","No")</f>
        <v>No</v>
      </c>
      <c r="D130">
        <v>84</v>
      </c>
      <c r="E130" t="s">
        <v>183</v>
      </c>
      <c r="F130" t="s">
        <v>21</v>
      </c>
      <c r="G130">
        <f>VLOOKUP(E130,'25 Draft ADP'!$B$3:$D$505,3,FALSE)</f>
        <v>350</v>
      </c>
      <c r="H130">
        <v>12</v>
      </c>
      <c r="I130">
        <v>0.8</v>
      </c>
      <c r="J130">
        <v>2.1</v>
      </c>
      <c r="K130">
        <v>2.8</v>
      </c>
      <c r="L130">
        <v>7.9</v>
      </c>
      <c r="M130">
        <v>3.2</v>
      </c>
      <c r="N130">
        <v>9.9</v>
      </c>
      <c r="O130">
        <v>2.5</v>
      </c>
      <c r="P130" t="s">
        <v>22</v>
      </c>
      <c r="Q130">
        <v>0.9</v>
      </c>
      <c r="R130">
        <v>6.2</v>
      </c>
      <c r="S130">
        <v>18.600000000000001</v>
      </c>
      <c r="T130">
        <v>16.8</v>
      </c>
      <c r="U130">
        <v>3.4</v>
      </c>
      <c r="V130" t="s">
        <v>33</v>
      </c>
      <c r="W130" t="s">
        <v>33</v>
      </c>
      <c r="X130" t="s">
        <v>33</v>
      </c>
      <c r="Y130" t="s">
        <v>33</v>
      </c>
      <c r="Z130">
        <v>0</v>
      </c>
      <c r="AA130">
        <v>6.3</v>
      </c>
      <c r="AB130">
        <f t="shared" si="2"/>
        <v>75.099999999999994</v>
      </c>
      <c r="AC130">
        <v>75.099999999999994</v>
      </c>
      <c r="AD130">
        <v>20</v>
      </c>
      <c r="AE130">
        <f t="shared" si="3"/>
        <v>2</v>
      </c>
      <c r="AF130">
        <v>2</v>
      </c>
      <c r="AG130">
        <v>0</v>
      </c>
      <c r="AH130">
        <v>0</v>
      </c>
      <c r="AI130">
        <v>0</v>
      </c>
      <c r="AJ130">
        <v>0.11764705882352941</v>
      </c>
      <c r="AK130">
        <v>0.16666666666666666</v>
      </c>
      <c r="AL130">
        <v>0</v>
      </c>
      <c r="AM130">
        <v>0</v>
      </c>
      <c r="AN130">
        <v>0</v>
      </c>
    </row>
    <row r="131" spans="1:40" x14ac:dyDescent="0.25">
      <c r="A131">
        <v>2025</v>
      </c>
      <c r="B131" t="s">
        <v>99</v>
      </c>
      <c r="C131" t="str">
        <f>IF(COUNTIF('Rookies 22-25'!$B$198:$B$349,E131)&gt;0,"(R)","No")</f>
        <v>(R)</v>
      </c>
      <c r="D131">
        <v>85</v>
      </c>
      <c r="E131" t="s">
        <v>184</v>
      </c>
      <c r="F131" t="s">
        <v>78</v>
      </c>
      <c r="G131">
        <f>VLOOKUP(E131,'25 Draft ADP'!$B$3:$D$505,3,FALSE)</f>
        <v>182</v>
      </c>
      <c r="H131">
        <v>15</v>
      </c>
      <c r="I131">
        <v>0</v>
      </c>
      <c r="J131">
        <v>3.8</v>
      </c>
      <c r="K131">
        <v>0</v>
      </c>
      <c r="L131">
        <v>0</v>
      </c>
      <c r="M131">
        <v>0</v>
      </c>
      <c r="N131">
        <v>4.2</v>
      </c>
      <c r="O131">
        <v>1.6</v>
      </c>
      <c r="P131">
        <v>12</v>
      </c>
      <c r="Q131">
        <v>4</v>
      </c>
      <c r="R131">
        <v>5.3</v>
      </c>
      <c r="S131">
        <v>13.2</v>
      </c>
      <c r="T131" t="s">
        <v>22</v>
      </c>
      <c r="U131">
        <v>7.2</v>
      </c>
      <c r="V131">
        <v>7.2</v>
      </c>
      <c r="W131" t="s">
        <v>33</v>
      </c>
      <c r="X131">
        <v>9.1999999999999993</v>
      </c>
      <c r="Y131" t="s">
        <v>33</v>
      </c>
      <c r="Z131">
        <v>7.1</v>
      </c>
      <c r="AA131">
        <v>5</v>
      </c>
      <c r="AB131">
        <f t="shared" ref="AB131:AB194" si="4">AC131-Z131</f>
        <v>67.7</v>
      </c>
      <c r="AC131">
        <v>74.8</v>
      </c>
      <c r="AD131">
        <v>16</v>
      </c>
      <c r="AE131">
        <f t="shared" ref="AE131:AE194" si="5">COUNTIF(I131:Y131,"&gt;10")</f>
        <v>2</v>
      </c>
      <c r="AF131">
        <v>0</v>
      </c>
      <c r="AG131">
        <v>0</v>
      </c>
      <c r="AH131">
        <v>0</v>
      </c>
      <c r="AI131">
        <v>0</v>
      </c>
      <c r="AJ131">
        <v>0.11764705882352941</v>
      </c>
      <c r="AK131">
        <v>0</v>
      </c>
      <c r="AL131">
        <v>0</v>
      </c>
      <c r="AM131">
        <v>0</v>
      </c>
      <c r="AN131">
        <v>0</v>
      </c>
    </row>
    <row r="132" spans="1:40" x14ac:dyDescent="0.25">
      <c r="A132">
        <v>2025</v>
      </c>
      <c r="B132" t="s">
        <v>99</v>
      </c>
      <c r="C132" t="str">
        <f>IF(COUNTIF('Rookies 22-25'!$B$198:$B$349,E132)&gt;0,"(R)","No")</f>
        <v>No</v>
      </c>
      <c r="D132">
        <v>86</v>
      </c>
      <c r="E132" t="s">
        <v>185</v>
      </c>
      <c r="F132" t="s">
        <v>26</v>
      </c>
      <c r="G132">
        <f>VLOOKUP(E132,'25 Draft ADP'!$B$3:$D$505,3,FALSE)</f>
        <v>281</v>
      </c>
      <c r="H132">
        <v>17</v>
      </c>
      <c r="I132">
        <v>10.5</v>
      </c>
      <c r="J132">
        <v>1.5</v>
      </c>
      <c r="K132">
        <v>9.5</v>
      </c>
      <c r="L132">
        <v>13.6</v>
      </c>
      <c r="M132">
        <v>3.7</v>
      </c>
      <c r="N132">
        <v>8.6999999999999993</v>
      </c>
      <c r="O132">
        <v>6.5</v>
      </c>
      <c r="P132">
        <v>4.9000000000000004</v>
      </c>
      <c r="Q132">
        <v>1.2</v>
      </c>
      <c r="R132" t="s">
        <v>22</v>
      </c>
      <c r="S132">
        <v>0</v>
      </c>
      <c r="T132">
        <v>1.8</v>
      </c>
      <c r="U132">
        <v>0</v>
      </c>
      <c r="V132">
        <v>1.5</v>
      </c>
      <c r="W132">
        <v>0</v>
      </c>
      <c r="X132">
        <v>2.2000000000000002</v>
      </c>
      <c r="Y132">
        <v>4.5999999999999996</v>
      </c>
      <c r="Z132">
        <v>3.3</v>
      </c>
      <c r="AA132">
        <v>4.3</v>
      </c>
      <c r="AB132">
        <f t="shared" si="4"/>
        <v>70.2</v>
      </c>
      <c r="AC132">
        <v>73.5</v>
      </c>
      <c r="AD132">
        <v>20</v>
      </c>
      <c r="AE132">
        <f t="shared" si="5"/>
        <v>2</v>
      </c>
      <c r="AF132">
        <v>0</v>
      </c>
      <c r="AG132">
        <v>0</v>
      </c>
      <c r="AH132">
        <v>0</v>
      </c>
      <c r="AI132">
        <v>0</v>
      </c>
      <c r="AJ132">
        <v>0.11764705882352941</v>
      </c>
      <c r="AK132">
        <v>0</v>
      </c>
      <c r="AL132">
        <v>0</v>
      </c>
      <c r="AM132">
        <v>0</v>
      </c>
      <c r="AN132">
        <v>0</v>
      </c>
    </row>
    <row r="133" spans="1:40" x14ac:dyDescent="0.25">
      <c r="A133">
        <v>2025</v>
      </c>
      <c r="B133" t="s">
        <v>99</v>
      </c>
      <c r="C133" t="str">
        <f>IF(COUNTIF('Rookies 22-25'!$B$198:$B$349,E133)&gt;0,"(R)","No")</f>
        <v>No</v>
      </c>
      <c r="D133">
        <v>87</v>
      </c>
      <c r="E133" t="s">
        <v>186</v>
      </c>
      <c r="F133" t="s">
        <v>43</v>
      </c>
      <c r="G133">
        <f>VLOOKUP(E133,'25 Draft ADP'!$B$3:$D$505,3,FALSE)</f>
        <v>235</v>
      </c>
      <c r="H133">
        <v>17</v>
      </c>
      <c r="I133">
        <v>0</v>
      </c>
      <c r="J133">
        <v>2.9</v>
      </c>
      <c r="K133">
        <v>7.7</v>
      </c>
      <c r="L133">
        <v>0</v>
      </c>
      <c r="M133">
        <v>7.6</v>
      </c>
      <c r="N133">
        <v>1</v>
      </c>
      <c r="O133">
        <v>3.8</v>
      </c>
      <c r="P133" t="s">
        <v>22</v>
      </c>
      <c r="Q133">
        <v>0</v>
      </c>
      <c r="R133">
        <v>9.4</v>
      </c>
      <c r="S133">
        <v>6.3</v>
      </c>
      <c r="T133">
        <v>10.199999999999999</v>
      </c>
      <c r="U133">
        <v>2.1</v>
      </c>
      <c r="V133">
        <v>7.1</v>
      </c>
      <c r="W133">
        <v>3</v>
      </c>
      <c r="X133">
        <v>1.6</v>
      </c>
      <c r="Y133">
        <v>8.9</v>
      </c>
      <c r="Z133">
        <v>1.5</v>
      </c>
      <c r="AA133">
        <v>4.3</v>
      </c>
      <c r="AB133">
        <f t="shared" si="4"/>
        <v>71.599999999999994</v>
      </c>
      <c r="AC133">
        <v>73.099999999999994</v>
      </c>
      <c r="AD133">
        <v>17</v>
      </c>
      <c r="AE133">
        <f t="shared" si="5"/>
        <v>1</v>
      </c>
      <c r="AF133">
        <v>0</v>
      </c>
      <c r="AG133">
        <v>0</v>
      </c>
      <c r="AH133">
        <v>0</v>
      </c>
      <c r="AI133">
        <v>0</v>
      </c>
      <c r="AJ133">
        <v>5.8823529411764705E-2</v>
      </c>
      <c r="AK133">
        <v>0</v>
      </c>
      <c r="AL133">
        <v>0</v>
      </c>
      <c r="AM133">
        <v>0</v>
      </c>
      <c r="AN133">
        <v>0</v>
      </c>
    </row>
    <row r="134" spans="1:40" x14ac:dyDescent="0.25">
      <c r="A134">
        <v>2025</v>
      </c>
      <c r="B134" t="s">
        <v>99</v>
      </c>
      <c r="C134" t="str">
        <f>IF(COUNTIF('Rookies 22-25'!$B$198:$B$349,E134)&gt;0,"(R)","No")</f>
        <v>No</v>
      </c>
      <c r="D134">
        <v>88</v>
      </c>
      <c r="E134" t="s">
        <v>187</v>
      </c>
      <c r="F134" t="s">
        <v>82</v>
      </c>
      <c r="G134">
        <f>VLOOKUP(E134,'25 Draft ADP'!$B$3:$D$505,3,FALSE)</f>
        <v>263</v>
      </c>
      <c r="H134">
        <v>16</v>
      </c>
      <c r="I134">
        <v>0</v>
      </c>
      <c r="J134">
        <v>1</v>
      </c>
      <c r="K134">
        <v>1.8</v>
      </c>
      <c r="L134">
        <v>3</v>
      </c>
      <c r="M134">
        <v>0</v>
      </c>
      <c r="N134">
        <v>0</v>
      </c>
      <c r="O134" t="s">
        <v>33</v>
      </c>
      <c r="P134">
        <v>0</v>
      </c>
      <c r="Q134" t="s">
        <v>22</v>
      </c>
      <c r="R134">
        <v>0.6</v>
      </c>
      <c r="S134">
        <v>13.5</v>
      </c>
      <c r="T134">
        <v>18.5</v>
      </c>
      <c r="U134">
        <v>5.7</v>
      </c>
      <c r="V134">
        <v>7.4</v>
      </c>
      <c r="W134">
        <v>6.9</v>
      </c>
      <c r="X134">
        <v>1.4</v>
      </c>
      <c r="Y134">
        <v>7.1</v>
      </c>
      <c r="Z134">
        <v>5</v>
      </c>
      <c r="AA134">
        <v>4.5</v>
      </c>
      <c r="AB134">
        <f t="shared" si="4"/>
        <v>66.900000000000006</v>
      </c>
      <c r="AC134">
        <v>71.900000000000006</v>
      </c>
      <c r="AD134">
        <v>20</v>
      </c>
      <c r="AE134">
        <f t="shared" si="5"/>
        <v>2</v>
      </c>
      <c r="AF134">
        <v>1</v>
      </c>
      <c r="AG134">
        <v>0</v>
      </c>
      <c r="AH134">
        <v>0</v>
      </c>
      <c r="AI134">
        <v>0</v>
      </c>
      <c r="AJ134">
        <v>0.11764705882352941</v>
      </c>
      <c r="AK134">
        <v>6.25E-2</v>
      </c>
      <c r="AL134">
        <v>0</v>
      </c>
      <c r="AM134">
        <v>0</v>
      </c>
      <c r="AN134">
        <v>0</v>
      </c>
    </row>
    <row r="135" spans="1:40" x14ac:dyDescent="0.25">
      <c r="A135">
        <v>2025</v>
      </c>
      <c r="B135" t="s">
        <v>99</v>
      </c>
      <c r="C135" t="str">
        <f>IF(COUNTIF('Rookies 22-25'!$B$198:$B$349,E135)&gt;0,"(R)","No")</f>
        <v>(R)</v>
      </c>
      <c r="D135">
        <v>89</v>
      </c>
      <c r="E135" t="s">
        <v>188</v>
      </c>
      <c r="F135" t="s">
        <v>69</v>
      </c>
      <c r="G135">
        <f>VLOOKUP(E135,'25 Draft ADP'!$B$3:$D$505,3,FALSE)</f>
        <v>73</v>
      </c>
      <c r="H135">
        <v>14</v>
      </c>
      <c r="I135">
        <v>3.6</v>
      </c>
      <c r="J135">
        <v>1.5</v>
      </c>
      <c r="K135">
        <v>10.1</v>
      </c>
      <c r="L135">
        <v>11.3</v>
      </c>
      <c r="M135" t="s">
        <v>22</v>
      </c>
      <c r="N135">
        <v>13.2</v>
      </c>
      <c r="O135">
        <v>7.7</v>
      </c>
      <c r="P135">
        <v>3.4</v>
      </c>
      <c r="Q135">
        <v>2.9</v>
      </c>
      <c r="R135" t="s">
        <v>33</v>
      </c>
      <c r="S135">
        <v>3.4</v>
      </c>
      <c r="T135" t="s">
        <v>33</v>
      </c>
      <c r="U135" t="s">
        <v>33</v>
      </c>
      <c r="V135">
        <v>0</v>
      </c>
      <c r="W135">
        <v>8.5</v>
      </c>
      <c r="X135">
        <v>0.4</v>
      </c>
      <c r="Y135">
        <v>2.2000000000000002</v>
      </c>
      <c r="Z135">
        <v>1.8</v>
      </c>
      <c r="AA135">
        <v>5</v>
      </c>
      <c r="AB135">
        <f t="shared" si="4"/>
        <v>68.2</v>
      </c>
      <c r="AC135">
        <v>70</v>
      </c>
      <c r="AD135">
        <v>6</v>
      </c>
      <c r="AE135">
        <f t="shared" si="5"/>
        <v>3</v>
      </c>
      <c r="AF135">
        <v>0</v>
      </c>
      <c r="AG135">
        <v>0</v>
      </c>
      <c r="AH135">
        <v>0</v>
      </c>
      <c r="AI135">
        <v>0</v>
      </c>
      <c r="AJ135">
        <v>0.17647058823529413</v>
      </c>
      <c r="AK135">
        <v>0</v>
      </c>
      <c r="AL135">
        <v>0</v>
      </c>
      <c r="AM135">
        <v>0</v>
      </c>
      <c r="AN135">
        <v>0</v>
      </c>
    </row>
    <row r="136" spans="1:40" x14ac:dyDescent="0.25">
      <c r="A136">
        <v>2025</v>
      </c>
      <c r="B136" t="s">
        <v>99</v>
      </c>
      <c r="C136" t="str">
        <f>IF(COUNTIF('Rookies 22-25'!$B$198:$B$349,E136)&gt;0,"(R)","No")</f>
        <v>No</v>
      </c>
      <c r="D136">
        <v>89</v>
      </c>
      <c r="E136" t="s">
        <v>189</v>
      </c>
      <c r="F136" t="s">
        <v>63</v>
      </c>
      <c r="G136">
        <f>VLOOKUP(E136,'25 Draft ADP'!$B$3:$D$505,3,FALSE)</f>
        <v>296</v>
      </c>
      <c r="H136">
        <v>16</v>
      </c>
      <c r="I136">
        <v>0</v>
      </c>
      <c r="J136">
        <v>3</v>
      </c>
      <c r="K136">
        <v>1.8</v>
      </c>
      <c r="L136">
        <v>1.6</v>
      </c>
      <c r="M136">
        <v>0</v>
      </c>
      <c r="N136">
        <v>11.5</v>
      </c>
      <c r="O136">
        <v>8.1</v>
      </c>
      <c r="P136">
        <v>1.6</v>
      </c>
      <c r="Q136">
        <v>3.1</v>
      </c>
      <c r="R136" t="s">
        <v>22</v>
      </c>
      <c r="S136">
        <v>11.2</v>
      </c>
      <c r="T136">
        <v>2.1</v>
      </c>
      <c r="U136">
        <v>5</v>
      </c>
      <c r="V136">
        <v>3.7</v>
      </c>
      <c r="W136">
        <v>5.3</v>
      </c>
      <c r="X136">
        <v>4.4000000000000004</v>
      </c>
      <c r="Y136">
        <v>7.6</v>
      </c>
      <c r="Z136">
        <v>0</v>
      </c>
      <c r="AA136">
        <v>4.4000000000000004</v>
      </c>
      <c r="AB136">
        <f t="shared" si="4"/>
        <v>70</v>
      </c>
      <c r="AC136">
        <v>70</v>
      </c>
      <c r="AD136">
        <v>20</v>
      </c>
      <c r="AE136">
        <f t="shared" si="5"/>
        <v>2</v>
      </c>
      <c r="AF136">
        <v>0</v>
      </c>
      <c r="AG136">
        <v>0</v>
      </c>
      <c r="AH136">
        <v>0</v>
      </c>
      <c r="AI136">
        <v>0</v>
      </c>
      <c r="AJ136">
        <v>0.11764705882352941</v>
      </c>
      <c r="AK136">
        <v>0</v>
      </c>
      <c r="AL136">
        <v>0</v>
      </c>
      <c r="AM136">
        <v>0</v>
      </c>
      <c r="AN136">
        <v>0</v>
      </c>
    </row>
    <row r="137" spans="1:40" x14ac:dyDescent="0.25">
      <c r="A137">
        <v>2025</v>
      </c>
      <c r="B137" t="s">
        <v>99</v>
      </c>
      <c r="C137" t="str">
        <f>IF(COUNTIF('Rookies 22-25'!$B$198:$B$349,E137)&gt;0,"(R)","No")</f>
        <v>(R)</v>
      </c>
      <c r="D137">
        <v>91</v>
      </c>
      <c r="E137" t="s">
        <v>190</v>
      </c>
      <c r="F137" t="s">
        <v>51</v>
      </c>
      <c r="G137">
        <f>VLOOKUP(E137,'25 Draft ADP'!$B$3:$D$505,3,FALSE)</f>
        <v>172</v>
      </c>
      <c r="H137">
        <v>17</v>
      </c>
      <c r="I137">
        <v>2.1</v>
      </c>
      <c r="J137">
        <v>5.4</v>
      </c>
      <c r="K137">
        <v>0</v>
      </c>
      <c r="L137">
        <v>0</v>
      </c>
      <c r="M137">
        <v>0</v>
      </c>
      <c r="N137">
        <v>6.7</v>
      </c>
      <c r="O137">
        <v>4.3</v>
      </c>
      <c r="P137">
        <v>8.8000000000000007</v>
      </c>
      <c r="Q137">
        <v>3.8</v>
      </c>
      <c r="R137">
        <v>2.4</v>
      </c>
      <c r="S137">
        <v>2.2000000000000002</v>
      </c>
      <c r="T137" t="s">
        <v>22</v>
      </c>
      <c r="U137">
        <v>6</v>
      </c>
      <c r="V137">
        <v>3.1</v>
      </c>
      <c r="W137">
        <v>7.9</v>
      </c>
      <c r="X137">
        <v>9.4</v>
      </c>
      <c r="Y137">
        <v>2.5</v>
      </c>
      <c r="Z137">
        <v>4.8</v>
      </c>
      <c r="AA137">
        <v>4.0999999999999996</v>
      </c>
      <c r="AB137">
        <f t="shared" si="4"/>
        <v>64.600000000000009</v>
      </c>
      <c r="AC137">
        <v>69.400000000000006</v>
      </c>
      <c r="AD137">
        <v>15</v>
      </c>
      <c r="AE137">
        <f t="shared" si="5"/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</row>
    <row r="138" spans="1:40" x14ac:dyDescent="0.25">
      <c r="A138">
        <v>2025</v>
      </c>
      <c r="B138" t="s">
        <v>99</v>
      </c>
      <c r="C138" t="str">
        <f>IF(COUNTIF('Rookies 22-25'!$B$198:$B$349,E138)&gt;0,"(R)","No")</f>
        <v>No</v>
      </c>
      <c r="D138">
        <v>92</v>
      </c>
      <c r="E138" t="s">
        <v>191</v>
      </c>
      <c r="F138" t="s">
        <v>41</v>
      </c>
      <c r="G138">
        <v>300</v>
      </c>
      <c r="H138">
        <v>17</v>
      </c>
      <c r="I138">
        <v>1.7</v>
      </c>
      <c r="J138">
        <v>0</v>
      </c>
      <c r="K138">
        <v>1.4</v>
      </c>
      <c r="L138">
        <v>1</v>
      </c>
      <c r="M138">
        <v>9.8000000000000007</v>
      </c>
      <c r="N138" t="s">
        <v>22</v>
      </c>
      <c r="O138">
        <v>11.7</v>
      </c>
      <c r="P138">
        <v>11.3</v>
      </c>
      <c r="Q138">
        <v>-0.3</v>
      </c>
      <c r="R138">
        <v>7.5</v>
      </c>
      <c r="S138">
        <v>2.2000000000000002</v>
      </c>
      <c r="T138">
        <v>1.9</v>
      </c>
      <c r="U138">
        <v>0</v>
      </c>
      <c r="V138">
        <v>3.3</v>
      </c>
      <c r="W138">
        <v>0</v>
      </c>
      <c r="X138">
        <v>0</v>
      </c>
      <c r="Y138">
        <v>14.6</v>
      </c>
      <c r="Z138">
        <v>2.2999999999999998</v>
      </c>
      <c r="AA138">
        <v>4</v>
      </c>
      <c r="AB138">
        <f t="shared" si="4"/>
        <v>66.100000000000009</v>
      </c>
      <c r="AC138">
        <v>68.400000000000006</v>
      </c>
      <c r="AD138">
        <v>20</v>
      </c>
      <c r="AE138">
        <f t="shared" si="5"/>
        <v>3</v>
      </c>
      <c r="AF138">
        <v>0</v>
      </c>
      <c r="AG138">
        <v>0</v>
      </c>
      <c r="AH138">
        <v>0</v>
      </c>
      <c r="AI138">
        <v>0</v>
      </c>
      <c r="AJ138">
        <v>0.17647058823529413</v>
      </c>
      <c r="AK138">
        <v>0</v>
      </c>
      <c r="AL138">
        <v>0</v>
      </c>
      <c r="AM138">
        <v>0</v>
      </c>
      <c r="AN138">
        <v>0</v>
      </c>
    </row>
    <row r="139" spans="1:40" x14ac:dyDescent="0.25">
      <c r="A139">
        <v>2025</v>
      </c>
      <c r="B139" t="s">
        <v>99</v>
      </c>
      <c r="C139" t="str">
        <f>IF(COUNTIF('Rookies 22-25'!$B$198:$B$349,E139)&gt;0,"(R)","No")</f>
        <v>No</v>
      </c>
      <c r="D139">
        <v>93</v>
      </c>
      <c r="E139" t="s">
        <v>192</v>
      </c>
      <c r="F139" t="s">
        <v>53</v>
      </c>
      <c r="G139">
        <f>VLOOKUP(E139,'25 Draft ADP'!$B$3:$D$505,3,FALSE)</f>
        <v>192</v>
      </c>
      <c r="H139">
        <v>17</v>
      </c>
      <c r="I139">
        <v>11.5</v>
      </c>
      <c r="J139">
        <v>14.4</v>
      </c>
      <c r="K139">
        <v>2.2999999999999998</v>
      </c>
      <c r="L139">
        <v>0</v>
      </c>
      <c r="M139">
        <v>6.6</v>
      </c>
      <c r="N139">
        <v>4</v>
      </c>
      <c r="O139" t="s">
        <v>22</v>
      </c>
      <c r="P139">
        <v>2.4</v>
      </c>
      <c r="Q139">
        <v>0</v>
      </c>
      <c r="R139">
        <v>3.6</v>
      </c>
      <c r="S139">
        <v>2.1</v>
      </c>
      <c r="T139">
        <v>3.3</v>
      </c>
      <c r="U139">
        <v>4.5</v>
      </c>
      <c r="V139">
        <v>0</v>
      </c>
      <c r="W139">
        <v>4.2</v>
      </c>
      <c r="X139">
        <v>8.1</v>
      </c>
      <c r="Y139">
        <v>0</v>
      </c>
      <c r="Z139">
        <v>0</v>
      </c>
      <c r="AA139">
        <v>3.9</v>
      </c>
      <c r="AB139">
        <f t="shared" si="4"/>
        <v>67</v>
      </c>
      <c r="AC139">
        <v>67</v>
      </c>
      <c r="AD139">
        <v>17</v>
      </c>
      <c r="AE139">
        <f t="shared" si="5"/>
        <v>2</v>
      </c>
      <c r="AF139">
        <v>0</v>
      </c>
      <c r="AG139">
        <v>0</v>
      </c>
      <c r="AH139">
        <v>0</v>
      </c>
      <c r="AI139">
        <v>0</v>
      </c>
      <c r="AJ139">
        <v>0.11764705882352941</v>
      </c>
      <c r="AK139">
        <v>0</v>
      </c>
      <c r="AL139">
        <v>0</v>
      </c>
      <c r="AM139">
        <v>0</v>
      </c>
      <c r="AN139">
        <v>0</v>
      </c>
    </row>
    <row r="140" spans="1:40" x14ac:dyDescent="0.25">
      <c r="A140">
        <v>2025</v>
      </c>
      <c r="B140" t="s">
        <v>99</v>
      </c>
      <c r="C140" t="str">
        <f>IF(COUNTIF('Rookies 22-25'!$B$198:$B$349,E140)&gt;0,"(R)","No")</f>
        <v>No</v>
      </c>
      <c r="D140">
        <v>94</v>
      </c>
      <c r="E140" t="s">
        <v>193</v>
      </c>
      <c r="F140" t="s">
        <v>75</v>
      </c>
      <c r="G140">
        <f>VLOOKUP(E140,'25 Draft ADP'!$B$3:$D$505,3,FALSE)</f>
        <v>311</v>
      </c>
      <c r="H140">
        <v>15</v>
      </c>
      <c r="I140">
        <v>3.6</v>
      </c>
      <c r="J140">
        <v>3.3</v>
      </c>
      <c r="K140">
        <v>1.4</v>
      </c>
      <c r="L140">
        <v>9.3000000000000007</v>
      </c>
      <c r="M140">
        <v>0</v>
      </c>
      <c r="N140">
        <v>0</v>
      </c>
      <c r="O140">
        <v>4.7</v>
      </c>
      <c r="P140" t="s">
        <v>22</v>
      </c>
      <c r="Q140">
        <v>0</v>
      </c>
      <c r="R140">
        <v>9.9</v>
      </c>
      <c r="S140">
        <v>0</v>
      </c>
      <c r="T140">
        <v>5.7</v>
      </c>
      <c r="U140" t="s">
        <v>33</v>
      </c>
      <c r="V140" t="s">
        <v>33</v>
      </c>
      <c r="W140">
        <v>3</v>
      </c>
      <c r="X140">
        <v>16.2</v>
      </c>
      <c r="Y140">
        <v>1.5</v>
      </c>
      <c r="Z140">
        <v>8.1999999999999993</v>
      </c>
      <c r="AA140">
        <v>4.5</v>
      </c>
      <c r="AB140">
        <f t="shared" si="4"/>
        <v>58.599999999999994</v>
      </c>
      <c r="AC140">
        <v>66.8</v>
      </c>
      <c r="AD140">
        <v>20</v>
      </c>
      <c r="AE140">
        <f t="shared" si="5"/>
        <v>1</v>
      </c>
      <c r="AF140">
        <v>1</v>
      </c>
      <c r="AG140">
        <v>0</v>
      </c>
      <c r="AH140">
        <v>0</v>
      </c>
      <c r="AI140">
        <v>0</v>
      </c>
      <c r="AJ140">
        <v>5.8823529411764705E-2</v>
      </c>
      <c r="AK140">
        <v>6.6666666666666666E-2</v>
      </c>
      <c r="AL140">
        <v>0</v>
      </c>
      <c r="AM140">
        <v>0</v>
      </c>
      <c r="AN140">
        <v>0</v>
      </c>
    </row>
    <row r="141" spans="1:40" x14ac:dyDescent="0.25">
      <c r="A141">
        <v>2025</v>
      </c>
      <c r="B141" t="s">
        <v>99</v>
      </c>
      <c r="C141" t="str">
        <f>IF(COUNTIF('Rookies 22-25'!$B$198:$B$349,E141)&gt;0,"(R)","No")</f>
        <v>No</v>
      </c>
      <c r="D141">
        <v>95</v>
      </c>
      <c r="E141" t="s">
        <v>194</v>
      </c>
      <c r="F141" t="s">
        <v>37</v>
      </c>
      <c r="G141">
        <f>VLOOKUP(E141,'25 Draft ADP'!$B$3:$D$505,3,FALSE)</f>
        <v>271</v>
      </c>
      <c r="H141">
        <v>13</v>
      </c>
      <c r="I141">
        <v>2.2999999999999998</v>
      </c>
      <c r="J141">
        <v>7.3</v>
      </c>
      <c r="K141" t="s">
        <v>33</v>
      </c>
      <c r="L141">
        <v>0</v>
      </c>
      <c r="M141">
        <v>3.3</v>
      </c>
      <c r="N141">
        <v>0</v>
      </c>
      <c r="O141">
        <v>0</v>
      </c>
      <c r="P141">
        <v>2</v>
      </c>
      <c r="Q141">
        <v>0</v>
      </c>
      <c r="R141">
        <v>2.5</v>
      </c>
      <c r="S141" t="s">
        <v>22</v>
      </c>
      <c r="T141">
        <v>6.7</v>
      </c>
      <c r="U141">
        <v>23.3</v>
      </c>
      <c r="V141">
        <v>7</v>
      </c>
      <c r="W141">
        <v>11.9</v>
      </c>
      <c r="X141" t="s">
        <v>33</v>
      </c>
      <c r="Y141" t="s">
        <v>33</v>
      </c>
      <c r="Z141">
        <v>0</v>
      </c>
      <c r="AA141">
        <v>5.0999999999999996</v>
      </c>
      <c r="AB141">
        <f t="shared" si="4"/>
        <v>66.3</v>
      </c>
      <c r="AC141">
        <v>66.3</v>
      </c>
      <c r="AD141">
        <v>20</v>
      </c>
      <c r="AE141">
        <f t="shared" si="5"/>
        <v>2</v>
      </c>
      <c r="AF141">
        <v>1</v>
      </c>
      <c r="AG141">
        <v>1</v>
      </c>
      <c r="AH141">
        <v>0</v>
      </c>
      <c r="AI141">
        <v>0</v>
      </c>
      <c r="AJ141">
        <v>0.11764705882352941</v>
      </c>
      <c r="AK141">
        <v>7.6923076923076927E-2</v>
      </c>
      <c r="AL141">
        <v>7.6923076923076927E-2</v>
      </c>
      <c r="AM141">
        <v>0</v>
      </c>
      <c r="AN141">
        <v>0</v>
      </c>
    </row>
    <row r="142" spans="1:40" x14ac:dyDescent="0.25">
      <c r="A142">
        <v>2025</v>
      </c>
      <c r="B142" t="s">
        <v>99</v>
      </c>
      <c r="C142" t="str">
        <f>IF(COUNTIF('Rookies 22-25'!$B$198:$B$349,E142)&gt;0,"(R)","No")</f>
        <v>(R)</v>
      </c>
      <c r="D142">
        <v>96</v>
      </c>
      <c r="E142" t="s">
        <v>195</v>
      </c>
      <c r="F142" t="s">
        <v>49</v>
      </c>
      <c r="G142">
        <f>VLOOKUP(E142,'25 Draft ADP'!$B$3:$D$505,3,FALSE)</f>
        <v>189</v>
      </c>
      <c r="H142">
        <v>8</v>
      </c>
      <c r="I142">
        <v>0</v>
      </c>
      <c r="J142">
        <v>11.2</v>
      </c>
      <c r="K142">
        <v>18.2</v>
      </c>
      <c r="L142">
        <v>2</v>
      </c>
      <c r="M142">
        <v>12.9</v>
      </c>
      <c r="N142">
        <v>0</v>
      </c>
      <c r="O142">
        <v>0</v>
      </c>
      <c r="P142" t="s">
        <v>22</v>
      </c>
      <c r="Q142">
        <v>20.8</v>
      </c>
      <c r="R142" t="s">
        <v>33</v>
      </c>
      <c r="S142" t="s">
        <v>33</v>
      </c>
      <c r="T142" t="s">
        <v>33</v>
      </c>
      <c r="U142" t="s">
        <v>33</v>
      </c>
      <c r="V142" t="s">
        <v>33</v>
      </c>
      <c r="W142" t="s">
        <v>33</v>
      </c>
      <c r="X142" t="s">
        <v>33</v>
      </c>
      <c r="Y142" t="s">
        <v>33</v>
      </c>
      <c r="Z142">
        <v>0</v>
      </c>
      <c r="AA142">
        <v>8.1</v>
      </c>
      <c r="AB142">
        <f t="shared" si="4"/>
        <v>65.099999999999994</v>
      </c>
      <c r="AC142">
        <v>65.099999999999994</v>
      </c>
      <c r="AD142">
        <v>17</v>
      </c>
      <c r="AE142">
        <f t="shared" si="5"/>
        <v>4</v>
      </c>
      <c r="AF142">
        <v>2</v>
      </c>
      <c r="AG142">
        <v>1</v>
      </c>
      <c r="AH142">
        <v>0</v>
      </c>
      <c r="AI142">
        <v>0</v>
      </c>
      <c r="AJ142">
        <v>0.23529411764705882</v>
      </c>
      <c r="AK142">
        <v>0.25</v>
      </c>
      <c r="AL142">
        <v>0.125</v>
      </c>
      <c r="AM142">
        <v>0</v>
      </c>
      <c r="AN142">
        <v>0</v>
      </c>
    </row>
    <row r="143" spans="1:40" x14ac:dyDescent="0.25">
      <c r="A143">
        <v>2025</v>
      </c>
      <c r="B143" t="s">
        <v>99</v>
      </c>
      <c r="C143" t="str">
        <f>IF(COUNTIF('Rookies 22-25'!$B$198:$B$349,E143)&gt;0,"(R)","No")</f>
        <v>No</v>
      </c>
      <c r="D143">
        <v>97</v>
      </c>
      <c r="E143" t="s">
        <v>196</v>
      </c>
      <c r="F143" t="s">
        <v>67</v>
      </c>
      <c r="G143">
        <v>300</v>
      </c>
      <c r="H143">
        <v>7</v>
      </c>
      <c r="I143">
        <v>9.3000000000000007</v>
      </c>
      <c r="J143">
        <v>5.2</v>
      </c>
      <c r="K143">
        <v>3.1</v>
      </c>
      <c r="L143">
        <v>7.2</v>
      </c>
      <c r="M143">
        <v>9.4</v>
      </c>
      <c r="N143">
        <v>5.5</v>
      </c>
      <c r="O143">
        <v>24.1</v>
      </c>
      <c r="P143" t="s">
        <v>22</v>
      </c>
      <c r="Q143" t="s">
        <v>33</v>
      </c>
      <c r="R143" t="s">
        <v>33</v>
      </c>
      <c r="S143" t="s">
        <v>33</v>
      </c>
      <c r="T143" t="s">
        <v>33</v>
      </c>
      <c r="U143" t="s">
        <v>33</v>
      </c>
      <c r="V143" t="s">
        <v>33</v>
      </c>
      <c r="W143" t="s">
        <v>33</v>
      </c>
      <c r="X143" t="s">
        <v>33</v>
      </c>
      <c r="Y143" t="s">
        <v>33</v>
      </c>
      <c r="Z143">
        <v>0</v>
      </c>
      <c r="AA143">
        <v>9.1</v>
      </c>
      <c r="AB143">
        <f t="shared" si="4"/>
        <v>63.8</v>
      </c>
      <c r="AC143">
        <v>63.8</v>
      </c>
      <c r="AD143">
        <v>6</v>
      </c>
      <c r="AE143">
        <f t="shared" si="5"/>
        <v>1</v>
      </c>
      <c r="AF143">
        <v>1</v>
      </c>
      <c r="AG143">
        <v>1</v>
      </c>
      <c r="AH143">
        <v>0</v>
      </c>
      <c r="AI143">
        <v>0</v>
      </c>
      <c r="AJ143">
        <v>5.8823529411764705E-2</v>
      </c>
      <c r="AK143">
        <v>0.14285714285714285</v>
      </c>
      <c r="AL143">
        <v>0.14285714285714285</v>
      </c>
      <c r="AM143">
        <v>0</v>
      </c>
      <c r="AN143">
        <v>0</v>
      </c>
    </row>
    <row r="144" spans="1:40" x14ac:dyDescent="0.25">
      <c r="A144">
        <v>2025</v>
      </c>
      <c r="B144" t="s">
        <v>99</v>
      </c>
      <c r="C144" t="str">
        <f>IF(COUNTIF('Rookies 22-25'!$B$198:$B$349,E144)&gt;0,"(R)","No")</f>
        <v>No</v>
      </c>
      <c r="D144">
        <v>98</v>
      </c>
      <c r="E144" t="s">
        <v>197</v>
      </c>
      <c r="F144" t="s">
        <v>32</v>
      </c>
      <c r="G144">
        <f>VLOOKUP(E144,'25 Draft ADP'!$B$3:$D$505,3,FALSE)</f>
        <v>149</v>
      </c>
      <c r="H144">
        <v>13</v>
      </c>
      <c r="I144">
        <v>16.2</v>
      </c>
      <c r="J144">
        <v>10.199999999999999</v>
      </c>
      <c r="K144">
        <v>5.6</v>
      </c>
      <c r="L144">
        <v>1.6</v>
      </c>
      <c r="M144" t="s">
        <v>33</v>
      </c>
      <c r="N144" t="s">
        <v>33</v>
      </c>
      <c r="O144" t="s">
        <v>33</v>
      </c>
      <c r="P144" t="s">
        <v>33</v>
      </c>
      <c r="Q144" t="s">
        <v>22</v>
      </c>
      <c r="R144">
        <v>3.1</v>
      </c>
      <c r="S144">
        <v>8.1999999999999993</v>
      </c>
      <c r="T144">
        <v>1.5</v>
      </c>
      <c r="U144">
        <v>0</v>
      </c>
      <c r="V144">
        <v>3.3</v>
      </c>
      <c r="W144">
        <v>0</v>
      </c>
      <c r="X144">
        <v>1.8</v>
      </c>
      <c r="Y144">
        <v>5.2</v>
      </c>
      <c r="Z144">
        <v>3.3</v>
      </c>
      <c r="AA144">
        <v>4.5999999999999996</v>
      </c>
      <c r="AB144">
        <f t="shared" si="4"/>
        <v>56.7</v>
      </c>
      <c r="AC144">
        <v>60</v>
      </c>
      <c r="AD144">
        <v>13</v>
      </c>
      <c r="AE144">
        <f t="shared" si="5"/>
        <v>2</v>
      </c>
      <c r="AF144">
        <v>1</v>
      </c>
      <c r="AG144">
        <v>0</v>
      </c>
      <c r="AH144">
        <v>0</v>
      </c>
      <c r="AI144">
        <v>0</v>
      </c>
      <c r="AJ144">
        <v>0.11764705882352941</v>
      </c>
      <c r="AK144">
        <v>7.6923076923076927E-2</v>
      </c>
      <c r="AL144">
        <v>0</v>
      </c>
      <c r="AM144">
        <v>0</v>
      </c>
      <c r="AN144">
        <v>0</v>
      </c>
    </row>
    <row r="145" spans="1:40" x14ac:dyDescent="0.25">
      <c r="A145">
        <v>2025</v>
      </c>
      <c r="B145" t="s">
        <v>99</v>
      </c>
      <c r="C145" t="str">
        <f>IF(COUNTIF('Rookies 22-25'!$B$198:$B$349,E145)&gt;0,"(R)","No")</f>
        <v>No</v>
      </c>
      <c r="D145">
        <v>99</v>
      </c>
      <c r="E145" t="s">
        <v>198</v>
      </c>
      <c r="F145" t="s">
        <v>82</v>
      </c>
      <c r="G145">
        <v>300</v>
      </c>
      <c r="H145">
        <v>15</v>
      </c>
      <c r="I145" t="s">
        <v>33</v>
      </c>
      <c r="J145">
        <v>0</v>
      </c>
      <c r="K145">
        <v>0</v>
      </c>
      <c r="L145">
        <v>-2</v>
      </c>
      <c r="M145" t="s">
        <v>33</v>
      </c>
      <c r="N145">
        <v>0</v>
      </c>
      <c r="O145">
        <v>0</v>
      </c>
      <c r="P145">
        <v>8.6</v>
      </c>
      <c r="Q145" t="s">
        <v>22</v>
      </c>
      <c r="R145">
        <v>7.4</v>
      </c>
      <c r="S145">
        <v>1.6</v>
      </c>
      <c r="T145">
        <v>0</v>
      </c>
      <c r="U145">
        <v>0</v>
      </c>
      <c r="V145">
        <v>10.4</v>
      </c>
      <c r="W145">
        <v>11.3</v>
      </c>
      <c r="X145">
        <v>6.5</v>
      </c>
      <c r="Y145">
        <v>7.5</v>
      </c>
      <c r="Z145">
        <v>7.4</v>
      </c>
      <c r="AA145">
        <v>3.9</v>
      </c>
      <c r="AB145">
        <f t="shared" si="4"/>
        <v>51.300000000000004</v>
      </c>
      <c r="AC145">
        <v>58.7</v>
      </c>
      <c r="AD145">
        <v>20</v>
      </c>
      <c r="AE145">
        <f t="shared" si="5"/>
        <v>2</v>
      </c>
      <c r="AF145">
        <v>0</v>
      </c>
      <c r="AG145">
        <v>0</v>
      </c>
      <c r="AH145">
        <v>0</v>
      </c>
      <c r="AI145">
        <v>0</v>
      </c>
      <c r="AJ145">
        <v>0.11764705882352941</v>
      </c>
      <c r="AK145">
        <v>0</v>
      </c>
      <c r="AL145">
        <v>0</v>
      </c>
      <c r="AM145">
        <v>0</v>
      </c>
      <c r="AN145">
        <v>0</v>
      </c>
    </row>
    <row r="146" spans="1:40" x14ac:dyDescent="0.25">
      <c r="A146">
        <v>2025</v>
      </c>
      <c r="B146" t="s">
        <v>99</v>
      </c>
      <c r="C146" t="str">
        <f>IF(COUNTIF('Rookies 22-25'!$B$198:$B$349,E146)&gt;0,"(R)","No")</f>
        <v>No</v>
      </c>
      <c r="D146">
        <v>100</v>
      </c>
      <c r="E146" t="s">
        <v>199</v>
      </c>
      <c r="F146" t="s">
        <v>47</v>
      </c>
      <c r="G146">
        <f>VLOOKUP(E146,'25 Draft ADP'!$B$3:$D$505,3,FALSE)</f>
        <v>272</v>
      </c>
      <c r="H146">
        <v>14</v>
      </c>
      <c r="I146" t="s">
        <v>33</v>
      </c>
      <c r="J146" t="s">
        <v>33</v>
      </c>
      <c r="K146" t="s">
        <v>33</v>
      </c>
      <c r="L146">
        <v>3</v>
      </c>
      <c r="M146">
        <v>6.9</v>
      </c>
      <c r="N146">
        <v>6.4</v>
      </c>
      <c r="O146">
        <v>0</v>
      </c>
      <c r="P146">
        <v>4.5</v>
      </c>
      <c r="Q146">
        <v>0</v>
      </c>
      <c r="R146">
        <v>6.4</v>
      </c>
      <c r="S146">
        <v>2.2999999999999998</v>
      </c>
      <c r="T146">
        <v>1.8</v>
      </c>
      <c r="U146">
        <v>0.6</v>
      </c>
      <c r="V146" t="s">
        <v>22</v>
      </c>
      <c r="W146">
        <v>5.6</v>
      </c>
      <c r="X146">
        <v>10.3</v>
      </c>
      <c r="Y146">
        <v>5</v>
      </c>
      <c r="Z146">
        <v>5.4</v>
      </c>
      <c r="AA146">
        <v>4.2</v>
      </c>
      <c r="AB146">
        <f t="shared" si="4"/>
        <v>52.800000000000004</v>
      </c>
      <c r="AC146">
        <v>58.2</v>
      </c>
      <c r="AD146">
        <v>20</v>
      </c>
      <c r="AE146">
        <f t="shared" si="5"/>
        <v>1</v>
      </c>
      <c r="AF146">
        <v>0</v>
      </c>
      <c r="AG146">
        <v>0</v>
      </c>
      <c r="AH146">
        <v>0</v>
      </c>
      <c r="AI146">
        <v>0</v>
      </c>
      <c r="AJ146">
        <v>5.8823529411764705E-2</v>
      </c>
      <c r="AK146">
        <v>0</v>
      </c>
      <c r="AL146">
        <v>0</v>
      </c>
      <c r="AM146">
        <v>0</v>
      </c>
      <c r="AN146">
        <v>0</v>
      </c>
    </row>
    <row r="147" spans="1:40" x14ac:dyDescent="0.25">
      <c r="A147">
        <v>2025</v>
      </c>
      <c r="B147" t="s">
        <v>99</v>
      </c>
      <c r="C147" t="str">
        <f>IF(COUNTIF('Rookies 22-25'!$B$198:$B$349,E147)&gt;0,"(R)","No")</f>
        <v>No</v>
      </c>
      <c r="D147">
        <v>101</v>
      </c>
      <c r="E147" t="s">
        <v>200</v>
      </c>
      <c r="F147" t="s">
        <v>41</v>
      </c>
      <c r="G147">
        <f>VLOOKUP(E147,'25 Draft ADP'!$B$3:$D$505,3,FALSE)</f>
        <v>121</v>
      </c>
      <c r="H147">
        <v>13</v>
      </c>
      <c r="I147" t="s">
        <v>33</v>
      </c>
      <c r="J147" t="s">
        <v>33</v>
      </c>
      <c r="K147">
        <v>5.5</v>
      </c>
      <c r="L147">
        <v>5</v>
      </c>
      <c r="M147">
        <v>10.4</v>
      </c>
      <c r="N147" t="s">
        <v>22</v>
      </c>
      <c r="O147" t="s">
        <v>33</v>
      </c>
      <c r="P147" t="s">
        <v>33</v>
      </c>
      <c r="Q147">
        <v>6.6</v>
      </c>
      <c r="R147">
        <v>1.3</v>
      </c>
      <c r="S147">
        <v>1.6</v>
      </c>
      <c r="T147">
        <v>16.399999999999999</v>
      </c>
      <c r="U147">
        <v>0</v>
      </c>
      <c r="V147">
        <v>1.6</v>
      </c>
      <c r="W147">
        <v>0</v>
      </c>
      <c r="X147">
        <v>6.7</v>
      </c>
      <c r="Y147">
        <v>2.1</v>
      </c>
      <c r="Z147">
        <v>0.7</v>
      </c>
      <c r="AA147">
        <v>4.5</v>
      </c>
      <c r="AB147">
        <f t="shared" si="4"/>
        <v>57.199999999999996</v>
      </c>
      <c r="AC147">
        <v>57.9</v>
      </c>
      <c r="AD147">
        <v>10</v>
      </c>
      <c r="AE147">
        <f t="shared" si="5"/>
        <v>2</v>
      </c>
      <c r="AF147">
        <v>1</v>
      </c>
      <c r="AG147">
        <v>0</v>
      </c>
      <c r="AH147">
        <v>0</v>
      </c>
      <c r="AI147">
        <v>0</v>
      </c>
      <c r="AJ147">
        <v>0.11764705882352941</v>
      </c>
      <c r="AK147">
        <v>7.6923076923076927E-2</v>
      </c>
      <c r="AL147">
        <v>0</v>
      </c>
      <c r="AM147">
        <v>0</v>
      </c>
      <c r="AN147">
        <v>0</v>
      </c>
    </row>
    <row r="148" spans="1:40" x14ac:dyDescent="0.25">
      <c r="A148">
        <v>2025</v>
      </c>
      <c r="B148" t="s">
        <v>99</v>
      </c>
      <c r="C148" t="str">
        <f>IF(COUNTIF('Rookies 22-25'!$B$198:$B$349,E148)&gt;0,"(R)","No")</f>
        <v>No</v>
      </c>
      <c r="D148">
        <v>102</v>
      </c>
      <c r="E148" t="s">
        <v>201</v>
      </c>
      <c r="F148" t="s">
        <v>57</v>
      </c>
      <c r="G148">
        <f>VLOOKUP(E148,'25 Draft ADP'!$B$3:$D$505,3,FALSE)</f>
        <v>10</v>
      </c>
      <c r="H148">
        <v>4</v>
      </c>
      <c r="I148">
        <v>12.1</v>
      </c>
      <c r="J148">
        <v>37.700000000000003</v>
      </c>
      <c r="K148">
        <v>3.3</v>
      </c>
      <c r="L148">
        <v>4</v>
      </c>
      <c r="M148" t="s">
        <v>33</v>
      </c>
      <c r="N148" t="s">
        <v>33</v>
      </c>
      <c r="O148" t="s">
        <v>33</v>
      </c>
      <c r="P148" t="s">
        <v>33</v>
      </c>
      <c r="Q148" t="s">
        <v>33</v>
      </c>
      <c r="R148" t="s">
        <v>33</v>
      </c>
      <c r="S148" t="s">
        <v>33</v>
      </c>
      <c r="T148" t="s">
        <v>33</v>
      </c>
      <c r="U148" t="s">
        <v>33</v>
      </c>
      <c r="V148" t="s">
        <v>22</v>
      </c>
      <c r="W148" t="s">
        <v>33</v>
      </c>
      <c r="X148" t="s">
        <v>33</v>
      </c>
      <c r="Y148" t="s">
        <v>33</v>
      </c>
      <c r="Z148">
        <v>0</v>
      </c>
      <c r="AA148">
        <v>14.3</v>
      </c>
      <c r="AB148">
        <f t="shared" si="4"/>
        <v>57.1</v>
      </c>
      <c r="AC148">
        <v>57.1</v>
      </c>
      <c r="AD148">
        <v>1</v>
      </c>
      <c r="AE148">
        <f t="shared" si="5"/>
        <v>2</v>
      </c>
      <c r="AF148">
        <v>1</v>
      </c>
      <c r="AG148">
        <v>1</v>
      </c>
      <c r="AH148">
        <v>1</v>
      </c>
      <c r="AI148">
        <v>1</v>
      </c>
      <c r="AJ148">
        <v>0.11764705882352941</v>
      </c>
      <c r="AK148">
        <v>0.25</v>
      </c>
      <c r="AL148">
        <v>0.25</v>
      </c>
      <c r="AM148">
        <v>0.25</v>
      </c>
      <c r="AN148">
        <v>0.25</v>
      </c>
    </row>
    <row r="149" spans="1:40" x14ac:dyDescent="0.25">
      <c r="A149">
        <v>2025</v>
      </c>
      <c r="B149" t="s">
        <v>99</v>
      </c>
      <c r="C149" t="str">
        <f>IF(COUNTIF('Rookies 22-25'!$B$198:$B$349,E149)&gt;0,"(R)","No")</f>
        <v>No</v>
      </c>
      <c r="D149">
        <v>103</v>
      </c>
      <c r="E149" t="s">
        <v>202</v>
      </c>
      <c r="F149" t="s">
        <v>53</v>
      </c>
      <c r="G149">
        <f>VLOOKUP(E149,'25 Draft ADP'!$B$3:$D$505,3,FALSE)</f>
        <v>134</v>
      </c>
      <c r="H149">
        <v>13</v>
      </c>
      <c r="I149">
        <v>3</v>
      </c>
      <c r="J149">
        <v>3.5</v>
      </c>
      <c r="K149">
        <v>17.3</v>
      </c>
      <c r="L149">
        <v>3.4</v>
      </c>
      <c r="M149">
        <v>0</v>
      </c>
      <c r="N149">
        <v>1.8</v>
      </c>
      <c r="O149" t="s">
        <v>22</v>
      </c>
      <c r="P149">
        <v>7.1</v>
      </c>
      <c r="Q149">
        <v>9.3000000000000007</v>
      </c>
      <c r="R149">
        <v>4</v>
      </c>
      <c r="S149" t="s">
        <v>33</v>
      </c>
      <c r="T149" t="s">
        <v>33</v>
      </c>
      <c r="U149">
        <v>0</v>
      </c>
      <c r="V149">
        <v>4.3</v>
      </c>
      <c r="W149" t="s">
        <v>33</v>
      </c>
      <c r="X149">
        <v>0</v>
      </c>
      <c r="Y149">
        <v>1.7</v>
      </c>
      <c r="Z149">
        <v>0</v>
      </c>
      <c r="AA149">
        <v>4.3</v>
      </c>
      <c r="AB149">
        <f t="shared" si="4"/>
        <v>55.4</v>
      </c>
      <c r="AC149">
        <v>55.4</v>
      </c>
      <c r="AD149">
        <v>11</v>
      </c>
      <c r="AE149">
        <f t="shared" si="5"/>
        <v>1</v>
      </c>
      <c r="AF149">
        <v>1</v>
      </c>
      <c r="AG149">
        <v>0</v>
      </c>
      <c r="AH149">
        <v>0</v>
      </c>
      <c r="AI149">
        <v>0</v>
      </c>
      <c r="AJ149">
        <v>5.8823529411764705E-2</v>
      </c>
      <c r="AK149">
        <v>7.6923076923076927E-2</v>
      </c>
      <c r="AL149">
        <v>0</v>
      </c>
      <c r="AM149">
        <v>0</v>
      </c>
      <c r="AN149">
        <v>0</v>
      </c>
    </row>
    <row r="150" spans="1:40" x14ac:dyDescent="0.25">
      <c r="A150">
        <v>2025</v>
      </c>
      <c r="B150" t="s">
        <v>99</v>
      </c>
      <c r="C150" t="str">
        <f>IF(COUNTIF('Rookies 22-25'!$B$198:$B$349,E150)&gt;0,"(R)","No")</f>
        <v>(R)</v>
      </c>
      <c r="D150">
        <v>104</v>
      </c>
      <c r="E150" t="s">
        <v>203</v>
      </c>
      <c r="F150" t="s">
        <v>32</v>
      </c>
      <c r="G150">
        <f>VLOOKUP(E150,'25 Draft ADP'!$B$3:$D$505,3,FALSE)</f>
        <v>254</v>
      </c>
      <c r="H150">
        <v>16</v>
      </c>
      <c r="I150">
        <v>1.5</v>
      </c>
      <c r="J150">
        <v>2.5</v>
      </c>
      <c r="K150">
        <v>3.6</v>
      </c>
      <c r="L150">
        <v>8.8000000000000007</v>
      </c>
      <c r="M150">
        <v>4.9000000000000004</v>
      </c>
      <c r="N150">
        <v>2.9</v>
      </c>
      <c r="O150">
        <v>0</v>
      </c>
      <c r="P150">
        <v>0</v>
      </c>
      <c r="Q150" t="s">
        <v>22</v>
      </c>
      <c r="R150" t="s">
        <v>33</v>
      </c>
      <c r="S150">
        <v>0.8</v>
      </c>
      <c r="T150">
        <v>7.8</v>
      </c>
      <c r="U150">
        <v>3.7</v>
      </c>
      <c r="V150">
        <v>0</v>
      </c>
      <c r="W150">
        <v>10.9</v>
      </c>
      <c r="X150">
        <v>2</v>
      </c>
      <c r="Y150">
        <v>2.6</v>
      </c>
      <c r="Z150">
        <v>2.7</v>
      </c>
      <c r="AA150">
        <v>3.4</v>
      </c>
      <c r="AB150">
        <f t="shared" si="4"/>
        <v>52</v>
      </c>
      <c r="AC150">
        <v>54.7</v>
      </c>
      <c r="AD150">
        <v>20</v>
      </c>
      <c r="AE150">
        <f t="shared" si="5"/>
        <v>1</v>
      </c>
      <c r="AF150">
        <v>0</v>
      </c>
      <c r="AG150">
        <v>0</v>
      </c>
      <c r="AH150">
        <v>0</v>
      </c>
      <c r="AI150">
        <v>0</v>
      </c>
      <c r="AJ150">
        <v>5.8823529411764705E-2</v>
      </c>
      <c r="AK150">
        <v>0</v>
      </c>
      <c r="AL150">
        <v>0</v>
      </c>
      <c r="AM150">
        <v>0</v>
      </c>
      <c r="AN150">
        <v>0</v>
      </c>
    </row>
    <row r="151" spans="1:40" x14ac:dyDescent="0.25">
      <c r="A151">
        <v>2025</v>
      </c>
      <c r="B151" t="s">
        <v>99</v>
      </c>
      <c r="C151" t="str">
        <f>IF(COUNTIF('Rookies 22-25'!$B$198:$B$349,E151)&gt;0,"(R)","No")</f>
        <v>No</v>
      </c>
      <c r="D151">
        <v>105</v>
      </c>
      <c r="E151" t="s">
        <v>204</v>
      </c>
      <c r="F151" t="s">
        <v>84</v>
      </c>
      <c r="G151">
        <f>VLOOKUP(E151,'25 Draft ADP'!$B$3:$D$505,3,FALSE)</f>
        <v>31</v>
      </c>
      <c r="H151">
        <v>4</v>
      </c>
      <c r="I151">
        <v>8</v>
      </c>
      <c r="J151">
        <v>16.899999999999999</v>
      </c>
      <c r="K151">
        <v>15.9</v>
      </c>
      <c r="L151">
        <v>12.7</v>
      </c>
      <c r="M151" t="s">
        <v>33</v>
      </c>
      <c r="N151" t="s">
        <v>33</v>
      </c>
      <c r="O151" t="s">
        <v>33</v>
      </c>
      <c r="P151" t="s">
        <v>33</v>
      </c>
      <c r="Q151" t="s">
        <v>33</v>
      </c>
      <c r="R151" t="s">
        <v>33</v>
      </c>
      <c r="S151" t="s">
        <v>33</v>
      </c>
      <c r="T151" t="s">
        <v>22</v>
      </c>
      <c r="U151" t="s">
        <v>33</v>
      </c>
      <c r="V151" t="s">
        <v>33</v>
      </c>
      <c r="W151" t="s">
        <v>33</v>
      </c>
      <c r="X151" t="s">
        <v>33</v>
      </c>
      <c r="Y151" t="s">
        <v>33</v>
      </c>
      <c r="Z151">
        <v>0</v>
      </c>
      <c r="AA151">
        <v>13.4</v>
      </c>
      <c r="AB151">
        <f t="shared" si="4"/>
        <v>53.5</v>
      </c>
      <c r="AC151">
        <v>53.5</v>
      </c>
      <c r="AD151">
        <v>3</v>
      </c>
      <c r="AE151">
        <f t="shared" si="5"/>
        <v>3</v>
      </c>
      <c r="AF151">
        <v>2</v>
      </c>
      <c r="AG151">
        <v>0</v>
      </c>
      <c r="AH151">
        <v>0</v>
      </c>
      <c r="AI151">
        <v>0</v>
      </c>
      <c r="AJ151">
        <v>0.17647058823529413</v>
      </c>
      <c r="AK151">
        <v>0.5</v>
      </c>
      <c r="AL151">
        <v>0</v>
      </c>
      <c r="AM151">
        <v>0</v>
      </c>
      <c r="AN151">
        <v>0</v>
      </c>
    </row>
    <row r="152" spans="1:40" x14ac:dyDescent="0.25">
      <c r="A152">
        <v>2025</v>
      </c>
      <c r="B152" t="s">
        <v>99</v>
      </c>
      <c r="C152" t="str">
        <f>IF(COUNTIF('Rookies 22-25'!$B$198:$B$349,E152)&gt;0,"(R)","No")</f>
        <v>No</v>
      </c>
      <c r="D152">
        <v>106</v>
      </c>
      <c r="E152" t="s">
        <v>205</v>
      </c>
      <c r="F152" t="s">
        <v>61</v>
      </c>
      <c r="G152">
        <f>VLOOKUP(E152,'25 Draft ADP'!$B$3:$D$505,3,FALSE)</f>
        <v>150</v>
      </c>
      <c r="H152">
        <v>12</v>
      </c>
      <c r="I152">
        <v>11.1</v>
      </c>
      <c r="J152">
        <v>6.7</v>
      </c>
      <c r="K152">
        <v>1.5</v>
      </c>
      <c r="L152">
        <v>4.5</v>
      </c>
      <c r="M152">
        <v>5.6</v>
      </c>
      <c r="N152">
        <v>8</v>
      </c>
      <c r="O152" t="s">
        <v>22</v>
      </c>
      <c r="P152" t="s">
        <v>33</v>
      </c>
      <c r="Q152" t="s">
        <v>33</v>
      </c>
      <c r="R152" t="s">
        <v>33</v>
      </c>
      <c r="S152">
        <v>3.7</v>
      </c>
      <c r="T152">
        <v>4.0999999999999996</v>
      </c>
      <c r="U152" t="s">
        <v>33</v>
      </c>
      <c r="V152" t="s">
        <v>33</v>
      </c>
      <c r="W152">
        <v>2.6</v>
      </c>
      <c r="X152">
        <v>1.2</v>
      </c>
      <c r="Y152">
        <v>2.2000000000000002</v>
      </c>
      <c r="Z152">
        <v>1.1000000000000001</v>
      </c>
      <c r="AA152">
        <v>4.4000000000000004</v>
      </c>
      <c r="AB152">
        <f t="shared" si="4"/>
        <v>51.199999999999996</v>
      </c>
      <c r="AC152">
        <v>52.3</v>
      </c>
      <c r="AD152">
        <v>13</v>
      </c>
      <c r="AE152">
        <f t="shared" si="5"/>
        <v>1</v>
      </c>
      <c r="AF152">
        <v>0</v>
      </c>
      <c r="AG152">
        <v>0</v>
      </c>
      <c r="AH152">
        <v>0</v>
      </c>
      <c r="AI152">
        <v>0</v>
      </c>
      <c r="AJ152">
        <v>5.8823529411764705E-2</v>
      </c>
      <c r="AK152">
        <v>0</v>
      </c>
      <c r="AL152">
        <v>0</v>
      </c>
      <c r="AM152">
        <v>0</v>
      </c>
      <c r="AN152">
        <v>0</v>
      </c>
    </row>
    <row r="153" spans="1:40" x14ac:dyDescent="0.25">
      <c r="A153">
        <v>2025</v>
      </c>
      <c r="B153" t="s">
        <v>99</v>
      </c>
      <c r="C153" t="str">
        <f>IF(COUNTIF('Rookies 22-25'!$B$198:$B$349,E153)&gt;0,"(R)","No")</f>
        <v>No</v>
      </c>
      <c r="D153">
        <v>107</v>
      </c>
      <c r="E153" t="s">
        <v>206</v>
      </c>
      <c r="F153" t="s">
        <v>61</v>
      </c>
      <c r="G153">
        <f>VLOOKUP(E153,'25 Draft ADP'!$B$3:$D$505,3,FALSE)</f>
        <v>290</v>
      </c>
      <c r="H153">
        <v>15</v>
      </c>
      <c r="I153">
        <v>5.6</v>
      </c>
      <c r="J153">
        <v>4.5999999999999996</v>
      </c>
      <c r="K153">
        <v>5.4</v>
      </c>
      <c r="L153">
        <v>5.2</v>
      </c>
      <c r="M153">
        <v>1.5</v>
      </c>
      <c r="N153">
        <v>3.1</v>
      </c>
      <c r="O153">
        <v>1.3</v>
      </c>
      <c r="P153">
        <v>5.2</v>
      </c>
      <c r="Q153">
        <v>3.6</v>
      </c>
      <c r="R153">
        <v>0</v>
      </c>
      <c r="S153" t="s">
        <v>33</v>
      </c>
      <c r="T153" t="s">
        <v>33</v>
      </c>
      <c r="U153">
        <v>2.2999999999999998</v>
      </c>
      <c r="V153">
        <v>0</v>
      </c>
      <c r="W153">
        <v>0</v>
      </c>
      <c r="X153">
        <v>0</v>
      </c>
      <c r="Y153">
        <v>14.1</v>
      </c>
      <c r="Z153">
        <v>0</v>
      </c>
      <c r="AA153">
        <v>3.5</v>
      </c>
      <c r="AB153">
        <f t="shared" si="4"/>
        <v>51.9</v>
      </c>
      <c r="AC153">
        <v>51.9</v>
      </c>
      <c r="AD153">
        <v>20</v>
      </c>
      <c r="AE153">
        <f t="shared" si="5"/>
        <v>1</v>
      </c>
      <c r="AF153">
        <v>0</v>
      </c>
      <c r="AG153">
        <v>0</v>
      </c>
      <c r="AH153">
        <v>0</v>
      </c>
      <c r="AI153">
        <v>0</v>
      </c>
      <c r="AJ153">
        <v>5.8823529411764705E-2</v>
      </c>
      <c r="AK153">
        <v>0</v>
      </c>
      <c r="AL153">
        <v>0</v>
      </c>
      <c r="AM153">
        <v>0</v>
      </c>
      <c r="AN153">
        <v>0</v>
      </c>
    </row>
    <row r="154" spans="1:40" x14ac:dyDescent="0.25">
      <c r="A154">
        <v>2025</v>
      </c>
      <c r="B154" t="s">
        <v>99</v>
      </c>
      <c r="C154" t="str">
        <f>IF(COUNTIF('Rookies 22-25'!$B$198:$B$349,E154)&gt;0,"(R)","No")</f>
        <v>No</v>
      </c>
      <c r="D154">
        <v>108</v>
      </c>
      <c r="E154" t="s">
        <v>207</v>
      </c>
      <c r="F154" t="s">
        <v>67</v>
      </c>
      <c r="G154">
        <f>VLOOKUP(E154,'25 Draft ADP'!$B$3:$D$505,3,FALSE)</f>
        <v>322</v>
      </c>
      <c r="H154">
        <v>16</v>
      </c>
      <c r="I154">
        <v>0</v>
      </c>
      <c r="J154">
        <v>0</v>
      </c>
      <c r="K154">
        <v>2.6</v>
      </c>
      <c r="L154">
        <v>0.9</v>
      </c>
      <c r="M154">
        <v>0</v>
      </c>
      <c r="N154">
        <v>9.6</v>
      </c>
      <c r="O154">
        <v>3.2</v>
      </c>
      <c r="P154" t="s">
        <v>22</v>
      </c>
      <c r="Q154" t="s">
        <v>33</v>
      </c>
      <c r="R154">
        <v>0</v>
      </c>
      <c r="S154">
        <v>11</v>
      </c>
      <c r="T154">
        <v>0</v>
      </c>
      <c r="U154">
        <v>2.1</v>
      </c>
      <c r="V154">
        <v>18.8</v>
      </c>
      <c r="W154">
        <v>0</v>
      </c>
      <c r="X154">
        <v>2.1</v>
      </c>
      <c r="Y154">
        <v>0</v>
      </c>
      <c r="Z154">
        <v>1.4</v>
      </c>
      <c r="AA154">
        <v>3.2</v>
      </c>
      <c r="AB154">
        <f t="shared" si="4"/>
        <v>50.300000000000004</v>
      </c>
      <c r="AC154">
        <v>51.7</v>
      </c>
      <c r="AD154">
        <v>20</v>
      </c>
      <c r="AE154">
        <f t="shared" si="5"/>
        <v>2</v>
      </c>
      <c r="AF154">
        <v>1</v>
      </c>
      <c r="AG154">
        <v>0</v>
      </c>
      <c r="AH154">
        <v>0</v>
      </c>
      <c r="AI154">
        <v>0</v>
      </c>
      <c r="AJ154">
        <v>0.11764705882352941</v>
      </c>
      <c r="AK154">
        <v>6.25E-2</v>
      </c>
      <c r="AL154">
        <v>0</v>
      </c>
      <c r="AM154">
        <v>0</v>
      </c>
      <c r="AN154">
        <v>0</v>
      </c>
    </row>
    <row r="155" spans="1:40" x14ac:dyDescent="0.25">
      <c r="A155">
        <v>2025</v>
      </c>
      <c r="B155" t="s">
        <v>99</v>
      </c>
      <c r="C155" t="str">
        <f>IF(COUNTIF('Rookies 22-25'!$B$198:$B$349,E155)&gt;0,"(R)","No")</f>
        <v>No</v>
      </c>
      <c r="D155">
        <v>109</v>
      </c>
      <c r="E155" t="s">
        <v>208</v>
      </c>
      <c r="F155" t="s">
        <v>59</v>
      </c>
      <c r="G155">
        <f>VLOOKUP(E155,'25 Draft ADP'!$B$3:$D$505,3,FALSE)</f>
        <v>314</v>
      </c>
      <c r="H155">
        <v>9</v>
      </c>
      <c r="I155">
        <v>0</v>
      </c>
      <c r="J155">
        <v>4.9000000000000004</v>
      </c>
      <c r="K155">
        <v>14.6</v>
      </c>
      <c r="L155">
        <v>10.1</v>
      </c>
      <c r="M155">
        <v>6</v>
      </c>
      <c r="N155">
        <v>10.3</v>
      </c>
      <c r="O155">
        <v>0</v>
      </c>
      <c r="P155">
        <v>5.4</v>
      </c>
      <c r="Q155">
        <v>0</v>
      </c>
      <c r="R155" t="s">
        <v>33</v>
      </c>
      <c r="S155" t="s">
        <v>33</v>
      </c>
      <c r="T155" t="s">
        <v>22</v>
      </c>
      <c r="U155" t="s">
        <v>33</v>
      </c>
      <c r="V155" t="s">
        <v>33</v>
      </c>
      <c r="W155" t="s">
        <v>33</v>
      </c>
      <c r="X155" t="s">
        <v>33</v>
      </c>
      <c r="Y155" t="s">
        <v>33</v>
      </c>
      <c r="Z155">
        <v>0</v>
      </c>
      <c r="AA155">
        <v>5.7</v>
      </c>
      <c r="AB155">
        <f t="shared" si="4"/>
        <v>51.3</v>
      </c>
      <c r="AC155">
        <v>51.3</v>
      </c>
      <c r="AD155">
        <v>20</v>
      </c>
      <c r="AE155">
        <f t="shared" si="5"/>
        <v>3</v>
      </c>
      <c r="AF155">
        <v>0</v>
      </c>
      <c r="AG155">
        <v>0</v>
      </c>
      <c r="AH155">
        <v>0</v>
      </c>
      <c r="AI155">
        <v>0</v>
      </c>
      <c r="AJ155">
        <v>0.17647058823529413</v>
      </c>
      <c r="AK155">
        <v>0</v>
      </c>
      <c r="AL155">
        <v>0</v>
      </c>
      <c r="AM155">
        <v>0</v>
      </c>
      <c r="AN155">
        <v>0</v>
      </c>
    </row>
    <row r="156" spans="1:40" x14ac:dyDescent="0.25">
      <c r="A156">
        <v>2025</v>
      </c>
      <c r="B156" t="s">
        <v>99</v>
      </c>
      <c r="C156" t="str">
        <f>IF(COUNTIF('Rookies 22-25'!$B$198:$B$349,E156)&gt;0,"(R)","No")</f>
        <v>No</v>
      </c>
      <c r="D156">
        <v>110</v>
      </c>
      <c r="E156" t="s">
        <v>209</v>
      </c>
      <c r="F156" t="s">
        <v>35</v>
      </c>
      <c r="G156">
        <f>VLOOKUP(E156,'25 Draft ADP'!$B$3:$D$505,3,FALSE)</f>
        <v>289</v>
      </c>
      <c r="H156">
        <v>17</v>
      </c>
      <c r="I156">
        <v>8.9</v>
      </c>
      <c r="J156">
        <v>1.4</v>
      </c>
      <c r="K156">
        <v>1.7</v>
      </c>
      <c r="L156">
        <v>0</v>
      </c>
      <c r="M156">
        <v>3.4</v>
      </c>
      <c r="N156">
        <v>2.7</v>
      </c>
      <c r="O156">
        <v>0</v>
      </c>
      <c r="P156">
        <v>11</v>
      </c>
      <c r="Q156" t="s">
        <v>22</v>
      </c>
      <c r="R156">
        <v>0</v>
      </c>
      <c r="S156">
        <v>6.3</v>
      </c>
      <c r="T156">
        <v>0</v>
      </c>
      <c r="U156">
        <v>2.2000000000000002</v>
      </c>
      <c r="V156">
        <v>1.3</v>
      </c>
      <c r="W156">
        <v>0</v>
      </c>
      <c r="X156">
        <v>4.3</v>
      </c>
      <c r="Y156">
        <v>0</v>
      </c>
      <c r="Z156">
        <v>7</v>
      </c>
      <c r="AA156">
        <v>3</v>
      </c>
      <c r="AB156">
        <f t="shared" si="4"/>
        <v>43.2</v>
      </c>
      <c r="AC156">
        <v>50.2</v>
      </c>
      <c r="AD156">
        <v>20</v>
      </c>
      <c r="AE156">
        <f t="shared" si="5"/>
        <v>1</v>
      </c>
      <c r="AF156">
        <v>0</v>
      </c>
      <c r="AG156">
        <v>0</v>
      </c>
      <c r="AH156">
        <v>0</v>
      </c>
      <c r="AI156">
        <v>0</v>
      </c>
      <c r="AJ156">
        <v>5.8823529411764705E-2</v>
      </c>
      <c r="AK156">
        <v>0</v>
      </c>
      <c r="AL156">
        <v>0</v>
      </c>
      <c r="AM156">
        <v>0</v>
      </c>
      <c r="AN156">
        <v>0</v>
      </c>
    </row>
    <row r="157" spans="1:40" x14ac:dyDescent="0.25">
      <c r="A157">
        <v>2025</v>
      </c>
      <c r="B157" t="s">
        <v>99</v>
      </c>
      <c r="C157" t="str">
        <f>IF(COUNTIF('Rookies 22-25'!$B$198:$B$349,E157)&gt;0,"(R)","No")</f>
        <v>No</v>
      </c>
      <c r="D157">
        <v>111</v>
      </c>
      <c r="E157" t="s">
        <v>210</v>
      </c>
      <c r="F157" t="s">
        <v>67</v>
      </c>
      <c r="G157">
        <f>VLOOKUP(E157,'25 Draft ADP'!$B$3:$D$505,3,FALSE)</f>
        <v>221</v>
      </c>
      <c r="H157">
        <v>15</v>
      </c>
      <c r="I157">
        <v>8.8000000000000007</v>
      </c>
      <c r="J157">
        <v>17.600000000000001</v>
      </c>
      <c r="K157">
        <v>2.7</v>
      </c>
      <c r="L157" t="s">
        <v>33</v>
      </c>
      <c r="M157">
        <v>3.5</v>
      </c>
      <c r="N157">
        <v>4</v>
      </c>
      <c r="O157">
        <v>7</v>
      </c>
      <c r="P157" t="s">
        <v>22</v>
      </c>
      <c r="Q157">
        <v>5.9</v>
      </c>
      <c r="R157">
        <v>0</v>
      </c>
      <c r="S157">
        <v>0</v>
      </c>
      <c r="T157">
        <v>0</v>
      </c>
      <c r="U157" t="s">
        <v>33</v>
      </c>
      <c r="V157">
        <v>0</v>
      </c>
      <c r="W157">
        <v>-1.6</v>
      </c>
      <c r="X157">
        <v>0</v>
      </c>
      <c r="Y157">
        <v>0</v>
      </c>
      <c r="Z157">
        <v>1.8</v>
      </c>
      <c r="AA157">
        <v>3.3</v>
      </c>
      <c r="AB157">
        <f t="shared" si="4"/>
        <v>47.900000000000006</v>
      </c>
      <c r="AC157">
        <v>49.7</v>
      </c>
      <c r="AD157">
        <v>19</v>
      </c>
      <c r="AE157">
        <f t="shared" si="5"/>
        <v>1</v>
      </c>
      <c r="AF157">
        <v>1</v>
      </c>
      <c r="AG157">
        <v>0</v>
      </c>
      <c r="AH157">
        <v>0</v>
      </c>
      <c r="AI157">
        <v>0</v>
      </c>
      <c r="AJ157">
        <v>5.8823529411764705E-2</v>
      </c>
      <c r="AK157">
        <v>6.6666666666666666E-2</v>
      </c>
      <c r="AL157">
        <v>0</v>
      </c>
      <c r="AM157">
        <v>0</v>
      </c>
      <c r="AN157">
        <v>0</v>
      </c>
    </row>
    <row r="158" spans="1:40" x14ac:dyDescent="0.25">
      <c r="A158">
        <v>2025</v>
      </c>
      <c r="B158" t="s">
        <v>99</v>
      </c>
      <c r="C158" t="str">
        <f>IF(COUNTIF('Rookies 22-25'!$B$198:$B$349,E158)&gt;0,"(R)","No")</f>
        <v>(R)</v>
      </c>
      <c r="D158">
        <v>112</v>
      </c>
      <c r="E158" t="s">
        <v>211</v>
      </c>
      <c r="F158" t="s">
        <v>39</v>
      </c>
      <c r="G158">
        <f>VLOOKUP(E158,'25 Draft ADP'!$B$3:$D$505,3,FALSE)</f>
        <v>176</v>
      </c>
      <c r="H158">
        <v>17</v>
      </c>
      <c r="I158">
        <v>2.2000000000000002</v>
      </c>
      <c r="J158">
        <v>0</v>
      </c>
      <c r="K158">
        <v>1.8</v>
      </c>
      <c r="L158">
        <v>-0.2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14.2</v>
      </c>
      <c r="S158">
        <v>0</v>
      </c>
      <c r="T158">
        <v>2.8</v>
      </c>
      <c r="U158">
        <v>10.3</v>
      </c>
      <c r="V158" t="s">
        <v>22</v>
      </c>
      <c r="W158">
        <v>0</v>
      </c>
      <c r="X158">
        <v>12.6</v>
      </c>
      <c r="Y158">
        <v>5</v>
      </c>
      <c r="Z158">
        <v>0.5</v>
      </c>
      <c r="AA158">
        <v>2.9</v>
      </c>
      <c r="AB158">
        <f t="shared" si="4"/>
        <v>48.7</v>
      </c>
      <c r="AC158">
        <v>49.2</v>
      </c>
      <c r="AD158">
        <v>15</v>
      </c>
      <c r="AE158">
        <f t="shared" si="5"/>
        <v>3</v>
      </c>
      <c r="AF158">
        <v>0</v>
      </c>
      <c r="AG158">
        <v>0</v>
      </c>
      <c r="AH158">
        <v>0</v>
      </c>
      <c r="AI158">
        <v>0</v>
      </c>
      <c r="AJ158">
        <v>0.17647058823529413</v>
      </c>
      <c r="AK158">
        <v>0</v>
      </c>
      <c r="AL158">
        <v>0</v>
      </c>
      <c r="AM158">
        <v>0</v>
      </c>
      <c r="AN158">
        <v>0</v>
      </c>
    </row>
    <row r="159" spans="1:40" x14ac:dyDescent="0.25">
      <c r="A159">
        <v>2025</v>
      </c>
      <c r="B159" t="s">
        <v>99</v>
      </c>
      <c r="C159" t="str">
        <f>IF(COUNTIF('Rookies 22-25'!$B$198:$B$349,E159)&gt;0,"(R)","No")</f>
        <v>(R)</v>
      </c>
      <c r="D159">
        <v>112</v>
      </c>
      <c r="E159" t="s">
        <v>212</v>
      </c>
      <c r="F159" t="s">
        <v>59</v>
      </c>
      <c r="G159">
        <f>VLOOKUP(E159,'25 Draft ADP'!$B$3:$D$505,3,FALSE)</f>
        <v>247</v>
      </c>
      <c r="H159">
        <v>15</v>
      </c>
      <c r="I159">
        <v>2.1</v>
      </c>
      <c r="J159">
        <v>1.2</v>
      </c>
      <c r="K159">
        <v>6.8</v>
      </c>
      <c r="L159">
        <v>3.8</v>
      </c>
      <c r="M159">
        <v>2.6</v>
      </c>
      <c r="N159">
        <v>5.4</v>
      </c>
      <c r="O159">
        <v>9</v>
      </c>
      <c r="P159">
        <v>1</v>
      </c>
      <c r="Q159">
        <v>3.9</v>
      </c>
      <c r="R159">
        <v>5.0999999999999996</v>
      </c>
      <c r="S159">
        <v>2.2999999999999998</v>
      </c>
      <c r="T159" t="s">
        <v>22</v>
      </c>
      <c r="U159">
        <v>0</v>
      </c>
      <c r="V159">
        <v>0</v>
      </c>
      <c r="W159">
        <v>6</v>
      </c>
      <c r="X159">
        <v>0</v>
      </c>
      <c r="Y159" t="s">
        <v>33</v>
      </c>
      <c r="Z159">
        <v>0</v>
      </c>
      <c r="AA159">
        <v>3.3</v>
      </c>
      <c r="AB159">
        <f t="shared" si="4"/>
        <v>49.2</v>
      </c>
      <c r="AC159">
        <v>49.2</v>
      </c>
      <c r="AD159">
        <v>20</v>
      </c>
      <c r="AE159">
        <f t="shared" si="5"/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</row>
    <row r="160" spans="1:40" x14ac:dyDescent="0.25">
      <c r="A160">
        <v>2025</v>
      </c>
      <c r="B160" t="s">
        <v>99</v>
      </c>
      <c r="C160" t="str">
        <f>IF(COUNTIF('Rookies 22-25'!$B$198:$B$349,E160)&gt;0,"(R)","No")</f>
        <v>No</v>
      </c>
      <c r="D160">
        <v>114</v>
      </c>
      <c r="E160" t="s">
        <v>213</v>
      </c>
      <c r="F160" t="s">
        <v>24</v>
      </c>
      <c r="G160">
        <f>VLOOKUP(E160,'25 Draft ADP'!$B$3:$D$505,3,FALSE)</f>
        <v>497</v>
      </c>
      <c r="H160">
        <v>17</v>
      </c>
      <c r="I160">
        <v>0</v>
      </c>
      <c r="J160">
        <v>0</v>
      </c>
      <c r="K160">
        <v>1.9</v>
      </c>
      <c r="L160">
        <v>0</v>
      </c>
      <c r="M160" t="s">
        <v>22</v>
      </c>
      <c r="N160">
        <v>0</v>
      </c>
      <c r="O160">
        <v>0</v>
      </c>
      <c r="P160">
        <v>3.4</v>
      </c>
      <c r="Q160">
        <v>0</v>
      </c>
      <c r="R160">
        <v>0</v>
      </c>
      <c r="S160">
        <v>2.1</v>
      </c>
      <c r="T160">
        <v>9.6</v>
      </c>
      <c r="U160">
        <v>9.5</v>
      </c>
      <c r="V160">
        <v>0</v>
      </c>
      <c r="W160">
        <v>13.8</v>
      </c>
      <c r="X160">
        <v>0</v>
      </c>
      <c r="Y160">
        <v>6.7</v>
      </c>
      <c r="Z160">
        <v>2.1</v>
      </c>
      <c r="AA160">
        <v>2.9</v>
      </c>
      <c r="AB160">
        <f t="shared" si="4"/>
        <v>47</v>
      </c>
      <c r="AC160">
        <v>49.1</v>
      </c>
      <c r="AD160">
        <v>20</v>
      </c>
      <c r="AE160">
        <f t="shared" si="5"/>
        <v>1</v>
      </c>
      <c r="AF160">
        <v>0</v>
      </c>
      <c r="AG160">
        <v>0</v>
      </c>
      <c r="AH160">
        <v>0</v>
      </c>
      <c r="AI160">
        <v>0</v>
      </c>
      <c r="AJ160">
        <v>5.8823529411764705E-2</v>
      </c>
      <c r="AK160">
        <v>0</v>
      </c>
      <c r="AL160">
        <v>0</v>
      </c>
      <c r="AM160">
        <v>0</v>
      </c>
      <c r="AN160">
        <v>0</v>
      </c>
    </row>
    <row r="161" spans="1:40" x14ac:dyDescent="0.25">
      <c r="A161">
        <v>2025</v>
      </c>
      <c r="B161" t="s">
        <v>99</v>
      </c>
      <c r="C161" t="str">
        <f>IF(COUNTIF('Rookies 22-25'!$B$198:$B$349,E161)&gt;0,"(R)","No")</f>
        <v>No</v>
      </c>
      <c r="D161">
        <v>115</v>
      </c>
      <c r="E161" t="s">
        <v>214</v>
      </c>
      <c r="F161" t="s">
        <v>69</v>
      </c>
      <c r="G161">
        <f>VLOOKUP(E161,'25 Draft ADP'!$B$3:$D$505,3,FALSE)</f>
        <v>108</v>
      </c>
      <c r="H161">
        <v>7</v>
      </c>
      <c r="I161">
        <v>13.5</v>
      </c>
      <c r="J161">
        <v>0</v>
      </c>
      <c r="K161" t="s">
        <v>33</v>
      </c>
      <c r="L161" t="s">
        <v>33</v>
      </c>
      <c r="M161" t="s">
        <v>22</v>
      </c>
      <c r="N161" t="s">
        <v>33</v>
      </c>
      <c r="O161" t="s">
        <v>33</v>
      </c>
      <c r="P161" t="s">
        <v>33</v>
      </c>
      <c r="Q161" t="s">
        <v>33</v>
      </c>
      <c r="R161" t="s">
        <v>33</v>
      </c>
      <c r="S161" t="s">
        <v>33</v>
      </c>
      <c r="T161" t="s">
        <v>33</v>
      </c>
      <c r="U161" t="s">
        <v>33</v>
      </c>
      <c r="V161">
        <v>9.3000000000000007</v>
      </c>
      <c r="W161">
        <v>10.5</v>
      </c>
      <c r="X161">
        <v>7.1</v>
      </c>
      <c r="Y161">
        <v>8.1</v>
      </c>
      <c r="Z161">
        <v>0</v>
      </c>
      <c r="AA161">
        <v>6.9</v>
      </c>
      <c r="AB161">
        <f t="shared" si="4"/>
        <v>48.5</v>
      </c>
      <c r="AC161">
        <v>48.5</v>
      </c>
      <c r="AD161">
        <v>20</v>
      </c>
      <c r="AE161">
        <f t="shared" si="5"/>
        <v>2</v>
      </c>
      <c r="AF161">
        <v>0</v>
      </c>
      <c r="AG161">
        <v>0</v>
      </c>
      <c r="AH161">
        <v>0</v>
      </c>
      <c r="AI161">
        <v>0</v>
      </c>
      <c r="AJ161">
        <v>0.11764705882352941</v>
      </c>
      <c r="AK161">
        <v>0</v>
      </c>
      <c r="AL161">
        <v>0</v>
      </c>
      <c r="AM161">
        <v>0</v>
      </c>
      <c r="AN161">
        <v>0</v>
      </c>
    </row>
    <row r="162" spans="1:40" x14ac:dyDescent="0.25">
      <c r="A162">
        <v>2025</v>
      </c>
      <c r="B162" t="s">
        <v>99</v>
      </c>
      <c r="C162" t="str">
        <f>IF(COUNTIF('Rookies 22-25'!$B$198:$B$349,E162)&gt;0,"(R)","No")</f>
        <v>No</v>
      </c>
      <c r="D162">
        <v>116</v>
      </c>
      <c r="E162" t="s">
        <v>215</v>
      </c>
      <c r="F162" t="s">
        <v>55</v>
      </c>
      <c r="G162">
        <f>VLOOKUP(E162,'25 Draft ADP'!$B$3:$D$505,3,FALSE)</f>
        <v>442</v>
      </c>
      <c r="H162">
        <v>16</v>
      </c>
      <c r="I162">
        <v>4.5999999999999996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3.5</v>
      </c>
      <c r="P162" t="s">
        <v>22</v>
      </c>
      <c r="Q162">
        <v>3.2</v>
      </c>
      <c r="R162">
        <v>2.4</v>
      </c>
      <c r="S162">
        <v>1.8</v>
      </c>
      <c r="T162" t="s">
        <v>33</v>
      </c>
      <c r="U162">
        <v>11.2</v>
      </c>
      <c r="V162">
        <v>1.6</v>
      </c>
      <c r="W162">
        <v>0</v>
      </c>
      <c r="X162">
        <v>7.7</v>
      </c>
      <c r="Y162">
        <v>10.7</v>
      </c>
      <c r="Z162">
        <v>1.6</v>
      </c>
      <c r="AA162">
        <v>3</v>
      </c>
      <c r="AB162">
        <f t="shared" si="4"/>
        <v>46.699999999999996</v>
      </c>
      <c r="AC162">
        <v>48.3</v>
      </c>
      <c r="AD162">
        <v>20</v>
      </c>
      <c r="AE162">
        <f t="shared" si="5"/>
        <v>2</v>
      </c>
      <c r="AF162">
        <v>0</v>
      </c>
      <c r="AG162">
        <v>0</v>
      </c>
      <c r="AH162">
        <v>0</v>
      </c>
      <c r="AI162">
        <v>0</v>
      </c>
      <c r="AJ162">
        <v>0.11764705882352941</v>
      </c>
      <c r="AK162">
        <v>0</v>
      </c>
      <c r="AL162">
        <v>0</v>
      </c>
      <c r="AM162">
        <v>0</v>
      </c>
      <c r="AN162">
        <v>0</v>
      </c>
    </row>
    <row r="163" spans="1:40" x14ac:dyDescent="0.25">
      <c r="A163">
        <v>2025</v>
      </c>
      <c r="B163" t="s">
        <v>99</v>
      </c>
      <c r="C163" t="str">
        <f>IF(COUNTIF('Rookies 22-25'!$B$198:$B$349,E163)&gt;0,"(R)","No")</f>
        <v>No</v>
      </c>
      <c r="D163">
        <v>117</v>
      </c>
      <c r="E163" t="s">
        <v>216</v>
      </c>
      <c r="F163" t="s">
        <v>63</v>
      </c>
      <c r="G163">
        <f>VLOOKUP(E163,'25 Draft ADP'!$B$3:$D$505,3,FALSE)</f>
        <v>54</v>
      </c>
      <c r="H163">
        <v>7</v>
      </c>
      <c r="I163">
        <v>6.7</v>
      </c>
      <c r="J163">
        <v>8.6999999999999993</v>
      </c>
      <c r="K163">
        <v>3.7</v>
      </c>
      <c r="L163">
        <v>5</v>
      </c>
      <c r="M163">
        <v>18.100000000000001</v>
      </c>
      <c r="N163">
        <v>2.8</v>
      </c>
      <c r="O163" t="s">
        <v>33</v>
      </c>
      <c r="P163" t="s">
        <v>33</v>
      </c>
      <c r="Q163" t="s">
        <v>33</v>
      </c>
      <c r="R163" t="s">
        <v>22</v>
      </c>
      <c r="S163">
        <v>2.2999999999999998</v>
      </c>
      <c r="T163" t="s">
        <v>33</v>
      </c>
      <c r="U163" t="s">
        <v>33</v>
      </c>
      <c r="V163" t="s">
        <v>33</v>
      </c>
      <c r="W163" t="s">
        <v>33</v>
      </c>
      <c r="X163" t="s">
        <v>33</v>
      </c>
      <c r="Y163" t="s">
        <v>33</v>
      </c>
      <c r="Z163">
        <v>0</v>
      </c>
      <c r="AA163">
        <v>6.8</v>
      </c>
      <c r="AB163">
        <f t="shared" si="4"/>
        <v>47.3</v>
      </c>
      <c r="AC163">
        <v>47.3</v>
      </c>
      <c r="AD163">
        <v>20</v>
      </c>
      <c r="AE163">
        <f t="shared" si="5"/>
        <v>1</v>
      </c>
      <c r="AF163">
        <v>1</v>
      </c>
      <c r="AG163">
        <v>0</v>
      </c>
      <c r="AH163">
        <v>0</v>
      </c>
      <c r="AI163">
        <v>0</v>
      </c>
      <c r="AJ163">
        <v>5.8823529411764705E-2</v>
      </c>
      <c r="AK163">
        <v>0.14285714285714285</v>
      </c>
      <c r="AL163">
        <v>0</v>
      </c>
      <c r="AM163">
        <v>0</v>
      </c>
      <c r="AN163">
        <v>0</v>
      </c>
    </row>
    <row r="164" spans="1:40" x14ac:dyDescent="0.25">
      <c r="A164">
        <v>2025</v>
      </c>
      <c r="B164" t="s">
        <v>99</v>
      </c>
      <c r="C164" t="str">
        <f>IF(COUNTIF('Rookies 22-25'!$B$198:$B$349,E164)&gt;0,"(R)","No")</f>
        <v>No</v>
      </c>
      <c r="D164">
        <v>118</v>
      </c>
      <c r="E164" t="s">
        <v>217</v>
      </c>
      <c r="F164" t="s">
        <v>30</v>
      </c>
      <c r="G164">
        <f>VLOOKUP(E164,'25 Draft ADP'!$B$3:$D$505,3,FALSE)</f>
        <v>245</v>
      </c>
      <c r="H164">
        <v>13</v>
      </c>
      <c r="I164">
        <v>1</v>
      </c>
      <c r="J164">
        <v>3.6</v>
      </c>
      <c r="K164">
        <v>7.4</v>
      </c>
      <c r="L164">
        <v>10.1</v>
      </c>
      <c r="M164">
        <v>0</v>
      </c>
      <c r="N164">
        <v>1.8</v>
      </c>
      <c r="O164">
        <v>2.6</v>
      </c>
      <c r="P164">
        <v>12.7</v>
      </c>
      <c r="Q164">
        <v>0</v>
      </c>
      <c r="R164" t="s">
        <v>22</v>
      </c>
      <c r="S164">
        <v>0</v>
      </c>
      <c r="T164" t="s">
        <v>33</v>
      </c>
      <c r="U164">
        <v>0</v>
      </c>
      <c r="V164" t="s">
        <v>33</v>
      </c>
      <c r="W164" t="s">
        <v>33</v>
      </c>
      <c r="X164" t="s">
        <v>33</v>
      </c>
      <c r="Y164">
        <v>7.1</v>
      </c>
      <c r="Z164">
        <v>0</v>
      </c>
      <c r="AA164">
        <v>3.6</v>
      </c>
      <c r="AB164">
        <f t="shared" si="4"/>
        <v>46.3</v>
      </c>
      <c r="AC164">
        <v>46.3</v>
      </c>
      <c r="AD164">
        <v>20</v>
      </c>
      <c r="AE164">
        <f t="shared" si="5"/>
        <v>2</v>
      </c>
      <c r="AF164">
        <v>0</v>
      </c>
      <c r="AG164">
        <v>0</v>
      </c>
      <c r="AH164">
        <v>0</v>
      </c>
      <c r="AI164">
        <v>0</v>
      </c>
      <c r="AJ164">
        <v>0.11764705882352941</v>
      </c>
      <c r="AK164">
        <v>0</v>
      </c>
      <c r="AL164">
        <v>0</v>
      </c>
      <c r="AM164">
        <v>0</v>
      </c>
      <c r="AN164">
        <v>0</v>
      </c>
    </row>
    <row r="165" spans="1:40" x14ac:dyDescent="0.25">
      <c r="A165">
        <v>2025</v>
      </c>
      <c r="B165" t="s">
        <v>99</v>
      </c>
      <c r="C165" t="str">
        <f>IF(COUNTIF('Rookies 22-25'!$B$198:$B$349,E165)&gt;0,"(R)","No")</f>
        <v>No</v>
      </c>
      <c r="D165">
        <v>119</v>
      </c>
      <c r="E165" t="s">
        <v>218</v>
      </c>
      <c r="F165" t="s">
        <v>61</v>
      </c>
      <c r="G165">
        <f>VLOOKUP(E165,'25 Draft ADP'!$B$3:$D$505,3,FALSE)</f>
        <v>334</v>
      </c>
      <c r="H165">
        <v>17</v>
      </c>
      <c r="I165">
        <v>0</v>
      </c>
      <c r="J165">
        <v>0</v>
      </c>
      <c r="K165">
        <v>4.4000000000000004</v>
      </c>
      <c r="L165">
        <v>0</v>
      </c>
      <c r="M165">
        <v>0</v>
      </c>
      <c r="N165">
        <v>5.7</v>
      </c>
      <c r="O165" t="s">
        <v>22</v>
      </c>
      <c r="P165">
        <v>0</v>
      </c>
      <c r="Q165">
        <v>1.7</v>
      </c>
      <c r="R165">
        <v>3.4</v>
      </c>
      <c r="S165">
        <v>19</v>
      </c>
      <c r="T165">
        <v>0</v>
      </c>
      <c r="U165">
        <v>0</v>
      </c>
      <c r="V165">
        <v>2.6</v>
      </c>
      <c r="W165">
        <v>0</v>
      </c>
      <c r="X165">
        <v>3.1</v>
      </c>
      <c r="Y165">
        <v>5.6</v>
      </c>
      <c r="Z165">
        <v>0</v>
      </c>
      <c r="AA165">
        <v>2.7</v>
      </c>
      <c r="AB165">
        <f t="shared" si="4"/>
        <v>45.5</v>
      </c>
      <c r="AC165">
        <v>45.5</v>
      </c>
      <c r="AD165">
        <v>20</v>
      </c>
      <c r="AE165">
        <f t="shared" si="5"/>
        <v>1</v>
      </c>
      <c r="AF165">
        <v>1</v>
      </c>
      <c r="AG165">
        <v>0</v>
      </c>
      <c r="AH165">
        <v>0</v>
      </c>
      <c r="AI165">
        <v>0</v>
      </c>
      <c r="AJ165">
        <v>5.8823529411764705E-2</v>
      </c>
      <c r="AK165">
        <v>5.8823529411764705E-2</v>
      </c>
      <c r="AL165">
        <v>0</v>
      </c>
      <c r="AM165">
        <v>0</v>
      </c>
      <c r="AN165">
        <v>0</v>
      </c>
    </row>
    <row r="166" spans="1:40" x14ac:dyDescent="0.25">
      <c r="A166">
        <v>2025</v>
      </c>
      <c r="B166" t="s">
        <v>99</v>
      </c>
      <c r="C166" t="str">
        <f>IF(COUNTIF('Rookies 22-25'!$B$198:$B$349,E166)&gt;0,"(R)","No")</f>
        <v>(R)</v>
      </c>
      <c r="D166">
        <v>120</v>
      </c>
      <c r="E166" t="s">
        <v>219</v>
      </c>
      <c r="F166" t="s">
        <v>43</v>
      </c>
      <c r="G166">
        <f>VLOOKUP(E166,'25 Draft ADP'!$B$3:$D$505,3,FALSE)</f>
        <v>218</v>
      </c>
      <c r="H166">
        <v>16</v>
      </c>
      <c r="I166">
        <v>3.3</v>
      </c>
      <c r="J166">
        <v>0</v>
      </c>
      <c r="K166">
        <v>2</v>
      </c>
      <c r="L166">
        <v>0</v>
      </c>
      <c r="M166">
        <v>5.7</v>
      </c>
      <c r="N166">
        <v>0</v>
      </c>
      <c r="O166">
        <v>3.3</v>
      </c>
      <c r="P166" t="s">
        <v>22</v>
      </c>
      <c r="Q166">
        <v>0</v>
      </c>
      <c r="R166">
        <v>0</v>
      </c>
      <c r="S166">
        <v>2.9</v>
      </c>
      <c r="T166">
        <v>0</v>
      </c>
      <c r="U166">
        <v>4.2</v>
      </c>
      <c r="V166">
        <v>11</v>
      </c>
      <c r="W166">
        <v>3.7</v>
      </c>
      <c r="X166">
        <v>6.3</v>
      </c>
      <c r="Y166" t="s">
        <v>33</v>
      </c>
      <c r="Z166">
        <v>0</v>
      </c>
      <c r="AA166">
        <v>2.7</v>
      </c>
      <c r="AB166">
        <f t="shared" si="4"/>
        <v>42.4</v>
      </c>
      <c r="AC166">
        <v>42.4</v>
      </c>
      <c r="AD166">
        <v>20</v>
      </c>
      <c r="AE166">
        <f t="shared" si="5"/>
        <v>1</v>
      </c>
      <c r="AF166">
        <v>0</v>
      </c>
      <c r="AG166">
        <v>0</v>
      </c>
      <c r="AH166">
        <v>0</v>
      </c>
      <c r="AI166">
        <v>0</v>
      </c>
      <c r="AJ166">
        <v>5.8823529411764705E-2</v>
      </c>
      <c r="AK166">
        <v>0</v>
      </c>
      <c r="AL166">
        <v>0</v>
      </c>
      <c r="AM166">
        <v>0</v>
      </c>
      <c r="AN166">
        <v>0</v>
      </c>
    </row>
    <row r="167" spans="1:40" x14ac:dyDescent="0.25">
      <c r="A167">
        <v>2025</v>
      </c>
      <c r="B167" t="s">
        <v>220</v>
      </c>
      <c r="C167" t="str">
        <f>IF(COUNTIF('Rookies 22-25'!$B$198:$B$349,E167)&gt;0,"(R)","No")</f>
        <v>No</v>
      </c>
      <c r="D167">
        <v>1</v>
      </c>
      <c r="E167" t="s">
        <v>221</v>
      </c>
      <c r="F167" t="s">
        <v>47</v>
      </c>
      <c r="G167">
        <f>VLOOKUP(E167,'25 Draft ADP'!$B$3:$D$505,3,FALSE)</f>
        <v>7</v>
      </c>
      <c r="H167">
        <v>17</v>
      </c>
      <c r="I167">
        <v>23.2</v>
      </c>
      <c r="J167">
        <v>22.7</v>
      </c>
      <c r="K167">
        <v>24</v>
      </c>
      <c r="L167">
        <v>26.1</v>
      </c>
      <c r="M167">
        <v>27.9</v>
      </c>
      <c r="N167">
        <v>24.1</v>
      </c>
      <c r="O167">
        <v>39.1</v>
      </c>
      <c r="P167">
        <v>9.8000000000000007</v>
      </c>
      <c r="Q167">
        <v>34.299999999999997</v>
      </c>
      <c r="R167">
        <v>17.600000000000001</v>
      </c>
      <c r="S167">
        <v>35.1</v>
      </c>
      <c r="T167">
        <v>27.2</v>
      </c>
      <c r="U167">
        <v>17.399999999999999</v>
      </c>
      <c r="V167" t="s">
        <v>22</v>
      </c>
      <c r="W167">
        <v>15.7</v>
      </c>
      <c r="X167">
        <v>32.6</v>
      </c>
      <c r="Y167">
        <v>28.1</v>
      </c>
      <c r="Z167">
        <v>11.7</v>
      </c>
      <c r="AA167">
        <v>24.5</v>
      </c>
      <c r="AB167">
        <f t="shared" si="4"/>
        <v>404.90000000000003</v>
      </c>
      <c r="AC167">
        <v>416.6</v>
      </c>
      <c r="AD167">
        <v>1</v>
      </c>
      <c r="AE167">
        <f t="shared" si="5"/>
        <v>15</v>
      </c>
      <c r="AF167">
        <v>15</v>
      </c>
      <c r="AG167">
        <v>12</v>
      </c>
      <c r="AH167">
        <v>8</v>
      </c>
      <c r="AI167">
        <v>4</v>
      </c>
      <c r="AJ167">
        <v>0.94117647058823528</v>
      </c>
      <c r="AK167">
        <v>0.88235294117647056</v>
      </c>
      <c r="AL167">
        <v>0.70588235294117652</v>
      </c>
      <c r="AM167">
        <v>0.47058823529411764</v>
      </c>
      <c r="AN167">
        <v>0.23529411764705882</v>
      </c>
    </row>
    <row r="168" spans="1:40" x14ac:dyDescent="0.25">
      <c r="A168">
        <v>2025</v>
      </c>
      <c r="B168" t="s">
        <v>220</v>
      </c>
      <c r="C168" t="str">
        <f>IF(COUNTIF('Rookies 22-25'!$B$198:$B$349,E168)&gt;0,"(R)","No")</f>
        <v>No</v>
      </c>
      <c r="D168">
        <v>2</v>
      </c>
      <c r="E168" t="s">
        <v>222</v>
      </c>
      <c r="F168" t="s">
        <v>24</v>
      </c>
      <c r="G168">
        <f>VLOOKUP(E168,'25 Draft ADP'!$B$3:$D$505,3,FALSE)</f>
        <v>2</v>
      </c>
      <c r="H168">
        <v>17</v>
      </c>
      <c r="I168">
        <v>24.4</v>
      </c>
      <c r="J168">
        <v>19.8</v>
      </c>
      <c r="K168">
        <v>16.100000000000001</v>
      </c>
      <c r="L168">
        <v>28.1</v>
      </c>
      <c r="M168" t="s">
        <v>22</v>
      </c>
      <c r="N168">
        <v>35.799999999999997</v>
      </c>
      <c r="O168">
        <v>21.2</v>
      </c>
      <c r="P168">
        <v>5.8</v>
      </c>
      <c r="Q168">
        <v>17.600000000000001</v>
      </c>
      <c r="R168">
        <v>10.8</v>
      </c>
      <c r="S168">
        <v>30.3</v>
      </c>
      <c r="T168">
        <v>14.7</v>
      </c>
      <c r="U168">
        <v>30.3</v>
      </c>
      <c r="V168">
        <v>9.4</v>
      </c>
      <c r="W168">
        <v>29.5</v>
      </c>
      <c r="X168">
        <v>29.8</v>
      </c>
      <c r="Y168">
        <v>39.9</v>
      </c>
      <c r="Z168">
        <v>7.3</v>
      </c>
      <c r="AA168">
        <v>21.8</v>
      </c>
      <c r="AB168">
        <f t="shared" si="4"/>
        <v>363.5</v>
      </c>
      <c r="AC168">
        <v>370.8</v>
      </c>
      <c r="AD168">
        <v>1</v>
      </c>
      <c r="AE168">
        <f t="shared" si="5"/>
        <v>14</v>
      </c>
      <c r="AF168">
        <v>12</v>
      </c>
      <c r="AG168">
        <v>9</v>
      </c>
      <c r="AH168">
        <v>7</v>
      </c>
      <c r="AI168">
        <v>4</v>
      </c>
      <c r="AJ168">
        <v>0.82352941176470584</v>
      </c>
      <c r="AK168">
        <v>0.70588235294117652</v>
      </c>
      <c r="AL168">
        <v>0.52941176470588236</v>
      </c>
      <c r="AM168">
        <v>0.41176470588235292</v>
      </c>
      <c r="AN168">
        <v>0.23529411764705882</v>
      </c>
    </row>
    <row r="169" spans="1:40" x14ac:dyDescent="0.25">
      <c r="A169">
        <v>2025</v>
      </c>
      <c r="B169" t="s">
        <v>220</v>
      </c>
      <c r="C169" t="str">
        <f>IF(COUNTIF('Rookies 22-25'!$B$198:$B$349,E169)&gt;0,"(R)","No")</f>
        <v>No</v>
      </c>
      <c r="D169">
        <v>3</v>
      </c>
      <c r="E169" t="s">
        <v>223</v>
      </c>
      <c r="F169" t="s">
        <v>75</v>
      </c>
      <c r="G169">
        <f>VLOOKUP(E169,'25 Draft ADP'!$B$3:$D$505,3,FALSE)</f>
        <v>3</v>
      </c>
      <c r="H169">
        <v>17</v>
      </c>
      <c r="I169">
        <v>15</v>
      </c>
      <c r="J169">
        <v>19.399999999999999</v>
      </c>
      <c r="K169">
        <v>26.9</v>
      </c>
      <c r="L169">
        <v>17.7</v>
      </c>
      <c r="M169">
        <v>16.7</v>
      </c>
      <c r="N169">
        <v>7.5</v>
      </c>
      <c r="O169">
        <v>36.799999999999997</v>
      </c>
      <c r="P169" t="s">
        <v>22</v>
      </c>
      <c r="Q169">
        <v>5.8</v>
      </c>
      <c r="R169">
        <v>38.200000000000003</v>
      </c>
      <c r="S169">
        <v>19.600000000000001</v>
      </c>
      <c r="T169">
        <v>55.4</v>
      </c>
      <c r="U169">
        <v>11.6</v>
      </c>
      <c r="V169">
        <v>37</v>
      </c>
      <c r="W169">
        <v>9.8000000000000007</v>
      </c>
      <c r="X169">
        <v>22.8</v>
      </c>
      <c r="Y169">
        <v>6.4</v>
      </c>
      <c r="Z169">
        <v>20.3</v>
      </c>
      <c r="AA169">
        <v>21.6</v>
      </c>
      <c r="AB169">
        <f t="shared" si="4"/>
        <v>346.59999999999997</v>
      </c>
      <c r="AC169">
        <v>366.9</v>
      </c>
      <c r="AD169">
        <v>1</v>
      </c>
      <c r="AE169">
        <f t="shared" si="5"/>
        <v>12</v>
      </c>
      <c r="AF169">
        <v>11</v>
      </c>
      <c r="AG169">
        <v>7</v>
      </c>
      <c r="AH169">
        <v>5</v>
      </c>
      <c r="AI169">
        <v>4</v>
      </c>
      <c r="AJ169">
        <v>0.76470588235294112</v>
      </c>
      <c r="AK169">
        <v>0.6470588235294118</v>
      </c>
      <c r="AL169">
        <v>0.41176470588235292</v>
      </c>
      <c r="AM169">
        <v>0.29411764705882354</v>
      </c>
      <c r="AN169">
        <v>0.23529411764705882</v>
      </c>
    </row>
    <row r="170" spans="1:40" x14ac:dyDescent="0.25">
      <c r="A170">
        <v>2025</v>
      </c>
      <c r="B170" t="s">
        <v>220</v>
      </c>
      <c r="C170" t="str">
        <f>IF(COUNTIF('Rookies 22-25'!$B$198:$B$349,E170)&gt;0,"(R)","No")</f>
        <v>No</v>
      </c>
      <c r="D170">
        <v>4</v>
      </c>
      <c r="E170" t="s">
        <v>224</v>
      </c>
      <c r="F170" t="s">
        <v>28</v>
      </c>
      <c r="G170">
        <f>VLOOKUP(E170,'25 Draft ADP'!$B$3:$D$505,3,FALSE)</f>
        <v>20</v>
      </c>
      <c r="H170">
        <v>17</v>
      </c>
      <c r="I170">
        <v>12.8</v>
      </c>
      <c r="J170">
        <v>29.5</v>
      </c>
      <c r="K170">
        <v>32.799999999999997</v>
      </c>
      <c r="L170">
        <v>14.6</v>
      </c>
      <c r="M170">
        <v>31.6</v>
      </c>
      <c r="N170">
        <v>23.7</v>
      </c>
      <c r="O170">
        <v>34.200000000000003</v>
      </c>
      <c r="P170">
        <v>37.4</v>
      </c>
      <c r="Q170">
        <v>7.7</v>
      </c>
      <c r="R170">
        <v>49.6</v>
      </c>
      <c r="S170" t="s">
        <v>22</v>
      </c>
      <c r="T170">
        <v>8.6</v>
      </c>
      <c r="U170">
        <v>15.1</v>
      </c>
      <c r="V170">
        <v>11.4</v>
      </c>
      <c r="W170">
        <v>13.1</v>
      </c>
      <c r="X170">
        <v>16.899999999999999</v>
      </c>
      <c r="Y170">
        <v>17.399999999999999</v>
      </c>
      <c r="Z170">
        <v>5.9</v>
      </c>
      <c r="AA170">
        <v>21.3</v>
      </c>
      <c r="AB170">
        <f t="shared" si="4"/>
        <v>356.40000000000003</v>
      </c>
      <c r="AC170">
        <v>362.3</v>
      </c>
      <c r="AD170">
        <v>2</v>
      </c>
      <c r="AE170">
        <f t="shared" si="5"/>
        <v>14</v>
      </c>
      <c r="AF170">
        <v>10</v>
      </c>
      <c r="AG170">
        <v>7</v>
      </c>
      <c r="AH170">
        <v>6</v>
      </c>
      <c r="AI170">
        <v>5</v>
      </c>
      <c r="AJ170">
        <v>0.82352941176470584</v>
      </c>
      <c r="AK170">
        <v>0.58823529411764708</v>
      </c>
      <c r="AL170">
        <v>0.41176470588235292</v>
      </c>
      <c r="AM170">
        <v>0.35294117647058826</v>
      </c>
      <c r="AN170">
        <v>0.29411764705882354</v>
      </c>
    </row>
    <row r="171" spans="1:40" x14ac:dyDescent="0.25">
      <c r="A171">
        <v>2025</v>
      </c>
      <c r="B171" t="s">
        <v>220</v>
      </c>
      <c r="C171" t="str">
        <f>IF(COUNTIF('Rookies 22-25'!$B$198:$B$349,E171)&gt;0,"(R)","No")</f>
        <v>No</v>
      </c>
      <c r="D171">
        <v>5</v>
      </c>
      <c r="E171" t="s">
        <v>225</v>
      </c>
      <c r="F171" t="s">
        <v>84</v>
      </c>
      <c r="G171">
        <f>VLOOKUP(E171,'25 Draft ADP'!$B$3:$D$505,3,FALSE)</f>
        <v>17</v>
      </c>
      <c r="H171">
        <v>16</v>
      </c>
      <c r="I171">
        <v>16.5</v>
      </c>
      <c r="J171">
        <v>26.2</v>
      </c>
      <c r="K171">
        <v>16.100000000000001</v>
      </c>
      <c r="L171">
        <v>17.100000000000001</v>
      </c>
      <c r="M171">
        <v>16.600000000000001</v>
      </c>
      <c r="N171">
        <v>31</v>
      </c>
      <c r="O171">
        <v>12.8</v>
      </c>
      <c r="P171">
        <v>20.100000000000001</v>
      </c>
      <c r="Q171">
        <v>16.600000000000001</v>
      </c>
      <c r="R171">
        <v>40.5</v>
      </c>
      <c r="S171">
        <v>21.5</v>
      </c>
      <c r="T171" t="s">
        <v>22</v>
      </c>
      <c r="U171">
        <v>19.399999999999999</v>
      </c>
      <c r="V171">
        <v>17.5</v>
      </c>
      <c r="W171">
        <v>18.7</v>
      </c>
      <c r="X171">
        <v>18</v>
      </c>
      <c r="Y171">
        <v>14.2</v>
      </c>
      <c r="Z171">
        <v>0</v>
      </c>
      <c r="AA171">
        <v>20.2</v>
      </c>
      <c r="AB171">
        <f t="shared" si="4"/>
        <v>322.8</v>
      </c>
      <c r="AC171">
        <v>322.8</v>
      </c>
      <c r="AD171">
        <v>2</v>
      </c>
      <c r="AE171">
        <f t="shared" si="5"/>
        <v>16</v>
      </c>
      <c r="AF171">
        <v>14</v>
      </c>
      <c r="AG171">
        <v>5</v>
      </c>
      <c r="AH171">
        <v>3</v>
      </c>
      <c r="AI171">
        <v>2</v>
      </c>
      <c r="AJ171">
        <v>0.94117647058823528</v>
      </c>
      <c r="AK171">
        <v>0.875</v>
      </c>
      <c r="AL171">
        <v>0.3125</v>
      </c>
      <c r="AM171">
        <v>0.1875</v>
      </c>
      <c r="AN171">
        <v>0.125</v>
      </c>
    </row>
    <row r="172" spans="1:40" x14ac:dyDescent="0.25">
      <c r="A172">
        <v>2025</v>
      </c>
      <c r="B172" t="s">
        <v>220</v>
      </c>
      <c r="C172" t="str">
        <f>IF(COUNTIF('Rookies 22-25'!$B$198:$B$349,E172)&gt;0,"(R)","No")</f>
        <v>No</v>
      </c>
      <c r="D172">
        <v>6</v>
      </c>
      <c r="E172" t="s">
        <v>226</v>
      </c>
      <c r="F172" t="s">
        <v>61</v>
      </c>
      <c r="G172">
        <f>VLOOKUP(E172,'25 Draft ADP'!$B$3:$D$505,3,FALSE)</f>
        <v>33</v>
      </c>
      <c r="H172">
        <v>17</v>
      </c>
      <c r="I172">
        <v>21.2</v>
      </c>
      <c r="J172">
        <v>26.5</v>
      </c>
      <c r="K172">
        <v>20.8</v>
      </c>
      <c r="L172">
        <v>22.5</v>
      </c>
      <c r="M172">
        <v>4.9000000000000004</v>
      </c>
      <c r="N172">
        <v>8.6999999999999993</v>
      </c>
      <c r="O172" t="s">
        <v>22</v>
      </c>
      <c r="P172">
        <v>33.6</v>
      </c>
      <c r="Q172">
        <v>13.5</v>
      </c>
      <c r="R172">
        <v>10.7</v>
      </c>
      <c r="S172">
        <v>20.399999999999999</v>
      </c>
      <c r="T172">
        <v>21.9</v>
      </c>
      <c r="U172">
        <v>18.7</v>
      </c>
      <c r="V172">
        <v>11.1</v>
      </c>
      <c r="W172">
        <v>31.1</v>
      </c>
      <c r="X172">
        <v>26.4</v>
      </c>
      <c r="Y172">
        <v>8.6999999999999993</v>
      </c>
      <c r="Z172">
        <v>1.5</v>
      </c>
      <c r="AA172">
        <v>17.8</v>
      </c>
      <c r="AB172">
        <f t="shared" si="4"/>
        <v>300.7</v>
      </c>
      <c r="AC172">
        <v>302.2</v>
      </c>
      <c r="AD172">
        <v>3</v>
      </c>
      <c r="AE172">
        <f t="shared" si="5"/>
        <v>13</v>
      </c>
      <c r="AF172">
        <v>10</v>
      </c>
      <c r="AG172">
        <v>9</v>
      </c>
      <c r="AH172">
        <v>4</v>
      </c>
      <c r="AI172">
        <v>2</v>
      </c>
      <c r="AJ172">
        <v>0.76470588235294112</v>
      </c>
      <c r="AK172">
        <v>0.58823529411764708</v>
      </c>
      <c r="AL172">
        <v>0.52941176470588236</v>
      </c>
      <c r="AM172">
        <v>0.23529411764705882</v>
      </c>
      <c r="AN172">
        <v>0.11764705882352941</v>
      </c>
    </row>
    <row r="173" spans="1:40" x14ac:dyDescent="0.25">
      <c r="A173">
        <v>2025</v>
      </c>
      <c r="B173" t="s">
        <v>220</v>
      </c>
      <c r="C173" t="str">
        <f>IF(COUNTIF('Rookies 22-25'!$B$198:$B$349,E173)&gt;0,"(R)","No")</f>
        <v>No</v>
      </c>
      <c r="D173">
        <v>7</v>
      </c>
      <c r="E173" t="s">
        <v>227</v>
      </c>
      <c r="F173" t="s">
        <v>89</v>
      </c>
      <c r="G173">
        <f>VLOOKUP(E173,'25 Draft ADP'!$B$3:$D$505,3,FALSE)</f>
        <v>16</v>
      </c>
      <c r="H173">
        <v>17</v>
      </c>
      <c r="I173">
        <v>13.1</v>
      </c>
      <c r="J173">
        <v>8.5</v>
      </c>
      <c r="K173">
        <v>6</v>
      </c>
      <c r="L173">
        <v>10.1</v>
      </c>
      <c r="M173">
        <v>11.8</v>
      </c>
      <c r="N173">
        <v>8.9</v>
      </c>
      <c r="O173">
        <v>12</v>
      </c>
      <c r="P173">
        <v>25.5</v>
      </c>
      <c r="Q173">
        <v>19.2</v>
      </c>
      <c r="R173" t="s">
        <v>22</v>
      </c>
      <c r="S173">
        <v>18.7</v>
      </c>
      <c r="T173">
        <v>15</v>
      </c>
      <c r="U173">
        <v>18.3</v>
      </c>
      <c r="V173">
        <v>18.5</v>
      </c>
      <c r="W173">
        <v>16</v>
      </c>
      <c r="X173">
        <v>32.9</v>
      </c>
      <c r="Y173">
        <v>29.1</v>
      </c>
      <c r="Z173">
        <v>19</v>
      </c>
      <c r="AA173">
        <v>16.600000000000001</v>
      </c>
      <c r="AB173">
        <f t="shared" si="4"/>
        <v>263.60000000000002</v>
      </c>
      <c r="AC173">
        <v>282.60000000000002</v>
      </c>
      <c r="AD173">
        <v>2</v>
      </c>
      <c r="AE173">
        <f t="shared" si="5"/>
        <v>13</v>
      </c>
      <c r="AF173">
        <v>9</v>
      </c>
      <c r="AG173">
        <v>3</v>
      </c>
      <c r="AH173">
        <v>3</v>
      </c>
      <c r="AI173">
        <v>1</v>
      </c>
      <c r="AJ173">
        <v>0.82352941176470584</v>
      </c>
      <c r="AK173">
        <v>0.52941176470588236</v>
      </c>
      <c r="AL173">
        <v>0.17647058823529413</v>
      </c>
      <c r="AM173">
        <v>0.17647058823529413</v>
      </c>
      <c r="AN173">
        <v>5.8823529411764705E-2</v>
      </c>
    </row>
    <row r="174" spans="1:40" x14ac:dyDescent="0.25">
      <c r="A174">
        <v>2025</v>
      </c>
      <c r="B174" t="s">
        <v>220</v>
      </c>
      <c r="C174" t="str">
        <f>IF(COUNTIF('Rookies 22-25'!$B$198:$B$349,E174)&gt;0,"(R)","No")</f>
        <v>No</v>
      </c>
      <c r="D174">
        <v>8</v>
      </c>
      <c r="E174" t="s">
        <v>228</v>
      </c>
      <c r="F174" t="s">
        <v>53</v>
      </c>
      <c r="G174">
        <f>VLOOKUP(E174,'25 Draft ADP'!$B$3:$D$505,3,FALSE)</f>
        <v>12</v>
      </c>
      <c r="H174">
        <v>17</v>
      </c>
      <c r="I174">
        <v>29.2</v>
      </c>
      <c r="J174">
        <v>2.2999999999999998</v>
      </c>
      <c r="K174">
        <v>10.7</v>
      </c>
      <c r="L174">
        <v>7.8</v>
      </c>
      <c r="M174">
        <v>9.3000000000000007</v>
      </c>
      <c r="N174">
        <v>14</v>
      </c>
      <c r="O174" t="s">
        <v>22</v>
      </c>
      <c r="P174">
        <v>19.100000000000001</v>
      </c>
      <c r="Q174">
        <v>13.1</v>
      </c>
      <c r="R174">
        <v>11.4</v>
      </c>
      <c r="S174">
        <v>20.2</v>
      </c>
      <c r="T174">
        <v>22.8</v>
      </c>
      <c r="U174">
        <v>17.399999999999999</v>
      </c>
      <c r="V174">
        <v>11.2</v>
      </c>
      <c r="W174">
        <v>10</v>
      </c>
      <c r="X174">
        <v>22.8</v>
      </c>
      <c r="Y174">
        <v>45.6</v>
      </c>
      <c r="Z174">
        <v>12.6</v>
      </c>
      <c r="AA174">
        <v>16.399999999999999</v>
      </c>
      <c r="AB174">
        <f t="shared" si="4"/>
        <v>266.89999999999998</v>
      </c>
      <c r="AC174">
        <v>279.5</v>
      </c>
      <c r="AD174">
        <v>1</v>
      </c>
      <c r="AE174">
        <f t="shared" si="5"/>
        <v>12</v>
      </c>
      <c r="AF174">
        <v>7</v>
      </c>
      <c r="AG174">
        <v>5</v>
      </c>
      <c r="AH174">
        <v>2</v>
      </c>
      <c r="AI174">
        <v>1</v>
      </c>
      <c r="AJ174">
        <v>0.76470588235294112</v>
      </c>
      <c r="AK174">
        <v>0.41176470588235292</v>
      </c>
      <c r="AL174">
        <v>0.29411764705882354</v>
      </c>
      <c r="AM174">
        <v>0.11764705882352941</v>
      </c>
      <c r="AN174">
        <v>5.8823529411764705E-2</v>
      </c>
    </row>
    <row r="175" spans="1:40" x14ac:dyDescent="0.25">
      <c r="A175">
        <v>2025</v>
      </c>
      <c r="B175" t="s">
        <v>220</v>
      </c>
      <c r="C175" t="str">
        <f>IF(COUNTIF('Rookies 22-25'!$B$198:$B$349,E175)&gt;0,"(R)","No")</f>
        <v>No</v>
      </c>
      <c r="D175">
        <v>9</v>
      </c>
      <c r="E175" t="s">
        <v>229</v>
      </c>
      <c r="F175" t="s">
        <v>55</v>
      </c>
      <c r="G175">
        <f>VLOOKUP(E175,'25 Draft ADP'!$B$3:$D$505,3,FALSE)</f>
        <v>27</v>
      </c>
      <c r="H175">
        <v>17</v>
      </c>
      <c r="I175">
        <v>13.9</v>
      </c>
      <c r="J175">
        <v>10</v>
      </c>
      <c r="K175">
        <v>19.2</v>
      </c>
      <c r="L175">
        <v>10.4</v>
      </c>
      <c r="M175">
        <v>31.1</v>
      </c>
      <c r="N175">
        <v>16.7</v>
      </c>
      <c r="O175">
        <v>8.5</v>
      </c>
      <c r="P175" t="s">
        <v>22</v>
      </c>
      <c r="Q175">
        <v>17.399999999999999</v>
      </c>
      <c r="R175">
        <v>22.4</v>
      </c>
      <c r="S175">
        <v>16.600000000000001</v>
      </c>
      <c r="T175">
        <v>5.8</v>
      </c>
      <c r="U175">
        <v>13.2</v>
      </c>
      <c r="V175">
        <v>17.7</v>
      </c>
      <c r="W175">
        <v>21.8</v>
      </c>
      <c r="X175">
        <v>11.5</v>
      </c>
      <c r="Y175">
        <v>16</v>
      </c>
      <c r="Z175">
        <v>11.1</v>
      </c>
      <c r="AA175">
        <v>15.5</v>
      </c>
      <c r="AB175">
        <f t="shared" si="4"/>
        <v>252.20000000000002</v>
      </c>
      <c r="AC175">
        <v>263.3</v>
      </c>
      <c r="AD175">
        <v>3</v>
      </c>
      <c r="AE175">
        <f t="shared" si="5"/>
        <v>13</v>
      </c>
      <c r="AF175">
        <v>9</v>
      </c>
      <c r="AG175">
        <v>3</v>
      </c>
      <c r="AH175">
        <v>1</v>
      </c>
      <c r="AI175">
        <v>1</v>
      </c>
      <c r="AJ175">
        <v>0.82352941176470584</v>
      </c>
      <c r="AK175">
        <v>0.52941176470588236</v>
      </c>
      <c r="AL175">
        <v>0.17647058823529413</v>
      </c>
      <c r="AM175">
        <v>5.8823529411764705E-2</v>
      </c>
      <c r="AN175">
        <v>5.8823529411764705E-2</v>
      </c>
    </row>
    <row r="176" spans="1:40" x14ac:dyDescent="0.25">
      <c r="A176">
        <v>2025</v>
      </c>
      <c r="B176" t="s">
        <v>220</v>
      </c>
      <c r="C176" t="str">
        <f>IF(COUNTIF('Rookies 22-25'!$B$198:$B$349,E176)&gt;0,"(R)","No")</f>
        <v>No</v>
      </c>
      <c r="D176">
        <v>10</v>
      </c>
      <c r="E176" t="s">
        <v>230</v>
      </c>
      <c r="F176" t="s">
        <v>67</v>
      </c>
      <c r="G176">
        <f>VLOOKUP(E176,'25 Draft ADP'!$B$3:$D$505,3,FALSE)</f>
        <v>100</v>
      </c>
      <c r="H176">
        <v>17</v>
      </c>
      <c r="I176">
        <v>18.600000000000001</v>
      </c>
      <c r="J176">
        <v>16.899999999999999</v>
      </c>
      <c r="K176">
        <v>11.6</v>
      </c>
      <c r="L176">
        <v>19.5</v>
      </c>
      <c r="M176">
        <v>8.8000000000000007</v>
      </c>
      <c r="N176">
        <v>9.5</v>
      </c>
      <c r="O176">
        <v>6.5</v>
      </c>
      <c r="P176" t="s">
        <v>22</v>
      </c>
      <c r="Q176">
        <v>16.5</v>
      </c>
      <c r="R176">
        <v>15.7</v>
      </c>
      <c r="S176">
        <v>19.3</v>
      </c>
      <c r="T176">
        <v>20.6</v>
      </c>
      <c r="U176">
        <v>5.0999999999999996</v>
      </c>
      <c r="V176">
        <v>21.2</v>
      </c>
      <c r="W176">
        <v>31.5</v>
      </c>
      <c r="X176">
        <v>16.600000000000001</v>
      </c>
      <c r="Y176">
        <v>11.2</v>
      </c>
      <c r="Z176">
        <v>4.8</v>
      </c>
      <c r="AA176">
        <v>14.9</v>
      </c>
      <c r="AB176">
        <f t="shared" si="4"/>
        <v>249.1</v>
      </c>
      <c r="AC176">
        <v>253.9</v>
      </c>
      <c r="AD176">
        <v>9</v>
      </c>
      <c r="AE176">
        <f t="shared" si="5"/>
        <v>12</v>
      </c>
      <c r="AF176">
        <v>10</v>
      </c>
      <c r="AG176">
        <v>3</v>
      </c>
      <c r="AH176">
        <v>1</v>
      </c>
      <c r="AI176">
        <v>1</v>
      </c>
      <c r="AJ176">
        <v>0.70588235294117652</v>
      </c>
      <c r="AK176">
        <v>0.58823529411764708</v>
      </c>
      <c r="AL176">
        <v>0.17647058823529413</v>
      </c>
      <c r="AM176">
        <v>5.8823529411764705E-2</v>
      </c>
      <c r="AN176">
        <v>5.8823529411764705E-2</v>
      </c>
    </row>
    <row r="177" spans="1:40" x14ac:dyDescent="0.25">
      <c r="A177">
        <v>2025</v>
      </c>
      <c r="B177" t="s">
        <v>220</v>
      </c>
      <c r="C177" t="str">
        <f>IF(COUNTIF('Rookies 22-25'!$B$198:$B$349,E177)&gt;0,"(R)","No")</f>
        <v>(R)</v>
      </c>
      <c r="D177">
        <v>11</v>
      </c>
      <c r="E177" t="s">
        <v>231</v>
      </c>
      <c r="F177" t="s">
        <v>43</v>
      </c>
      <c r="G177">
        <f>VLOOKUP(E177,'25 Draft ADP'!$B$3:$D$505,3,FALSE)</f>
        <v>11</v>
      </c>
      <c r="H177">
        <v>17</v>
      </c>
      <c r="I177">
        <v>12</v>
      </c>
      <c r="J177">
        <v>7.4</v>
      </c>
      <c r="K177">
        <v>6.3</v>
      </c>
      <c r="L177">
        <v>33.5</v>
      </c>
      <c r="M177">
        <v>15.9</v>
      </c>
      <c r="N177">
        <v>16.600000000000001</v>
      </c>
      <c r="O177">
        <v>4.4000000000000004</v>
      </c>
      <c r="P177" t="s">
        <v>22</v>
      </c>
      <c r="Q177">
        <v>19.899999999999999</v>
      </c>
      <c r="R177">
        <v>15.3</v>
      </c>
      <c r="S177">
        <v>9.4</v>
      </c>
      <c r="T177">
        <v>24.8</v>
      </c>
      <c r="U177">
        <v>12.1</v>
      </c>
      <c r="V177">
        <v>5.8</v>
      </c>
      <c r="W177">
        <v>8.1999999999999993</v>
      </c>
      <c r="X177">
        <v>31.8</v>
      </c>
      <c r="Y177">
        <v>9.3000000000000007</v>
      </c>
      <c r="Z177">
        <v>12.4</v>
      </c>
      <c r="AA177">
        <v>14.4</v>
      </c>
      <c r="AB177">
        <f t="shared" si="4"/>
        <v>232.7</v>
      </c>
      <c r="AC177">
        <v>245.1</v>
      </c>
      <c r="AD177">
        <v>1</v>
      </c>
      <c r="AE177">
        <f t="shared" si="5"/>
        <v>9</v>
      </c>
      <c r="AF177">
        <v>7</v>
      </c>
      <c r="AG177">
        <v>3</v>
      </c>
      <c r="AH177">
        <v>2</v>
      </c>
      <c r="AI177">
        <v>2</v>
      </c>
      <c r="AJ177">
        <v>0.58823529411764708</v>
      </c>
      <c r="AK177">
        <v>0.41176470588235292</v>
      </c>
      <c r="AL177">
        <v>0.17647058823529413</v>
      </c>
      <c r="AM177">
        <v>0.11764705882352941</v>
      </c>
      <c r="AN177">
        <v>0.11764705882352941</v>
      </c>
    </row>
    <row r="178" spans="1:40" x14ac:dyDescent="0.25">
      <c r="A178">
        <v>2025</v>
      </c>
      <c r="B178" t="s">
        <v>220</v>
      </c>
      <c r="C178" t="str">
        <f>IF(COUNTIF('Rookies 22-25'!$B$198:$B$349,E178)&gt;0,"(R)","No")</f>
        <v>No</v>
      </c>
      <c r="D178">
        <v>12</v>
      </c>
      <c r="E178" t="s">
        <v>232</v>
      </c>
      <c r="F178" t="s">
        <v>30</v>
      </c>
      <c r="G178">
        <f>VLOOKUP(E178,'25 Draft ADP'!$B$3:$D$505,3,FALSE)</f>
        <v>112</v>
      </c>
      <c r="H178">
        <v>16</v>
      </c>
      <c r="I178">
        <v>20.399999999999999</v>
      </c>
      <c r="J178">
        <v>25</v>
      </c>
      <c r="K178">
        <v>12.2</v>
      </c>
      <c r="L178">
        <v>19</v>
      </c>
      <c r="M178">
        <v>26.9</v>
      </c>
      <c r="N178">
        <v>8.4</v>
      </c>
      <c r="O178">
        <v>18.8</v>
      </c>
      <c r="P178">
        <v>17.899999999999999</v>
      </c>
      <c r="Q178">
        <v>7.3</v>
      </c>
      <c r="R178" t="s">
        <v>22</v>
      </c>
      <c r="S178">
        <v>10.3</v>
      </c>
      <c r="T178">
        <v>12.1</v>
      </c>
      <c r="U178">
        <v>17</v>
      </c>
      <c r="V178">
        <v>14.7</v>
      </c>
      <c r="W178">
        <v>15.1</v>
      </c>
      <c r="X178">
        <v>6.3</v>
      </c>
      <c r="Y178">
        <v>11.4</v>
      </c>
      <c r="Z178">
        <v>0</v>
      </c>
      <c r="AA178">
        <v>15.2</v>
      </c>
      <c r="AB178">
        <f t="shared" si="4"/>
        <v>242.8</v>
      </c>
      <c r="AC178">
        <v>242.8</v>
      </c>
      <c r="AD178">
        <v>9</v>
      </c>
      <c r="AE178">
        <f t="shared" si="5"/>
        <v>13</v>
      </c>
      <c r="AF178">
        <v>8</v>
      </c>
      <c r="AG178">
        <v>3</v>
      </c>
      <c r="AH178">
        <v>1</v>
      </c>
      <c r="AI178">
        <v>0</v>
      </c>
      <c r="AJ178">
        <v>0.76470588235294112</v>
      </c>
      <c r="AK178">
        <v>0.5</v>
      </c>
      <c r="AL178">
        <v>0.1875</v>
      </c>
      <c r="AM178">
        <v>6.25E-2</v>
      </c>
      <c r="AN178">
        <v>0</v>
      </c>
    </row>
    <row r="179" spans="1:40" x14ac:dyDescent="0.25">
      <c r="A179">
        <v>2025</v>
      </c>
      <c r="B179" t="s">
        <v>220</v>
      </c>
      <c r="C179" t="str">
        <f>IF(COUNTIF('Rookies 22-25'!$B$198:$B$349,E179)&gt;0,"(R)","No")</f>
        <v>No</v>
      </c>
      <c r="D179">
        <v>13</v>
      </c>
      <c r="E179" t="s">
        <v>233</v>
      </c>
      <c r="F179" t="s">
        <v>69</v>
      </c>
      <c r="G179">
        <f>VLOOKUP(E179,'25 Draft ADP'!$B$3:$D$505,3,FALSE)</f>
        <v>21</v>
      </c>
      <c r="H179">
        <v>15</v>
      </c>
      <c r="I179">
        <v>14</v>
      </c>
      <c r="J179">
        <v>14.4</v>
      </c>
      <c r="K179">
        <v>12.4</v>
      </c>
      <c r="L179">
        <v>31.7</v>
      </c>
      <c r="M179" t="s">
        <v>22</v>
      </c>
      <c r="N179">
        <v>32</v>
      </c>
      <c r="O179">
        <v>18.8</v>
      </c>
      <c r="P179">
        <v>13.5</v>
      </c>
      <c r="Q179">
        <v>20</v>
      </c>
      <c r="R179">
        <v>19.7</v>
      </c>
      <c r="S179">
        <v>4</v>
      </c>
      <c r="T179" t="s">
        <v>33</v>
      </c>
      <c r="U179">
        <v>10.1</v>
      </c>
      <c r="V179">
        <v>17.2</v>
      </c>
      <c r="W179">
        <v>23.2</v>
      </c>
      <c r="X179">
        <v>4.8</v>
      </c>
      <c r="Y179">
        <v>1.3</v>
      </c>
      <c r="Z179">
        <v>0</v>
      </c>
      <c r="AA179">
        <v>15.8</v>
      </c>
      <c r="AB179">
        <f t="shared" si="4"/>
        <v>237.1</v>
      </c>
      <c r="AC179">
        <v>237.1</v>
      </c>
      <c r="AD179">
        <v>2</v>
      </c>
      <c r="AE179">
        <f t="shared" si="5"/>
        <v>12</v>
      </c>
      <c r="AF179">
        <v>7</v>
      </c>
      <c r="AG179">
        <v>3</v>
      </c>
      <c r="AH179">
        <v>2</v>
      </c>
      <c r="AI179">
        <v>2</v>
      </c>
      <c r="AJ179">
        <v>0.70588235294117652</v>
      </c>
      <c r="AK179">
        <v>0.46666666666666667</v>
      </c>
      <c r="AL179">
        <v>0.2</v>
      </c>
      <c r="AM179">
        <v>0.13333333333333333</v>
      </c>
      <c r="AN179">
        <v>0.13333333333333333</v>
      </c>
    </row>
    <row r="180" spans="1:40" x14ac:dyDescent="0.25">
      <c r="A180">
        <v>2025</v>
      </c>
      <c r="B180" t="s">
        <v>220</v>
      </c>
      <c r="C180" t="str">
        <f>IF(COUNTIF('Rookies 22-25'!$B$198:$B$349,E180)&gt;0,"(R)","No")</f>
        <v>No</v>
      </c>
      <c r="D180">
        <v>14</v>
      </c>
      <c r="E180" t="s">
        <v>234</v>
      </c>
      <c r="F180" t="s">
        <v>35</v>
      </c>
      <c r="G180">
        <f>VLOOKUP(E180,'25 Draft ADP'!$B$3:$D$505,3,FALSE)</f>
        <v>5</v>
      </c>
      <c r="H180">
        <v>16</v>
      </c>
      <c r="I180">
        <v>18.399999999999999</v>
      </c>
      <c r="J180">
        <v>17.399999999999999</v>
      </c>
      <c r="K180">
        <v>9.5</v>
      </c>
      <c r="L180">
        <v>17.399999999999999</v>
      </c>
      <c r="M180">
        <v>17.8</v>
      </c>
      <c r="N180">
        <v>8.6999999999999993</v>
      </c>
      <c r="O180">
        <v>5.2</v>
      </c>
      <c r="P180">
        <v>33.4</v>
      </c>
      <c r="Q180" t="s">
        <v>22</v>
      </c>
      <c r="R180">
        <v>13.1</v>
      </c>
      <c r="S180">
        <v>10</v>
      </c>
      <c r="T180">
        <v>12.4</v>
      </c>
      <c r="U180">
        <v>5.6</v>
      </c>
      <c r="V180">
        <v>18.2</v>
      </c>
      <c r="W180">
        <v>17.2</v>
      </c>
      <c r="X180">
        <v>21.2</v>
      </c>
      <c r="Y180">
        <v>6.8</v>
      </c>
      <c r="Z180">
        <v>0</v>
      </c>
      <c r="AA180">
        <v>14.5</v>
      </c>
      <c r="AB180">
        <f t="shared" si="4"/>
        <v>232.3</v>
      </c>
      <c r="AC180">
        <v>232.3</v>
      </c>
      <c r="AD180">
        <v>1</v>
      </c>
      <c r="AE180">
        <f t="shared" si="5"/>
        <v>10</v>
      </c>
      <c r="AF180">
        <v>8</v>
      </c>
      <c r="AG180">
        <v>2</v>
      </c>
      <c r="AH180">
        <v>1</v>
      </c>
      <c r="AI180">
        <v>1</v>
      </c>
      <c r="AJ180">
        <v>0.58823529411764708</v>
      </c>
      <c r="AK180">
        <v>0.5</v>
      </c>
      <c r="AL180">
        <v>0.125</v>
      </c>
      <c r="AM180">
        <v>6.25E-2</v>
      </c>
      <c r="AN180">
        <v>6.25E-2</v>
      </c>
    </row>
    <row r="181" spans="1:40" x14ac:dyDescent="0.25">
      <c r="A181">
        <v>2025</v>
      </c>
      <c r="B181" t="s">
        <v>220</v>
      </c>
      <c r="C181" t="str">
        <f>IF(COUNTIF('Rookies 22-25'!$B$198:$B$349,E181)&gt;0,"(R)","No")</f>
        <v>No</v>
      </c>
      <c r="D181">
        <v>15</v>
      </c>
      <c r="E181" t="s">
        <v>235</v>
      </c>
      <c r="F181" t="s">
        <v>45</v>
      </c>
      <c r="G181">
        <f>VLOOKUP(E181,'25 Draft ADP'!$B$3:$D$505,3,FALSE)</f>
        <v>58</v>
      </c>
      <c r="H181">
        <v>16</v>
      </c>
      <c r="I181">
        <v>9.5</v>
      </c>
      <c r="J181">
        <v>13.9</v>
      </c>
      <c r="K181">
        <v>10.8</v>
      </c>
      <c r="L181">
        <v>16</v>
      </c>
      <c r="M181" t="s">
        <v>22</v>
      </c>
      <c r="N181">
        <v>25.5</v>
      </c>
      <c r="O181">
        <v>20.8</v>
      </c>
      <c r="P181">
        <v>15.1</v>
      </c>
      <c r="Q181" t="s">
        <v>33</v>
      </c>
      <c r="R181">
        <v>14.8</v>
      </c>
      <c r="S181">
        <v>9</v>
      </c>
      <c r="T181">
        <v>1.9</v>
      </c>
      <c r="U181">
        <v>20.8</v>
      </c>
      <c r="V181">
        <v>11.2</v>
      </c>
      <c r="W181">
        <v>22.6</v>
      </c>
      <c r="X181">
        <v>9</v>
      </c>
      <c r="Y181">
        <v>21.9</v>
      </c>
      <c r="Z181">
        <v>5.8</v>
      </c>
      <c r="AA181">
        <v>14.3</v>
      </c>
      <c r="AB181">
        <f t="shared" si="4"/>
        <v>222.79999999999998</v>
      </c>
      <c r="AC181">
        <v>228.6</v>
      </c>
      <c r="AD181">
        <v>6</v>
      </c>
      <c r="AE181">
        <f t="shared" si="5"/>
        <v>11</v>
      </c>
      <c r="AF181">
        <v>7</v>
      </c>
      <c r="AG181">
        <v>5</v>
      </c>
      <c r="AH181">
        <v>1</v>
      </c>
      <c r="AI181">
        <v>0</v>
      </c>
      <c r="AJ181">
        <v>0.6470588235294118</v>
      </c>
      <c r="AK181">
        <v>0.4375</v>
      </c>
      <c r="AL181">
        <v>0.3125</v>
      </c>
      <c r="AM181">
        <v>6.25E-2</v>
      </c>
      <c r="AN181">
        <v>0</v>
      </c>
    </row>
    <row r="182" spans="1:40" x14ac:dyDescent="0.25">
      <c r="A182">
        <v>2025</v>
      </c>
      <c r="B182" t="s">
        <v>220</v>
      </c>
      <c r="C182" t="str">
        <f>IF(COUNTIF('Rookies 22-25'!$B$198:$B$349,E182)&gt;0,"(R)","No")</f>
        <v>No</v>
      </c>
      <c r="D182">
        <v>16</v>
      </c>
      <c r="E182" t="s">
        <v>236</v>
      </c>
      <c r="F182" t="s">
        <v>71</v>
      </c>
      <c r="G182">
        <f>VLOOKUP(E182,'25 Draft ADP'!$B$3:$D$505,3,FALSE)</f>
        <v>248</v>
      </c>
      <c r="H182">
        <v>17</v>
      </c>
      <c r="I182">
        <v>5.3</v>
      </c>
      <c r="J182">
        <v>6.6</v>
      </c>
      <c r="K182">
        <v>9.6</v>
      </c>
      <c r="L182">
        <v>31.4</v>
      </c>
      <c r="M182" t="s">
        <v>22</v>
      </c>
      <c r="N182">
        <v>9.6</v>
      </c>
      <c r="O182">
        <v>3.5</v>
      </c>
      <c r="P182">
        <v>3.5</v>
      </c>
      <c r="Q182">
        <v>7.4</v>
      </c>
      <c r="R182">
        <v>2.4</v>
      </c>
      <c r="S182">
        <v>29.5</v>
      </c>
      <c r="T182">
        <v>18.2</v>
      </c>
      <c r="U182">
        <v>6.5</v>
      </c>
      <c r="V182">
        <v>16.2</v>
      </c>
      <c r="W182">
        <v>19.600000000000001</v>
      </c>
      <c r="X182">
        <v>23.8</v>
      </c>
      <c r="Y182">
        <v>6.8</v>
      </c>
      <c r="Z182">
        <v>21.4</v>
      </c>
      <c r="AA182">
        <v>13</v>
      </c>
      <c r="AB182">
        <f t="shared" si="4"/>
        <v>199.9</v>
      </c>
      <c r="AC182">
        <v>221.3</v>
      </c>
      <c r="AD182">
        <v>20</v>
      </c>
      <c r="AE182">
        <f t="shared" si="5"/>
        <v>6</v>
      </c>
      <c r="AF182">
        <v>7</v>
      </c>
      <c r="AG182">
        <v>4</v>
      </c>
      <c r="AH182">
        <v>2</v>
      </c>
      <c r="AI182">
        <v>1</v>
      </c>
      <c r="AJ182">
        <v>0.41176470588235292</v>
      </c>
      <c r="AK182">
        <v>0.41176470588235292</v>
      </c>
      <c r="AL182">
        <v>0.23529411764705882</v>
      </c>
      <c r="AM182">
        <v>0.11764705882352941</v>
      </c>
      <c r="AN182">
        <v>5.8823529411764705E-2</v>
      </c>
    </row>
    <row r="183" spans="1:40" x14ac:dyDescent="0.25">
      <c r="A183">
        <v>2025</v>
      </c>
      <c r="B183" t="s">
        <v>220</v>
      </c>
      <c r="C183" t="str">
        <f>IF(COUNTIF('Rookies 22-25'!$B$198:$B$349,E183)&gt;0,"(R)","No")</f>
        <v>No</v>
      </c>
      <c r="D183">
        <v>17</v>
      </c>
      <c r="E183" t="s">
        <v>237</v>
      </c>
      <c r="F183" t="s">
        <v>71</v>
      </c>
      <c r="G183">
        <f>VLOOKUP(E183,'25 Draft ADP'!$B$3:$D$505,3,FALSE)</f>
        <v>86</v>
      </c>
      <c r="H183">
        <v>16</v>
      </c>
      <c r="I183">
        <v>13.9</v>
      </c>
      <c r="J183">
        <v>17.399999999999999</v>
      </c>
      <c r="K183">
        <v>13.1</v>
      </c>
      <c r="L183" t="s">
        <v>33</v>
      </c>
      <c r="M183" t="s">
        <v>22</v>
      </c>
      <c r="N183">
        <v>8.3000000000000007</v>
      </c>
      <c r="O183">
        <v>19.8</v>
      </c>
      <c r="P183">
        <v>9.3000000000000007</v>
      </c>
      <c r="Q183">
        <v>16.899999999999999</v>
      </c>
      <c r="R183">
        <v>11.1</v>
      </c>
      <c r="S183">
        <v>8.6999999999999993</v>
      </c>
      <c r="T183">
        <v>12.8</v>
      </c>
      <c r="U183">
        <v>12.4</v>
      </c>
      <c r="V183">
        <v>15.2</v>
      </c>
      <c r="W183">
        <v>7.8</v>
      </c>
      <c r="X183">
        <v>29.1</v>
      </c>
      <c r="Y183">
        <v>6.4</v>
      </c>
      <c r="Z183">
        <v>14.9</v>
      </c>
      <c r="AA183">
        <v>13.6</v>
      </c>
      <c r="AB183">
        <f t="shared" si="4"/>
        <v>202.2</v>
      </c>
      <c r="AC183">
        <v>217.1</v>
      </c>
      <c r="AD183">
        <v>8</v>
      </c>
      <c r="AE183">
        <f t="shared" si="5"/>
        <v>10</v>
      </c>
      <c r="AF183">
        <v>5</v>
      </c>
      <c r="AG183">
        <v>1</v>
      </c>
      <c r="AH183">
        <v>1</v>
      </c>
      <c r="AI183">
        <v>0</v>
      </c>
      <c r="AJ183">
        <v>0.6470588235294118</v>
      </c>
      <c r="AK183">
        <v>0.3125</v>
      </c>
      <c r="AL183">
        <v>6.25E-2</v>
      </c>
      <c r="AM183">
        <v>6.25E-2</v>
      </c>
      <c r="AN183">
        <v>0</v>
      </c>
    </row>
    <row r="184" spans="1:40" x14ac:dyDescent="0.25">
      <c r="A184">
        <v>2025</v>
      </c>
      <c r="B184" t="s">
        <v>220</v>
      </c>
      <c r="C184" t="str">
        <f>IF(COUNTIF('Rookies 22-25'!$B$198:$B$349,E184)&gt;0,"(R)","No")</f>
        <v>No</v>
      </c>
      <c r="D184">
        <v>18</v>
      </c>
      <c r="E184" t="s">
        <v>238</v>
      </c>
      <c r="F184" t="s">
        <v>95</v>
      </c>
      <c r="G184">
        <f>VLOOKUP(E184,'25 Draft ADP'!$B$3:$D$505,3,FALSE)</f>
        <v>167</v>
      </c>
      <c r="H184">
        <v>17</v>
      </c>
      <c r="I184">
        <v>3.6</v>
      </c>
      <c r="J184">
        <v>2.9</v>
      </c>
      <c r="K184">
        <v>10.8</v>
      </c>
      <c r="L184">
        <v>4</v>
      </c>
      <c r="M184">
        <v>32.4</v>
      </c>
      <c r="N184">
        <v>33.9</v>
      </c>
      <c r="O184">
        <v>10.6</v>
      </c>
      <c r="P184">
        <v>5.4</v>
      </c>
      <c r="Q184">
        <v>28.1</v>
      </c>
      <c r="R184">
        <v>15.3</v>
      </c>
      <c r="S184">
        <v>15</v>
      </c>
      <c r="T184">
        <v>11.4</v>
      </c>
      <c r="U184">
        <v>9.9</v>
      </c>
      <c r="V184" t="s">
        <v>22</v>
      </c>
      <c r="W184">
        <v>12.4</v>
      </c>
      <c r="X184">
        <v>8.3000000000000007</v>
      </c>
      <c r="Y184">
        <v>9.3000000000000007</v>
      </c>
      <c r="Z184">
        <v>3</v>
      </c>
      <c r="AA184">
        <v>12.7</v>
      </c>
      <c r="AB184">
        <f t="shared" si="4"/>
        <v>213.3</v>
      </c>
      <c r="AC184">
        <v>216.3</v>
      </c>
      <c r="AD184">
        <v>15</v>
      </c>
      <c r="AE184">
        <f t="shared" si="5"/>
        <v>9</v>
      </c>
      <c r="AF184">
        <v>4</v>
      </c>
      <c r="AG184">
        <v>3</v>
      </c>
      <c r="AH184">
        <v>3</v>
      </c>
      <c r="AI184">
        <v>2</v>
      </c>
      <c r="AJ184">
        <v>0.52941176470588236</v>
      </c>
      <c r="AK184">
        <v>0.23529411764705882</v>
      </c>
      <c r="AL184">
        <v>0.17647058823529413</v>
      </c>
      <c r="AM184">
        <v>0.17647058823529413</v>
      </c>
      <c r="AN184">
        <v>0.11764705882352941</v>
      </c>
    </row>
    <row r="185" spans="1:40" x14ac:dyDescent="0.25">
      <c r="A185">
        <v>2025</v>
      </c>
      <c r="B185" t="s">
        <v>220</v>
      </c>
      <c r="C185" t="str">
        <f>IF(COUNTIF('Rookies 22-25'!$B$198:$B$349,E185)&gt;0,"(R)","No")</f>
        <v>No</v>
      </c>
      <c r="D185">
        <v>19</v>
      </c>
      <c r="E185" t="s">
        <v>239</v>
      </c>
      <c r="F185" t="s">
        <v>82</v>
      </c>
      <c r="G185">
        <f>VLOOKUP(E185,'25 Draft ADP'!$B$3:$D$505,3,FALSE)</f>
        <v>43</v>
      </c>
      <c r="H185">
        <v>16</v>
      </c>
      <c r="I185">
        <v>16.5</v>
      </c>
      <c r="J185">
        <v>5.8</v>
      </c>
      <c r="K185">
        <v>9.1999999999999993</v>
      </c>
      <c r="L185">
        <v>16.100000000000001</v>
      </c>
      <c r="M185">
        <v>17.5</v>
      </c>
      <c r="N185">
        <v>5.9</v>
      </c>
      <c r="O185">
        <v>7.2</v>
      </c>
      <c r="P185">
        <v>32.9</v>
      </c>
      <c r="Q185" t="s">
        <v>22</v>
      </c>
      <c r="R185">
        <v>19.5</v>
      </c>
      <c r="S185">
        <v>8.4</v>
      </c>
      <c r="T185">
        <v>13.9</v>
      </c>
      <c r="U185">
        <v>15.6</v>
      </c>
      <c r="V185">
        <v>4.3</v>
      </c>
      <c r="W185">
        <v>5.7</v>
      </c>
      <c r="X185">
        <v>8.3000000000000007</v>
      </c>
      <c r="Y185">
        <v>20.9</v>
      </c>
      <c r="Z185">
        <v>0</v>
      </c>
      <c r="AA185">
        <v>13</v>
      </c>
      <c r="AB185">
        <f t="shared" si="4"/>
        <v>207.7</v>
      </c>
      <c r="AC185">
        <v>207.7</v>
      </c>
      <c r="AD185">
        <v>5</v>
      </c>
      <c r="AE185">
        <f t="shared" si="5"/>
        <v>8</v>
      </c>
      <c r="AF185">
        <v>7</v>
      </c>
      <c r="AG185">
        <v>2</v>
      </c>
      <c r="AH185">
        <v>1</v>
      </c>
      <c r="AI185">
        <v>1</v>
      </c>
      <c r="AJ185">
        <v>0.47058823529411764</v>
      </c>
      <c r="AK185">
        <v>0.4375</v>
      </c>
      <c r="AL185">
        <v>0.125</v>
      </c>
      <c r="AM185">
        <v>6.25E-2</v>
      </c>
      <c r="AN185">
        <v>6.25E-2</v>
      </c>
    </row>
    <row r="186" spans="1:40" x14ac:dyDescent="0.25">
      <c r="A186">
        <v>2025</v>
      </c>
      <c r="B186" t="s">
        <v>220</v>
      </c>
      <c r="C186" t="str">
        <f>IF(COUNTIF('Rookies 22-25'!$B$198:$B$349,E186)&gt;0,"(R)","No")</f>
        <v>(R)</v>
      </c>
      <c r="D186">
        <v>20</v>
      </c>
      <c r="E186" t="s">
        <v>240</v>
      </c>
      <c r="F186" t="s">
        <v>78</v>
      </c>
      <c r="G186">
        <f>VLOOKUP(E186,'25 Draft ADP'!$B$3:$D$505,3,FALSE)</f>
        <v>57</v>
      </c>
      <c r="H186">
        <v>17</v>
      </c>
      <c r="I186">
        <v>7.9</v>
      </c>
      <c r="J186">
        <v>3.4</v>
      </c>
      <c r="K186">
        <v>4.5999999999999996</v>
      </c>
      <c r="L186">
        <v>19.8</v>
      </c>
      <c r="M186">
        <v>6</v>
      </c>
      <c r="N186">
        <v>6.5</v>
      </c>
      <c r="O186">
        <v>7.2</v>
      </c>
      <c r="P186">
        <v>24.1</v>
      </c>
      <c r="Q186">
        <v>16.600000000000001</v>
      </c>
      <c r="R186">
        <v>3.8</v>
      </c>
      <c r="S186">
        <v>8</v>
      </c>
      <c r="T186" t="s">
        <v>22</v>
      </c>
      <c r="U186">
        <v>21.2</v>
      </c>
      <c r="V186">
        <v>22</v>
      </c>
      <c r="W186">
        <v>10.5</v>
      </c>
      <c r="X186">
        <v>22.1</v>
      </c>
      <c r="Y186">
        <v>18.600000000000001</v>
      </c>
      <c r="Z186">
        <v>4.3</v>
      </c>
      <c r="AA186">
        <v>12.2</v>
      </c>
      <c r="AB186">
        <f t="shared" si="4"/>
        <v>202.29999999999998</v>
      </c>
      <c r="AC186">
        <v>206.6</v>
      </c>
      <c r="AD186">
        <v>5</v>
      </c>
      <c r="AE186">
        <f t="shared" si="5"/>
        <v>8</v>
      </c>
      <c r="AF186">
        <v>7</v>
      </c>
      <c r="AG186">
        <v>4</v>
      </c>
      <c r="AH186">
        <v>0</v>
      </c>
      <c r="AI186">
        <v>0</v>
      </c>
      <c r="AJ186">
        <v>0.47058823529411764</v>
      </c>
      <c r="AK186">
        <v>0.41176470588235292</v>
      </c>
      <c r="AL186">
        <v>0.23529411764705882</v>
      </c>
      <c r="AM186">
        <v>0</v>
      </c>
      <c r="AN186">
        <v>0</v>
      </c>
    </row>
    <row r="187" spans="1:40" x14ac:dyDescent="0.25">
      <c r="A187">
        <v>2025</v>
      </c>
      <c r="B187" t="s">
        <v>220</v>
      </c>
      <c r="C187" t="str">
        <f>IF(COUNTIF('Rookies 22-25'!$B$198:$B$349,E187)&gt;0,"(R)","No")</f>
        <v>(R)</v>
      </c>
      <c r="D187">
        <v>21</v>
      </c>
      <c r="E187" t="s">
        <v>241</v>
      </c>
      <c r="F187" t="s">
        <v>39</v>
      </c>
      <c r="G187">
        <f>VLOOKUP(E187,'25 Draft ADP'!$B$3:$D$505,3,FALSE)</f>
        <v>38</v>
      </c>
      <c r="H187">
        <v>17</v>
      </c>
      <c r="I187">
        <v>11.1</v>
      </c>
      <c r="J187">
        <v>6</v>
      </c>
      <c r="K187">
        <v>7.7</v>
      </c>
      <c r="L187">
        <v>12.6</v>
      </c>
      <c r="M187">
        <v>4.7</v>
      </c>
      <c r="N187">
        <v>4.5999999999999996</v>
      </c>
      <c r="O187">
        <v>0.5</v>
      </c>
      <c r="P187">
        <v>5.5</v>
      </c>
      <c r="Q187">
        <v>12.7</v>
      </c>
      <c r="R187">
        <v>28</v>
      </c>
      <c r="S187">
        <v>32.299999999999997</v>
      </c>
      <c r="T187">
        <v>11.1</v>
      </c>
      <c r="U187">
        <v>11.6</v>
      </c>
      <c r="V187" t="s">
        <v>22</v>
      </c>
      <c r="W187">
        <v>30.1</v>
      </c>
      <c r="X187">
        <v>2.2000000000000002</v>
      </c>
      <c r="Y187">
        <v>8.1999999999999993</v>
      </c>
      <c r="Z187">
        <v>17.3</v>
      </c>
      <c r="AA187">
        <v>12.1</v>
      </c>
      <c r="AB187">
        <f t="shared" si="4"/>
        <v>188.89999999999998</v>
      </c>
      <c r="AC187">
        <v>206.2</v>
      </c>
      <c r="AD187">
        <v>3</v>
      </c>
      <c r="AE187">
        <f t="shared" si="5"/>
        <v>8</v>
      </c>
      <c r="AF187">
        <v>4</v>
      </c>
      <c r="AG187">
        <v>3</v>
      </c>
      <c r="AH187">
        <v>3</v>
      </c>
      <c r="AI187">
        <v>2</v>
      </c>
      <c r="AJ187">
        <v>0.52941176470588236</v>
      </c>
      <c r="AK187">
        <v>0.23529411764705882</v>
      </c>
      <c r="AL187">
        <v>0.17647058823529413</v>
      </c>
      <c r="AM187">
        <v>0.17647058823529413</v>
      </c>
      <c r="AN187">
        <v>0.11764705882352941</v>
      </c>
    </row>
    <row r="188" spans="1:40" x14ac:dyDescent="0.25">
      <c r="A188">
        <v>2025</v>
      </c>
      <c r="B188" t="s">
        <v>220</v>
      </c>
      <c r="C188" t="str">
        <f>IF(COUNTIF('Rookies 22-25'!$B$198:$B$349,E188)&gt;0,"(R)","No")</f>
        <v>No</v>
      </c>
      <c r="D188">
        <v>22</v>
      </c>
      <c r="E188" t="s">
        <v>242</v>
      </c>
      <c r="F188" t="s">
        <v>49</v>
      </c>
      <c r="G188">
        <f>VLOOKUP(E188,'25 Draft ADP'!$B$3:$D$505,3,FALSE)</f>
        <v>42</v>
      </c>
      <c r="H188">
        <v>17</v>
      </c>
      <c r="I188">
        <v>5.4</v>
      </c>
      <c r="J188">
        <v>18.8</v>
      </c>
      <c r="K188">
        <v>18</v>
      </c>
      <c r="L188">
        <v>12</v>
      </c>
      <c r="M188">
        <v>9.6</v>
      </c>
      <c r="N188">
        <v>4.7</v>
      </c>
      <c r="O188">
        <v>6.6</v>
      </c>
      <c r="P188" t="s">
        <v>22</v>
      </c>
      <c r="Q188">
        <v>8.1</v>
      </c>
      <c r="R188">
        <v>8</v>
      </c>
      <c r="S188">
        <v>20.100000000000001</v>
      </c>
      <c r="T188">
        <v>13.1</v>
      </c>
      <c r="U188">
        <v>10.4</v>
      </c>
      <c r="V188">
        <v>3.8</v>
      </c>
      <c r="W188">
        <v>2.9</v>
      </c>
      <c r="X188">
        <v>25.4</v>
      </c>
      <c r="Y188">
        <v>7.7</v>
      </c>
      <c r="Z188">
        <v>17.3</v>
      </c>
      <c r="AA188">
        <v>11.3</v>
      </c>
      <c r="AB188">
        <f t="shared" si="4"/>
        <v>174.6</v>
      </c>
      <c r="AC188">
        <v>191.9</v>
      </c>
      <c r="AD188">
        <v>4</v>
      </c>
      <c r="AE188">
        <f t="shared" si="5"/>
        <v>7</v>
      </c>
      <c r="AF188">
        <v>5</v>
      </c>
      <c r="AG188">
        <v>2</v>
      </c>
      <c r="AH188">
        <v>1</v>
      </c>
      <c r="AI188">
        <v>0</v>
      </c>
      <c r="AJ188">
        <v>0.47058823529411764</v>
      </c>
      <c r="AK188">
        <v>0.29411764705882354</v>
      </c>
      <c r="AL188">
        <v>0.11764705882352941</v>
      </c>
      <c r="AM188">
        <v>5.8823529411764705E-2</v>
      </c>
      <c r="AN188">
        <v>0</v>
      </c>
    </row>
    <row r="189" spans="1:40" x14ac:dyDescent="0.25">
      <c r="A189">
        <v>2025</v>
      </c>
      <c r="B189" t="s">
        <v>220</v>
      </c>
      <c r="C189" t="str">
        <f>IF(COUNTIF('Rookies 22-25'!$B$198:$B$349,E189)&gt;0,"(R)","No")</f>
        <v>No</v>
      </c>
      <c r="D189">
        <v>23</v>
      </c>
      <c r="E189" t="s">
        <v>243</v>
      </c>
      <c r="F189" t="s">
        <v>63</v>
      </c>
      <c r="G189">
        <f>VLOOKUP(E189,'25 Draft ADP'!$B$3:$D$505,3,FALSE)</f>
        <v>62</v>
      </c>
      <c r="H189">
        <v>17</v>
      </c>
      <c r="I189">
        <v>7.9</v>
      </c>
      <c r="J189">
        <v>9.1999999999999993</v>
      </c>
      <c r="K189">
        <v>13.9</v>
      </c>
      <c r="L189">
        <v>10.6</v>
      </c>
      <c r="M189">
        <v>14.8</v>
      </c>
      <c r="N189">
        <v>6.7</v>
      </c>
      <c r="O189">
        <v>12.1</v>
      </c>
      <c r="P189">
        <v>6.3</v>
      </c>
      <c r="Q189">
        <v>7.8</v>
      </c>
      <c r="R189" t="s">
        <v>22</v>
      </c>
      <c r="S189">
        <v>5.6</v>
      </c>
      <c r="T189">
        <v>8.1</v>
      </c>
      <c r="U189">
        <v>5.3</v>
      </c>
      <c r="V189">
        <v>28.1</v>
      </c>
      <c r="W189">
        <v>18.2</v>
      </c>
      <c r="X189">
        <v>10.199999999999999</v>
      </c>
      <c r="Y189">
        <v>11.5</v>
      </c>
      <c r="Z189">
        <v>9.5</v>
      </c>
      <c r="AA189">
        <v>10.9</v>
      </c>
      <c r="AB189">
        <f t="shared" si="4"/>
        <v>176.3</v>
      </c>
      <c r="AC189">
        <v>185.8</v>
      </c>
      <c r="AD189">
        <v>5</v>
      </c>
      <c r="AE189">
        <f t="shared" si="5"/>
        <v>8</v>
      </c>
      <c r="AF189">
        <v>2</v>
      </c>
      <c r="AG189">
        <v>1</v>
      </c>
      <c r="AH189">
        <v>1</v>
      </c>
      <c r="AI189">
        <v>0</v>
      </c>
      <c r="AJ189">
        <v>0.47058823529411764</v>
      </c>
      <c r="AK189">
        <v>0.11764705882352941</v>
      </c>
      <c r="AL189">
        <v>5.8823529411764705E-2</v>
      </c>
      <c r="AM189">
        <v>5.8823529411764705E-2</v>
      </c>
      <c r="AN189">
        <v>0</v>
      </c>
    </row>
    <row r="190" spans="1:40" x14ac:dyDescent="0.25">
      <c r="A190">
        <v>2025</v>
      </c>
      <c r="B190" t="s">
        <v>220</v>
      </c>
      <c r="C190" t="str">
        <f>IF(COUNTIF('Rookies 22-25'!$B$198:$B$349,E190)&gt;0,"(R)","No")</f>
        <v>No</v>
      </c>
      <c r="D190">
        <v>24</v>
      </c>
      <c r="E190" t="s">
        <v>244</v>
      </c>
      <c r="F190" t="s">
        <v>49</v>
      </c>
      <c r="G190">
        <f>VLOOKUP(E190,'25 Draft ADP'!$B$3:$D$505,3,FALSE)</f>
        <v>89</v>
      </c>
      <c r="H190">
        <v>16</v>
      </c>
      <c r="I190">
        <v>10.7</v>
      </c>
      <c r="J190">
        <v>1</v>
      </c>
      <c r="K190" t="s">
        <v>33</v>
      </c>
      <c r="L190">
        <v>12.4</v>
      </c>
      <c r="M190">
        <v>11.8</v>
      </c>
      <c r="N190">
        <v>4.7</v>
      </c>
      <c r="O190">
        <v>19.5</v>
      </c>
      <c r="P190" t="s">
        <v>22</v>
      </c>
      <c r="Q190">
        <v>5.6</v>
      </c>
      <c r="R190">
        <v>14.3</v>
      </c>
      <c r="S190">
        <v>6.7</v>
      </c>
      <c r="T190">
        <v>9.5</v>
      </c>
      <c r="U190">
        <v>11.2</v>
      </c>
      <c r="V190">
        <v>8.6</v>
      </c>
      <c r="W190">
        <v>3.1</v>
      </c>
      <c r="X190">
        <v>17.399999999999999</v>
      </c>
      <c r="Y190">
        <v>26.2</v>
      </c>
      <c r="Z190">
        <v>18.7</v>
      </c>
      <c r="AA190">
        <v>11.3</v>
      </c>
      <c r="AB190">
        <f t="shared" si="4"/>
        <v>162.70000000000002</v>
      </c>
      <c r="AC190">
        <v>181.4</v>
      </c>
      <c r="AD190">
        <v>8</v>
      </c>
      <c r="AE190">
        <f t="shared" si="5"/>
        <v>8</v>
      </c>
      <c r="AF190">
        <v>4</v>
      </c>
      <c r="AG190">
        <v>1</v>
      </c>
      <c r="AH190">
        <v>1</v>
      </c>
      <c r="AI190">
        <v>0</v>
      </c>
      <c r="AJ190">
        <v>0.52941176470588236</v>
      </c>
      <c r="AK190">
        <v>0.25</v>
      </c>
      <c r="AL190">
        <v>6.25E-2</v>
      </c>
      <c r="AM190">
        <v>6.25E-2</v>
      </c>
      <c r="AN190">
        <v>0</v>
      </c>
    </row>
    <row r="191" spans="1:40" x14ac:dyDescent="0.25">
      <c r="A191">
        <v>2025</v>
      </c>
      <c r="B191" t="s">
        <v>220</v>
      </c>
      <c r="C191" t="str">
        <f>IF(COUNTIF('Rookies 22-25'!$B$198:$B$349,E191)&gt;0,"(R)","No")</f>
        <v>No</v>
      </c>
      <c r="D191">
        <v>25</v>
      </c>
      <c r="E191" t="s">
        <v>245</v>
      </c>
      <c r="F191" t="s">
        <v>39</v>
      </c>
      <c r="G191">
        <f>VLOOKUP(E191,'25 Draft ADP'!$B$3:$D$505,3,FALSE)</f>
        <v>125</v>
      </c>
      <c r="H191">
        <v>14</v>
      </c>
      <c r="I191">
        <v>4.7</v>
      </c>
      <c r="J191">
        <v>21.2</v>
      </c>
      <c r="K191">
        <v>4.5999999999999996</v>
      </c>
      <c r="L191">
        <v>5.0999999999999996</v>
      </c>
      <c r="M191">
        <v>14.7</v>
      </c>
      <c r="N191">
        <v>1.8</v>
      </c>
      <c r="O191">
        <v>16.8</v>
      </c>
      <c r="P191">
        <v>5.9</v>
      </c>
      <c r="Q191" t="s">
        <v>33</v>
      </c>
      <c r="R191" t="s">
        <v>33</v>
      </c>
      <c r="S191" t="s">
        <v>33</v>
      </c>
      <c r="T191">
        <v>2</v>
      </c>
      <c r="U191">
        <v>11</v>
      </c>
      <c r="V191" t="s">
        <v>22</v>
      </c>
      <c r="W191">
        <v>10.7</v>
      </c>
      <c r="X191">
        <v>17.8</v>
      </c>
      <c r="Y191">
        <v>27.2</v>
      </c>
      <c r="Z191">
        <v>35.299999999999997</v>
      </c>
      <c r="AA191">
        <v>12.8</v>
      </c>
      <c r="AB191">
        <f t="shared" si="4"/>
        <v>143.5</v>
      </c>
      <c r="AC191">
        <v>178.8</v>
      </c>
      <c r="AD191">
        <v>12</v>
      </c>
      <c r="AE191">
        <f t="shared" si="5"/>
        <v>7</v>
      </c>
      <c r="AF191">
        <v>5</v>
      </c>
      <c r="AG191">
        <v>3</v>
      </c>
      <c r="AH191">
        <v>2</v>
      </c>
      <c r="AI191">
        <v>1</v>
      </c>
      <c r="AJ191">
        <v>0.47058823529411764</v>
      </c>
      <c r="AK191">
        <v>0.35714285714285715</v>
      </c>
      <c r="AL191">
        <v>0.21428571428571427</v>
      </c>
      <c r="AM191">
        <v>0.14285714285714285</v>
      </c>
      <c r="AN191">
        <v>7.1428571428571425E-2</v>
      </c>
    </row>
    <row r="192" spans="1:40" x14ac:dyDescent="0.25">
      <c r="A192">
        <v>2025</v>
      </c>
      <c r="B192" t="s">
        <v>220</v>
      </c>
      <c r="C192" t="str">
        <f>IF(COUNTIF('Rookies 22-25'!$B$198:$B$349,E192)&gt;0,"(R)","No")</f>
        <v>(R)</v>
      </c>
      <c r="D192">
        <v>26</v>
      </c>
      <c r="E192" t="s">
        <v>246</v>
      </c>
      <c r="F192" t="s">
        <v>32</v>
      </c>
      <c r="G192">
        <f>VLOOKUP(E192,'25 Draft ADP'!$B$3:$D$505,3,FALSE)</f>
        <v>136</v>
      </c>
      <c r="H192">
        <v>14</v>
      </c>
      <c r="I192" t="s">
        <v>33</v>
      </c>
      <c r="J192">
        <v>10.1</v>
      </c>
      <c r="K192">
        <v>16.5</v>
      </c>
      <c r="L192">
        <v>21.5</v>
      </c>
      <c r="M192">
        <v>13.8</v>
      </c>
      <c r="N192">
        <v>3.6</v>
      </c>
      <c r="O192">
        <v>26.4</v>
      </c>
      <c r="P192">
        <v>4.7</v>
      </c>
      <c r="Q192" t="s">
        <v>22</v>
      </c>
      <c r="R192">
        <v>10.5</v>
      </c>
      <c r="S192">
        <v>5.9</v>
      </c>
      <c r="T192">
        <v>16.7</v>
      </c>
      <c r="U192">
        <v>15.9</v>
      </c>
      <c r="V192">
        <v>9.4</v>
      </c>
      <c r="W192">
        <v>4.7</v>
      </c>
      <c r="X192">
        <v>10.1</v>
      </c>
      <c r="Y192" t="s">
        <v>33</v>
      </c>
      <c r="Z192">
        <v>0</v>
      </c>
      <c r="AA192">
        <v>12.1</v>
      </c>
      <c r="AB192">
        <f t="shared" si="4"/>
        <v>169.8</v>
      </c>
      <c r="AC192">
        <v>169.8</v>
      </c>
      <c r="AD192">
        <v>12</v>
      </c>
      <c r="AE192">
        <f t="shared" si="5"/>
        <v>9</v>
      </c>
      <c r="AF192">
        <v>5</v>
      </c>
      <c r="AG192">
        <v>2</v>
      </c>
      <c r="AH192">
        <v>1</v>
      </c>
      <c r="AI192">
        <v>0</v>
      </c>
      <c r="AJ192">
        <v>0.52941176470588236</v>
      </c>
      <c r="AK192">
        <v>0.35714285714285715</v>
      </c>
      <c r="AL192">
        <v>0.14285714285714285</v>
      </c>
      <c r="AM192">
        <v>7.1428571428571425E-2</v>
      </c>
      <c r="AN192">
        <v>0</v>
      </c>
    </row>
    <row r="193" spans="1:40" x14ac:dyDescent="0.25">
      <c r="A193">
        <v>2025</v>
      </c>
      <c r="B193" t="s">
        <v>220</v>
      </c>
      <c r="C193" t="str">
        <f>IF(COUNTIF('Rookies 22-25'!$B$198:$B$349,E193)&gt;0,"(R)","No")</f>
        <v>No</v>
      </c>
      <c r="D193">
        <v>27</v>
      </c>
      <c r="E193" t="s">
        <v>247</v>
      </c>
      <c r="F193" t="s">
        <v>75</v>
      </c>
      <c r="G193">
        <f>VLOOKUP(E193,'25 Draft ADP'!$B$3:$D$505,3,FALSE)</f>
        <v>66</v>
      </c>
      <c r="H193">
        <v>17</v>
      </c>
      <c r="I193">
        <v>8.3000000000000007</v>
      </c>
      <c r="J193">
        <v>13.1</v>
      </c>
      <c r="K193">
        <v>29.4</v>
      </c>
      <c r="L193">
        <v>1.2</v>
      </c>
      <c r="M193">
        <v>18.2</v>
      </c>
      <c r="N193">
        <v>8.1</v>
      </c>
      <c r="O193">
        <v>5.9</v>
      </c>
      <c r="P193" t="s">
        <v>22</v>
      </c>
      <c r="Q193">
        <v>11</v>
      </c>
      <c r="R193">
        <v>10.1</v>
      </c>
      <c r="S193">
        <v>4.7</v>
      </c>
      <c r="T193">
        <v>6.7</v>
      </c>
      <c r="U193">
        <v>12.8</v>
      </c>
      <c r="V193">
        <v>14.3</v>
      </c>
      <c r="W193">
        <v>9.1999999999999993</v>
      </c>
      <c r="X193">
        <v>1.4</v>
      </c>
      <c r="Y193">
        <v>6</v>
      </c>
      <c r="Z193">
        <v>6.5</v>
      </c>
      <c r="AA193">
        <v>9.8000000000000007</v>
      </c>
      <c r="AB193">
        <f t="shared" si="4"/>
        <v>160.4</v>
      </c>
      <c r="AC193">
        <v>166.9</v>
      </c>
      <c r="AD193">
        <v>6</v>
      </c>
      <c r="AE193">
        <f t="shared" si="5"/>
        <v>7</v>
      </c>
      <c r="AF193">
        <v>2</v>
      </c>
      <c r="AG193">
        <v>1</v>
      </c>
      <c r="AH193">
        <v>1</v>
      </c>
      <c r="AI193">
        <v>0</v>
      </c>
      <c r="AJ193">
        <v>0.41176470588235292</v>
      </c>
      <c r="AK193">
        <v>0.11764705882352941</v>
      </c>
      <c r="AL193">
        <v>5.8823529411764705E-2</v>
      </c>
      <c r="AM193">
        <v>5.8823529411764705E-2</v>
      </c>
      <c r="AN193">
        <v>0</v>
      </c>
    </row>
    <row r="194" spans="1:40" x14ac:dyDescent="0.25">
      <c r="A194">
        <v>2025</v>
      </c>
      <c r="B194" t="s">
        <v>220</v>
      </c>
      <c r="C194" t="str">
        <f>IF(COUNTIF('Rookies 22-25'!$B$198:$B$349,E194)&gt;0,"(R)","No")</f>
        <v>No</v>
      </c>
      <c r="D194">
        <v>28</v>
      </c>
      <c r="E194" t="s">
        <v>248</v>
      </c>
      <c r="F194" t="s">
        <v>57</v>
      </c>
      <c r="G194">
        <f>VLOOKUP(E194,'25 Draft ADP'!$B$3:$D$505,3,FALSE)</f>
        <v>78</v>
      </c>
      <c r="H194">
        <v>15</v>
      </c>
      <c r="I194">
        <v>5.5</v>
      </c>
      <c r="J194">
        <v>9.1</v>
      </c>
      <c r="K194">
        <v>5.6</v>
      </c>
      <c r="L194" t="s">
        <v>33</v>
      </c>
      <c r="M194" t="s">
        <v>33</v>
      </c>
      <c r="N194">
        <v>0.6</v>
      </c>
      <c r="O194">
        <v>10.6</v>
      </c>
      <c r="P194">
        <v>7.3</v>
      </c>
      <c r="Q194">
        <v>6.7</v>
      </c>
      <c r="R194">
        <v>8.1</v>
      </c>
      <c r="S194">
        <v>17.899999999999999</v>
      </c>
      <c r="T194">
        <v>16</v>
      </c>
      <c r="U194">
        <v>4.3</v>
      </c>
      <c r="V194" t="s">
        <v>22</v>
      </c>
      <c r="W194">
        <v>24.7</v>
      </c>
      <c r="X194">
        <v>9.8000000000000007</v>
      </c>
      <c r="Y194">
        <v>6.7</v>
      </c>
      <c r="Z194">
        <v>27.9</v>
      </c>
      <c r="AA194">
        <v>10.7</v>
      </c>
      <c r="AB194">
        <f t="shared" si="4"/>
        <v>132.9</v>
      </c>
      <c r="AC194">
        <v>160.80000000000001</v>
      </c>
      <c r="AD194">
        <v>7</v>
      </c>
      <c r="AE194">
        <f t="shared" si="5"/>
        <v>4</v>
      </c>
      <c r="AF194">
        <v>4</v>
      </c>
      <c r="AG194">
        <v>2</v>
      </c>
      <c r="AH194">
        <v>1</v>
      </c>
      <c r="AI194">
        <v>0</v>
      </c>
      <c r="AJ194">
        <v>0.29411764705882354</v>
      </c>
      <c r="AK194">
        <v>0.26666666666666666</v>
      </c>
      <c r="AL194">
        <v>0.13333333333333333</v>
      </c>
      <c r="AM194">
        <v>6.6666666666666666E-2</v>
      </c>
      <c r="AN194">
        <v>0</v>
      </c>
    </row>
    <row r="195" spans="1:40" x14ac:dyDescent="0.25">
      <c r="A195">
        <v>2025</v>
      </c>
      <c r="B195" t="s">
        <v>220</v>
      </c>
      <c r="C195" t="str">
        <f>IF(COUNTIF('Rookies 22-25'!$B$198:$B$349,E195)&gt;0,"(R)","No")</f>
        <v>(R)</v>
      </c>
      <c r="D195">
        <v>29</v>
      </c>
      <c r="E195" t="s">
        <v>249</v>
      </c>
      <c r="F195" t="s">
        <v>41</v>
      </c>
      <c r="G195">
        <f>VLOOKUP(E195,'25 Draft ADP'!$B$3:$D$505,3,FALSE)</f>
        <v>174</v>
      </c>
      <c r="H195">
        <v>16</v>
      </c>
      <c r="I195">
        <v>0.3</v>
      </c>
      <c r="J195">
        <v>6.1</v>
      </c>
      <c r="K195">
        <v>4.5999999999999996</v>
      </c>
      <c r="L195">
        <v>27.9</v>
      </c>
      <c r="M195">
        <v>2.4</v>
      </c>
      <c r="N195" t="s">
        <v>22</v>
      </c>
      <c r="O195">
        <v>12.5</v>
      </c>
      <c r="P195">
        <v>15.1</v>
      </c>
      <c r="Q195">
        <v>2.7</v>
      </c>
      <c r="R195">
        <v>16.100000000000001</v>
      </c>
      <c r="S195">
        <v>6.1</v>
      </c>
      <c r="T195">
        <v>7.9</v>
      </c>
      <c r="U195">
        <v>7.7</v>
      </c>
      <c r="V195">
        <v>15.6</v>
      </c>
      <c r="W195">
        <v>10.8</v>
      </c>
      <c r="X195" t="s">
        <v>33</v>
      </c>
      <c r="Y195">
        <v>8.5</v>
      </c>
      <c r="Z195">
        <v>6.8</v>
      </c>
      <c r="AA195">
        <v>9.4</v>
      </c>
      <c r="AB195">
        <f t="shared" ref="AB195:AB258" si="6">AC195-Z195</f>
        <v>144.29999999999998</v>
      </c>
      <c r="AC195">
        <v>151.1</v>
      </c>
      <c r="AD195">
        <v>15</v>
      </c>
      <c r="AE195">
        <f t="shared" ref="AE195:AE258" si="7">COUNTIF(I195:Y195,"&gt;10")</f>
        <v>6</v>
      </c>
      <c r="AF195">
        <v>4</v>
      </c>
      <c r="AG195">
        <v>1</v>
      </c>
      <c r="AH195">
        <v>1</v>
      </c>
      <c r="AI195">
        <v>0</v>
      </c>
      <c r="AJ195">
        <v>0.35294117647058826</v>
      </c>
      <c r="AK195">
        <v>0.25</v>
      </c>
      <c r="AL195">
        <v>6.25E-2</v>
      </c>
      <c r="AM195">
        <v>6.25E-2</v>
      </c>
      <c r="AN195">
        <v>0</v>
      </c>
    </row>
    <row r="196" spans="1:40" x14ac:dyDescent="0.25">
      <c r="A196">
        <v>2025</v>
      </c>
      <c r="B196" t="s">
        <v>220</v>
      </c>
      <c r="C196" t="str">
        <f>IF(COUNTIF('Rookies 22-25'!$B$198:$B$349,E196)&gt;0,"(R)","No")</f>
        <v>(R)</v>
      </c>
      <c r="D196">
        <v>30</v>
      </c>
      <c r="E196" t="s">
        <v>250</v>
      </c>
      <c r="F196" t="s">
        <v>45</v>
      </c>
      <c r="G196">
        <f>VLOOKUP(E196,'25 Draft ADP'!$B$3:$D$505,3,FALSE)</f>
        <v>196</v>
      </c>
      <c r="H196">
        <v>17</v>
      </c>
      <c r="I196">
        <v>2.1</v>
      </c>
      <c r="J196">
        <v>4.5999999999999996</v>
      </c>
      <c r="K196">
        <v>3</v>
      </c>
      <c r="L196">
        <v>1.8</v>
      </c>
      <c r="M196" t="s">
        <v>22</v>
      </c>
      <c r="N196">
        <v>5.4</v>
      </c>
      <c r="O196">
        <v>17.399999999999999</v>
      </c>
      <c r="P196">
        <v>2.4</v>
      </c>
      <c r="Q196">
        <v>22.8</v>
      </c>
      <c r="R196">
        <v>8.8000000000000007</v>
      </c>
      <c r="S196">
        <v>10.7</v>
      </c>
      <c r="T196">
        <v>10.8</v>
      </c>
      <c r="U196">
        <v>19</v>
      </c>
      <c r="V196">
        <v>8.6999999999999993</v>
      </c>
      <c r="W196">
        <v>3.3</v>
      </c>
      <c r="X196">
        <v>12.3</v>
      </c>
      <c r="Y196">
        <v>7.7</v>
      </c>
      <c r="Z196">
        <v>5.9</v>
      </c>
      <c r="AA196">
        <v>8.6</v>
      </c>
      <c r="AB196">
        <f t="shared" si="6"/>
        <v>140.79999999999998</v>
      </c>
      <c r="AC196">
        <v>146.69999999999999</v>
      </c>
      <c r="AD196">
        <v>19</v>
      </c>
      <c r="AE196">
        <f t="shared" si="7"/>
        <v>6</v>
      </c>
      <c r="AF196">
        <v>3</v>
      </c>
      <c r="AG196">
        <v>1</v>
      </c>
      <c r="AH196">
        <v>0</v>
      </c>
      <c r="AI196">
        <v>0</v>
      </c>
      <c r="AJ196">
        <v>0.35294117647058826</v>
      </c>
      <c r="AK196">
        <v>0.17647058823529413</v>
      </c>
      <c r="AL196">
        <v>5.8823529411764705E-2</v>
      </c>
      <c r="AM196">
        <v>0</v>
      </c>
      <c r="AN196">
        <v>0</v>
      </c>
    </row>
    <row r="197" spans="1:40" x14ac:dyDescent="0.25">
      <c r="A197">
        <v>2025</v>
      </c>
      <c r="B197" t="s">
        <v>220</v>
      </c>
      <c r="C197" t="str">
        <f>IF(COUNTIF('Rookies 22-25'!$B$198:$B$349,E197)&gt;0,"(R)","No")</f>
        <v>No</v>
      </c>
      <c r="D197">
        <v>31</v>
      </c>
      <c r="E197" t="s">
        <v>251</v>
      </c>
      <c r="F197" t="s">
        <v>26</v>
      </c>
      <c r="G197">
        <f>VLOOKUP(E197,'25 Draft ADP'!$B$3:$D$505,3,FALSE)</f>
        <v>188</v>
      </c>
      <c r="H197">
        <v>17</v>
      </c>
      <c r="I197">
        <v>4.5999999999999996</v>
      </c>
      <c r="J197">
        <v>4.4000000000000004</v>
      </c>
      <c r="K197">
        <v>11.4</v>
      </c>
      <c r="L197">
        <v>5.7</v>
      </c>
      <c r="M197">
        <v>18.7</v>
      </c>
      <c r="N197">
        <v>4.4000000000000004</v>
      </c>
      <c r="O197">
        <v>1.8</v>
      </c>
      <c r="P197">
        <v>17.2</v>
      </c>
      <c r="Q197">
        <v>12.5</v>
      </c>
      <c r="R197" t="s">
        <v>22</v>
      </c>
      <c r="S197">
        <v>13.2</v>
      </c>
      <c r="T197">
        <v>20</v>
      </c>
      <c r="U197">
        <v>9</v>
      </c>
      <c r="V197">
        <v>9</v>
      </c>
      <c r="W197">
        <v>3</v>
      </c>
      <c r="X197">
        <v>0.2</v>
      </c>
      <c r="Y197">
        <v>3.8</v>
      </c>
      <c r="Z197">
        <v>6.5</v>
      </c>
      <c r="AA197">
        <v>8.6</v>
      </c>
      <c r="AB197">
        <f t="shared" si="6"/>
        <v>138.9</v>
      </c>
      <c r="AC197">
        <v>145.4</v>
      </c>
      <c r="AD197">
        <v>16</v>
      </c>
      <c r="AE197">
        <f t="shared" si="7"/>
        <v>6</v>
      </c>
      <c r="AF197">
        <v>3</v>
      </c>
      <c r="AG197">
        <v>0</v>
      </c>
      <c r="AH197">
        <v>0</v>
      </c>
      <c r="AI197">
        <v>0</v>
      </c>
      <c r="AJ197">
        <v>0.35294117647058826</v>
      </c>
      <c r="AK197">
        <v>0.17647058823529413</v>
      </c>
      <c r="AL197">
        <v>0</v>
      </c>
      <c r="AM197">
        <v>0</v>
      </c>
      <c r="AN197">
        <v>0</v>
      </c>
    </row>
    <row r="198" spans="1:40" x14ac:dyDescent="0.25">
      <c r="A198">
        <v>2025</v>
      </c>
      <c r="B198" t="s">
        <v>220</v>
      </c>
      <c r="C198" t="str">
        <f>IF(COUNTIF('Rookies 22-25'!$B$198:$B$349,E198)&gt;0,"(R)","No")</f>
        <v>No</v>
      </c>
      <c r="D198">
        <v>32</v>
      </c>
      <c r="E198" t="s">
        <v>252</v>
      </c>
      <c r="F198" t="s">
        <v>65</v>
      </c>
      <c r="G198">
        <f>VLOOKUP(E198,'25 Draft ADP'!$B$3:$D$505,3,FALSE)</f>
        <v>156</v>
      </c>
      <c r="H198">
        <v>17</v>
      </c>
      <c r="I198">
        <v>2.6</v>
      </c>
      <c r="J198">
        <v>14.6</v>
      </c>
      <c r="K198">
        <v>2.4</v>
      </c>
      <c r="L198">
        <v>8.6</v>
      </c>
      <c r="M198">
        <v>23.1</v>
      </c>
      <c r="N198">
        <v>17.600000000000001</v>
      </c>
      <c r="O198">
        <v>8.4</v>
      </c>
      <c r="P198">
        <v>8.1</v>
      </c>
      <c r="Q198" t="s">
        <v>22</v>
      </c>
      <c r="R198">
        <v>10.4</v>
      </c>
      <c r="S198">
        <v>8.1999999999999993</v>
      </c>
      <c r="T198">
        <v>5.2</v>
      </c>
      <c r="U198">
        <v>5.9</v>
      </c>
      <c r="V198">
        <v>6.5</v>
      </c>
      <c r="W198">
        <v>3.6</v>
      </c>
      <c r="X198">
        <v>8</v>
      </c>
      <c r="Y198">
        <v>3.7</v>
      </c>
      <c r="Z198">
        <v>6.1</v>
      </c>
      <c r="AA198">
        <v>8.4</v>
      </c>
      <c r="AB198">
        <f t="shared" si="6"/>
        <v>136.9</v>
      </c>
      <c r="AC198">
        <v>143</v>
      </c>
      <c r="AD198">
        <v>14</v>
      </c>
      <c r="AE198">
        <f t="shared" si="7"/>
        <v>4</v>
      </c>
      <c r="AF198">
        <v>2</v>
      </c>
      <c r="AG198">
        <v>1</v>
      </c>
      <c r="AH198">
        <v>0</v>
      </c>
      <c r="AI198">
        <v>0</v>
      </c>
      <c r="AJ198">
        <v>0.23529411764705882</v>
      </c>
      <c r="AK198">
        <v>0.11764705882352941</v>
      </c>
      <c r="AL198">
        <v>5.8823529411764705E-2</v>
      </c>
      <c r="AM198">
        <v>0</v>
      </c>
      <c r="AN198">
        <v>0</v>
      </c>
    </row>
    <row r="199" spans="1:40" x14ac:dyDescent="0.25">
      <c r="A199">
        <v>2025</v>
      </c>
      <c r="B199" t="s">
        <v>220</v>
      </c>
      <c r="C199" t="str">
        <f>IF(COUNTIF('Rookies 22-25'!$B$198:$B$349,E199)&gt;0,"(R)","No")</f>
        <v>(R)</v>
      </c>
      <c r="D199">
        <v>33</v>
      </c>
      <c r="E199" t="s">
        <v>253</v>
      </c>
      <c r="F199" t="s">
        <v>59</v>
      </c>
      <c r="G199">
        <f>VLOOKUP(E199,'25 Draft ADP'!$B$3:$D$505,3,FALSE)</f>
        <v>96</v>
      </c>
      <c r="H199">
        <v>17</v>
      </c>
      <c r="I199">
        <v>14.2</v>
      </c>
      <c r="J199">
        <v>1.7</v>
      </c>
      <c r="K199">
        <v>10.1</v>
      </c>
      <c r="L199">
        <v>7.7</v>
      </c>
      <c r="M199">
        <v>27</v>
      </c>
      <c r="N199">
        <v>5.8</v>
      </c>
      <c r="O199">
        <v>4.2</v>
      </c>
      <c r="P199">
        <v>2.5</v>
      </c>
      <c r="Q199">
        <v>5.0999999999999996</v>
      </c>
      <c r="R199">
        <v>3</v>
      </c>
      <c r="S199">
        <v>4.3</v>
      </c>
      <c r="T199" t="s">
        <v>22</v>
      </c>
      <c r="U199">
        <v>2</v>
      </c>
      <c r="V199">
        <v>3.2</v>
      </c>
      <c r="W199">
        <v>15.6</v>
      </c>
      <c r="X199">
        <v>8.5</v>
      </c>
      <c r="Y199">
        <v>22.5</v>
      </c>
      <c r="Z199">
        <v>2.9</v>
      </c>
      <c r="AA199">
        <v>8.3000000000000007</v>
      </c>
      <c r="AB199">
        <f t="shared" si="6"/>
        <v>137.4</v>
      </c>
      <c r="AC199">
        <v>140.30000000000001</v>
      </c>
      <c r="AD199">
        <v>7</v>
      </c>
      <c r="AE199">
        <f t="shared" si="7"/>
        <v>5</v>
      </c>
      <c r="AF199">
        <v>3</v>
      </c>
      <c r="AG199">
        <v>2</v>
      </c>
      <c r="AH199">
        <v>1</v>
      </c>
      <c r="AI199">
        <v>0</v>
      </c>
      <c r="AJ199">
        <v>0.29411764705882354</v>
      </c>
      <c r="AK199">
        <v>0.17647058823529413</v>
      </c>
      <c r="AL199">
        <v>0.11764705882352941</v>
      </c>
      <c r="AM199">
        <v>5.8823529411764705E-2</v>
      </c>
      <c r="AN199">
        <v>0</v>
      </c>
    </row>
    <row r="200" spans="1:40" x14ac:dyDescent="0.25">
      <c r="A200">
        <v>2025</v>
      </c>
      <c r="B200" t="s">
        <v>220</v>
      </c>
      <c r="C200" t="str">
        <f>IF(COUNTIF('Rookies 22-25'!$B$198:$B$349,E200)&gt;0,"(R)","No")</f>
        <v>No</v>
      </c>
      <c r="D200">
        <v>34</v>
      </c>
      <c r="E200" t="s">
        <v>254</v>
      </c>
      <c r="F200" t="s">
        <v>65</v>
      </c>
      <c r="G200">
        <f>VLOOKUP(E200,'25 Draft ADP'!$B$3:$D$505,3,FALSE)</f>
        <v>19</v>
      </c>
      <c r="H200">
        <v>10</v>
      </c>
      <c r="I200">
        <v>14.5</v>
      </c>
      <c r="J200">
        <v>18.100000000000001</v>
      </c>
      <c r="K200">
        <v>13.9</v>
      </c>
      <c r="L200">
        <v>25.5</v>
      </c>
      <c r="M200" t="s">
        <v>33</v>
      </c>
      <c r="N200" t="s">
        <v>33</v>
      </c>
      <c r="O200" t="s">
        <v>33</v>
      </c>
      <c r="P200" t="s">
        <v>33</v>
      </c>
      <c r="Q200" t="s">
        <v>22</v>
      </c>
      <c r="R200" t="s">
        <v>33</v>
      </c>
      <c r="S200" t="s">
        <v>33</v>
      </c>
      <c r="T200" t="s">
        <v>33</v>
      </c>
      <c r="U200">
        <v>16.100000000000001</v>
      </c>
      <c r="V200">
        <v>16.100000000000001</v>
      </c>
      <c r="W200">
        <v>8.1</v>
      </c>
      <c r="X200">
        <v>7.1</v>
      </c>
      <c r="Y200">
        <v>8.3000000000000007</v>
      </c>
      <c r="Z200">
        <v>10.8</v>
      </c>
      <c r="AA200">
        <v>13.9</v>
      </c>
      <c r="AB200">
        <f t="shared" si="6"/>
        <v>127.7</v>
      </c>
      <c r="AC200">
        <v>138.5</v>
      </c>
      <c r="AD200">
        <v>2</v>
      </c>
      <c r="AE200">
        <f t="shared" si="7"/>
        <v>6</v>
      </c>
      <c r="AF200">
        <v>4</v>
      </c>
      <c r="AG200">
        <v>1</v>
      </c>
      <c r="AH200">
        <v>1</v>
      </c>
      <c r="AI200">
        <v>0</v>
      </c>
      <c r="AJ200">
        <v>0.41176470588235292</v>
      </c>
      <c r="AK200">
        <v>0.4</v>
      </c>
      <c r="AL200">
        <v>0.1</v>
      </c>
      <c r="AM200">
        <v>0.1</v>
      </c>
      <c r="AN200">
        <v>0</v>
      </c>
    </row>
    <row r="201" spans="1:40" x14ac:dyDescent="0.25">
      <c r="A201">
        <v>2025</v>
      </c>
      <c r="B201" t="s">
        <v>220</v>
      </c>
      <c r="C201" t="str">
        <f>IF(COUNTIF('Rookies 22-25'!$B$198:$B$349,E201)&gt;0,"(R)","No")</f>
        <v>(R)</v>
      </c>
      <c r="D201">
        <v>35</v>
      </c>
      <c r="E201" t="s">
        <v>255</v>
      </c>
      <c r="F201" t="s">
        <v>51</v>
      </c>
      <c r="G201">
        <f>VLOOKUP(E201,'25 Draft ADP'!$B$3:$D$505,3,FALSE)</f>
        <v>29</v>
      </c>
      <c r="H201">
        <v>9</v>
      </c>
      <c r="I201">
        <v>8.1</v>
      </c>
      <c r="J201">
        <v>3.5</v>
      </c>
      <c r="K201">
        <v>24.9</v>
      </c>
      <c r="L201">
        <v>27.5</v>
      </c>
      <c r="M201">
        <v>13</v>
      </c>
      <c r="N201" t="s">
        <v>33</v>
      </c>
      <c r="O201" t="s">
        <v>33</v>
      </c>
      <c r="P201" t="s">
        <v>33</v>
      </c>
      <c r="Q201" t="s">
        <v>33</v>
      </c>
      <c r="R201" t="s">
        <v>33</v>
      </c>
      <c r="S201" t="s">
        <v>33</v>
      </c>
      <c r="T201" t="s">
        <v>22</v>
      </c>
      <c r="U201" t="s">
        <v>33</v>
      </c>
      <c r="V201">
        <v>14.7</v>
      </c>
      <c r="W201">
        <v>7.5</v>
      </c>
      <c r="X201">
        <v>16.5</v>
      </c>
      <c r="Y201">
        <v>20</v>
      </c>
      <c r="Z201">
        <v>0</v>
      </c>
      <c r="AA201">
        <v>15.1</v>
      </c>
      <c r="AB201">
        <f t="shared" si="6"/>
        <v>135.69999999999999</v>
      </c>
      <c r="AC201">
        <v>135.69999999999999</v>
      </c>
      <c r="AD201">
        <v>3</v>
      </c>
      <c r="AE201">
        <f t="shared" si="7"/>
        <v>6</v>
      </c>
      <c r="AF201">
        <v>4</v>
      </c>
      <c r="AG201">
        <v>2</v>
      </c>
      <c r="AH201">
        <v>1</v>
      </c>
      <c r="AI201">
        <v>0</v>
      </c>
      <c r="AJ201">
        <v>0.35294117647058826</v>
      </c>
      <c r="AK201">
        <v>0.44444444444444442</v>
      </c>
      <c r="AL201">
        <v>0.22222222222222221</v>
      </c>
      <c r="AM201">
        <v>0.1111111111111111</v>
      </c>
      <c r="AN201">
        <v>0</v>
      </c>
    </row>
    <row r="202" spans="1:40" x14ac:dyDescent="0.25">
      <c r="A202">
        <v>2025</v>
      </c>
      <c r="B202" t="s">
        <v>220</v>
      </c>
      <c r="C202" t="str">
        <f>IF(COUNTIF('Rookies 22-25'!$B$198:$B$349,E202)&gt;0,"(R)","No")</f>
        <v>No</v>
      </c>
      <c r="D202">
        <v>36</v>
      </c>
      <c r="E202" t="s">
        <v>256</v>
      </c>
      <c r="F202" t="s">
        <v>73</v>
      </c>
      <c r="G202">
        <f>VLOOKUP(E202,'25 Draft ADP'!$B$3:$D$505,3,FALSE)</f>
        <v>85</v>
      </c>
      <c r="H202">
        <v>16</v>
      </c>
      <c r="I202">
        <v>8.5</v>
      </c>
      <c r="J202">
        <v>5.8</v>
      </c>
      <c r="K202">
        <v>23.6</v>
      </c>
      <c r="L202">
        <v>10.199999999999999</v>
      </c>
      <c r="M202">
        <v>12.6</v>
      </c>
      <c r="N202" t="s">
        <v>22</v>
      </c>
      <c r="O202">
        <v>11.7</v>
      </c>
      <c r="P202">
        <v>1.6</v>
      </c>
      <c r="Q202">
        <v>4.7</v>
      </c>
      <c r="R202">
        <v>4.0999999999999996</v>
      </c>
      <c r="S202">
        <v>10.5</v>
      </c>
      <c r="T202">
        <v>4.2</v>
      </c>
      <c r="U202">
        <v>5.8</v>
      </c>
      <c r="V202">
        <v>11.2</v>
      </c>
      <c r="W202">
        <v>2.9</v>
      </c>
      <c r="X202">
        <v>2.1</v>
      </c>
      <c r="Y202" t="s">
        <v>33</v>
      </c>
      <c r="Z202">
        <v>9.4</v>
      </c>
      <c r="AA202">
        <v>8.1</v>
      </c>
      <c r="AB202">
        <f t="shared" si="6"/>
        <v>119.5</v>
      </c>
      <c r="AC202">
        <v>128.9</v>
      </c>
      <c r="AD202">
        <v>8</v>
      </c>
      <c r="AE202">
        <f t="shared" si="7"/>
        <v>6</v>
      </c>
      <c r="AF202">
        <v>1</v>
      </c>
      <c r="AG202">
        <v>1</v>
      </c>
      <c r="AH202">
        <v>0</v>
      </c>
      <c r="AI202">
        <v>0</v>
      </c>
      <c r="AJ202">
        <v>0.35294117647058826</v>
      </c>
      <c r="AK202">
        <v>6.25E-2</v>
      </c>
      <c r="AL202">
        <v>6.25E-2</v>
      </c>
      <c r="AM202">
        <v>0</v>
      </c>
      <c r="AN202">
        <v>0</v>
      </c>
    </row>
    <row r="203" spans="1:40" x14ac:dyDescent="0.25">
      <c r="A203">
        <v>2025</v>
      </c>
      <c r="B203" t="s">
        <v>220</v>
      </c>
      <c r="C203" t="str">
        <f>IF(COUNTIF('Rookies 22-25'!$B$198:$B$349,E203)&gt;0,"(R)","No")</f>
        <v>(R)</v>
      </c>
      <c r="D203">
        <v>37</v>
      </c>
      <c r="E203" t="s">
        <v>257</v>
      </c>
      <c r="F203" t="s">
        <v>57</v>
      </c>
      <c r="G203">
        <f>VLOOKUP(E203,'25 Draft ADP'!$B$3:$D$505,3,FALSE)</f>
        <v>113</v>
      </c>
      <c r="H203">
        <v>8</v>
      </c>
      <c r="I203">
        <v>2.9</v>
      </c>
      <c r="J203">
        <v>13.9</v>
      </c>
      <c r="K203">
        <v>24.1</v>
      </c>
      <c r="L203">
        <v>13</v>
      </c>
      <c r="M203">
        <v>14.4</v>
      </c>
      <c r="N203">
        <v>31</v>
      </c>
      <c r="O203">
        <v>18.399999999999999</v>
      </c>
      <c r="P203">
        <v>10</v>
      </c>
      <c r="Q203" t="s">
        <v>33</v>
      </c>
      <c r="R203" t="s">
        <v>33</v>
      </c>
      <c r="S203" t="s">
        <v>33</v>
      </c>
      <c r="T203" t="s">
        <v>33</v>
      </c>
      <c r="U203" t="s">
        <v>33</v>
      </c>
      <c r="V203" t="s">
        <v>22</v>
      </c>
      <c r="W203" t="s">
        <v>33</v>
      </c>
      <c r="X203" t="s">
        <v>33</v>
      </c>
      <c r="Y203" t="s">
        <v>33</v>
      </c>
      <c r="Z203">
        <v>0</v>
      </c>
      <c r="AA203">
        <v>16</v>
      </c>
      <c r="AB203">
        <f t="shared" si="6"/>
        <v>127.7</v>
      </c>
      <c r="AC203">
        <v>127.7</v>
      </c>
      <c r="AD203">
        <v>10</v>
      </c>
      <c r="AE203">
        <f t="shared" si="7"/>
        <v>6</v>
      </c>
      <c r="AF203">
        <v>3</v>
      </c>
      <c r="AG203">
        <v>2</v>
      </c>
      <c r="AH203">
        <v>1</v>
      </c>
      <c r="AI203">
        <v>1</v>
      </c>
      <c r="AJ203">
        <v>0.35294117647058826</v>
      </c>
      <c r="AK203">
        <v>0.375</v>
      </c>
      <c r="AL203">
        <v>0.25</v>
      </c>
      <c r="AM203">
        <v>0.125</v>
      </c>
      <c r="AN203">
        <v>0.125</v>
      </c>
    </row>
    <row r="204" spans="1:40" x14ac:dyDescent="0.25">
      <c r="A204">
        <v>2025</v>
      </c>
      <c r="B204" t="s">
        <v>220</v>
      </c>
      <c r="C204" t="str">
        <f>IF(COUNTIF('Rookies 22-25'!$B$198:$B$349,E204)&gt;0,"(R)","No")</f>
        <v>No</v>
      </c>
      <c r="D204">
        <v>38</v>
      </c>
      <c r="E204" t="s">
        <v>258</v>
      </c>
      <c r="F204" t="s">
        <v>95</v>
      </c>
      <c r="G204">
        <f>VLOOKUP(E204,'25 Draft ADP'!$B$3:$D$505,3,FALSE)</f>
        <v>51</v>
      </c>
      <c r="H204">
        <v>15</v>
      </c>
      <c r="I204">
        <v>17.899999999999999</v>
      </c>
      <c r="J204">
        <v>18.7</v>
      </c>
      <c r="K204">
        <v>9.6</v>
      </c>
      <c r="L204">
        <v>9.9</v>
      </c>
      <c r="M204" t="s">
        <v>33</v>
      </c>
      <c r="N204" t="s">
        <v>33</v>
      </c>
      <c r="O204">
        <v>7.5</v>
      </c>
      <c r="P204">
        <v>9.4</v>
      </c>
      <c r="Q204">
        <v>1.7</v>
      </c>
      <c r="R204">
        <v>2.5</v>
      </c>
      <c r="S204">
        <v>3.8</v>
      </c>
      <c r="T204">
        <v>8.3000000000000007</v>
      </c>
      <c r="U204">
        <v>20.399999999999999</v>
      </c>
      <c r="V204" t="s">
        <v>22</v>
      </c>
      <c r="W204">
        <v>4.8</v>
      </c>
      <c r="X204">
        <v>4.4000000000000004</v>
      </c>
      <c r="Y204">
        <v>2.8</v>
      </c>
      <c r="Z204">
        <v>3.7</v>
      </c>
      <c r="AA204">
        <v>8.4</v>
      </c>
      <c r="AB204">
        <f t="shared" si="6"/>
        <v>121.7</v>
      </c>
      <c r="AC204">
        <v>125.4</v>
      </c>
      <c r="AD204">
        <v>5</v>
      </c>
      <c r="AE204">
        <f t="shared" si="7"/>
        <v>3</v>
      </c>
      <c r="AF204">
        <v>3</v>
      </c>
      <c r="AG204">
        <v>1</v>
      </c>
      <c r="AH204">
        <v>0</v>
      </c>
      <c r="AI204">
        <v>0</v>
      </c>
      <c r="AJ204">
        <v>0.17647058823529413</v>
      </c>
      <c r="AK204">
        <v>0.2</v>
      </c>
      <c r="AL204">
        <v>6.6666666666666666E-2</v>
      </c>
      <c r="AM204">
        <v>0</v>
      </c>
      <c r="AN204">
        <v>0</v>
      </c>
    </row>
    <row r="205" spans="1:40" x14ac:dyDescent="0.25">
      <c r="A205">
        <v>2025</v>
      </c>
      <c r="B205" t="s">
        <v>220</v>
      </c>
      <c r="C205" t="str">
        <f>IF(COUNTIF('Rookies 22-25'!$B$198:$B$349,E205)&gt;0,"(R)","No")</f>
        <v>No</v>
      </c>
      <c r="D205">
        <v>39</v>
      </c>
      <c r="E205" t="s">
        <v>259</v>
      </c>
      <c r="F205" t="s">
        <v>24</v>
      </c>
      <c r="G205">
        <f>VLOOKUP(E205,'25 Draft ADP'!$B$3:$D$505,3,FALSE)</f>
        <v>162</v>
      </c>
      <c r="H205">
        <v>17</v>
      </c>
      <c r="I205">
        <v>2.4</v>
      </c>
      <c r="J205">
        <v>15</v>
      </c>
      <c r="K205">
        <v>1.4</v>
      </c>
      <c r="L205">
        <v>11.1</v>
      </c>
      <c r="M205" t="s">
        <v>22</v>
      </c>
      <c r="N205">
        <v>10.8</v>
      </c>
      <c r="O205">
        <v>1.6</v>
      </c>
      <c r="P205">
        <v>9.4</v>
      </c>
      <c r="Q205">
        <v>0.6</v>
      </c>
      <c r="R205">
        <v>17.7</v>
      </c>
      <c r="S205">
        <v>9.6</v>
      </c>
      <c r="T205">
        <v>5.9</v>
      </c>
      <c r="U205">
        <v>13.5</v>
      </c>
      <c r="V205">
        <v>8.6999999999999993</v>
      </c>
      <c r="W205">
        <v>1.8</v>
      </c>
      <c r="X205">
        <v>8.3000000000000007</v>
      </c>
      <c r="Y205">
        <v>2.2999999999999998</v>
      </c>
      <c r="Z205">
        <v>2.9</v>
      </c>
      <c r="AA205">
        <v>7.2</v>
      </c>
      <c r="AB205">
        <f t="shared" si="6"/>
        <v>120.1</v>
      </c>
      <c r="AC205">
        <v>123</v>
      </c>
      <c r="AD205">
        <v>14</v>
      </c>
      <c r="AE205">
        <f t="shared" si="7"/>
        <v>5</v>
      </c>
      <c r="AF205">
        <v>1</v>
      </c>
      <c r="AG205">
        <v>0</v>
      </c>
      <c r="AH205">
        <v>0</v>
      </c>
      <c r="AI205">
        <v>0</v>
      </c>
      <c r="AJ205">
        <v>0.29411764705882354</v>
      </c>
      <c r="AK205">
        <v>5.8823529411764705E-2</v>
      </c>
      <c r="AL205">
        <v>0</v>
      </c>
      <c r="AM205">
        <v>0</v>
      </c>
      <c r="AN205">
        <v>0</v>
      </c>
    </row>
    <row r="206" spans="1:40" x14ac:dyDescent="0.25">
      <c r="A206">
        <v>2025</v>
      </c>
      <c r="B206" t="s">
        <v>220</v>
      </c>
      <c r="C206" t="str">
        <f>IF(COUNTIF('Rookies 22-25'!$B$198:$B$349,E206)&gt;0,"(R)","No")</f>
        <v>No</v>
      </c>
      <c r="D206">
        <v>40</v>
      </c>
      <c r="E206" t="s">
        <v>260</v>
      </c>
      <c r="F206" t="s">
        <v>55</v>
      </c>
      <c r="G206">
        <f>VLOOKUP(E206,'25 Draft ADP'!$B$3:$D$505,3,FALSE)</f>
        <v>202</v>
      </c>
      <c r="H206">
        <v>17</v>
      </c>
      <c r="I206">
        <v>2.6</v>
      </c>
      <c r="J206">
        <v>10.4</v>
      </c>
      <c r="K206">
        <v>5.3</v>
      </c>
      <c r="L206">
        <v>3.6</v>
      </c>
      <c r="M206">
        <v>1.3</v>
      </c>
      <c r="N206">
        <v>2.2999999999999998</v>
      </c>
      <c r="O206">
        <v>5.3</v>
      </c>
      <c r="P206" t="s">
        <v>22</v>
      </c>
      <c r="Q206">
        <v>5.8</v>
      </c>
      <c r="R206">
        <v>5.6</v>
      </c>
      <c r="S206">
        <v>1.5</v>
      </c>
      <c r="T206">
        <v>2.4</v>
      </c>
      <c r="U206">
        <v>14.1</v>
      </c>
      <c r="V206">
        <v>26.1</v>
      </c>
      <c r="W206">
        <v>13.1</v>
      </c>
      <c r="X206">
        <v>13.1</v>
      </c>
      <c r="Y206">
        <v>1.8</v>
      </c>
      <c r="Z206">
        <v>7.9</v>
      </c>
      <c r="AA206">
        <v>7.2</v>
      </c>
      <c r="AB206">
        <f t="shared" si="6"/>
        <v>114.3</v>
      </c>
      <c r="AC206">
        <v>122.2</v>
      </c>
      <c r="AD206">
        <v>18</v>
      </c>
      <c r="AE206">
        <f t="shared" si="7"/>
        <v>5</v>
      </c>
      <c r="AF206">
        <v>1</v>
      </c>
      <c r="AG206">
        <v>1</v>
      </c>
      <c r="AH206">
        <v>1</v>
      </c>
      <c r="AI206">
        <v>0</v>
      </c>
      <c r="AJ206">
        <v>0.29411764705882354</v>
      </c>
      <c r="AK206">
        <v>5.8823529411764705E-2</v>
      </c>
      <c r="AL206">
        <v>5.8823529411764705E-2</v>
      </c>
      <c r="AM206">
        <v>5.8823529411764705E-2</v>
      </c>
      <c r="AN206">
        <v>0</v>
      </c>
    </row>
    <row r="207" spans="1:40" x14ac:dyDescent="0.25">
      <c r="A207">
        <v>2025</v>
      </c>
      <c r="B207" t="s">
        <v>220</v>
      </c>
      <c r="C207" t="str">
        <f>IF(COUNTIF('Rookies 22-25'!$B$198:$B$349,E207)&gt;0,"(R)","No")</f>
        <v>No</v>
      </c>
      <c r="D207">
        <v>41</v>
      </c>
      <c r="E207" t="s">
        <v>261</v>
      </c>
      <c r="F207" t="s">
        <v>73</v>
      </c>
      <c r="G207">
        <f>VLOOKUP(E207,'25 Draft ADP'!$B$3:$D$505,3,FALSE)</f>
        <v>72</v>
      </c>
      <c r="H207">
        <v>12</v>
      </c>
      <c r="I207">
        <v>15.7</v>
      </c>
      <c r="J207">
        <v>2.2999999999999998</v>
      </c>
      <c r="K207" t="s">
        <v>33</v>
      </c>
      <c r="L207" t="s">
        <v>33</v>
      </c>
      <c r="M207" t="s">
        <v>33</v>
      </c>
      <c r="N207" t="s">
        <v>22</v>
      </c>
      <c r="O207" t="s">
        <v>33</v>
      </c>
      <c r="P207">
        <v>5</v>
      </c>
      <c r="Q207">
        <v>11.8</v>
      </c>
      <c r="R207">
        <v>15.9</v>
      </c>
      <c r="S207">
        <v>11.1</v>
      </c>
      <c r="T207">
        <v>8.6999999999999993</v>
      </c>
      <c r="U207">
        <v>4.5</v>
      </c>
      <c r="V207">
        <v>7.6</v>
      </c>
      <c r="W207">
        <v>9.5</v>
      </c>
      <c r="X207">
        <v>11.3</v>
      </c>
      <c r="Y207">
        <v>15.3</v>
      </c>
      <c r="Z207">
        <v>0</v>
      </c>
      <c r="AA207">
        <v>9.9</v>
      </c>
      <c r="AB207">
        <f t="shared" si="6"/>
        <v>118.7</v>
      </c>
      <c r="AC207">
        <v>118.7</v>
      </c>
      <c r="AD207">
        <v>7</v>
      </c>
      <c r="AE207">
        <f t="shared" si="7"/>
        <v>6</v>
      </c>
      <c r="AF207">
        <v>3</v>
      </c>
      <c r="AG207">
        <v>0</v>
      </c>
      <c r="AH207">
        <v>0</v>
      </c>
      <c r="AI207">
        <v>0</v>
      </c>
      <c r="AJ207">
        <v>0.35294117647058826</v>
      </c>
      <c r="AK207">
        <v>0.25</v>
      </c>
      <c r="AL207">
        <v>0</v>
      </c>
      <c r="AM207">
        <v>0</v>
      </c>
      <c r="AN207">
        <v>0</v>
      </c>
    </row>
    <row r="208" spans="1:40" x14ac:dyDescent="0.25">
      <c r="A208">
        <v>2025</v>
      </c>
      <c r="B208" t="s">
        <v>220</v>
      </c>
      <c r="C208" t="str">
        <f>IF(COUNTIF('Rookies 22-25'!$B$198:$B$349,E208)&gt;0,"(R)","No")</f>
        <v>No</v>
      </c>
      <c r="D208">
        <v>42</v>
      </c>
      <c r="E208" t="s">
        <v>262</v>
      </c>
      <c r="F208" t="s">
        <v>51</v>
      </c>
      <c r="G208">
        <f>VLOOKUP(E208,'25 Draft ADP'!$B$3:$D$505,3,FALSE)</f>
        <v>406</v>
      </c>
      <c r="H208">
        <v>13</v>
      </c>
      <c r="I208" t="s">
        <v>33</v>
      </c>
      <c r="J208" t="s">
        <v>33</v>
      </c>
      <c r="K208" t="s">
        <v>33</v>
      </c>
      <c r="L208">
        <v>0</v>
      </c>
      <c r="M208">
        <v>2.9</v>
      </c>
      <c r="N208">
        <v>22.8</v>
      </c>
      <c r="O208">
        <v>7.5</v>
      </c>
      <c r="P208">
        <v>19.7</v>
      </c>
      <c r="Q208">
        <v>3</v>
      </c>
      <c r="R208">
        <v>17.8</v>
      </c>
      <c r="S208">
        <v>3.2</v>
      </c>
      <c r="T208" t="s">
        <v>22</v>
      </c>
      <c r="U208">
        <v>20.7</v>
      </c>
      <c r="V208">
        <v>11.4</v>
      </c>
      <c r="W208">
        <v>5.8</v>
      </c>
      <c r="X208">
        <v>1.1000000000000001</v>
      </c>
      <c r="Y208" t="s">
        <v>33</v>
      </c>
      <c r="Z208">
        <v>2</v>
      </c>
      <c r="AA208">
        <v>9.1</v>
      </c>
      <c r="AB208">
        <f t="shared" si="6"/>
        <v>115.9</v>
      </c>
      <c r="AC208">
        <v>117.9</v>
      </c>
      <c r="AD208">
        <v>20</v>
      </c>
      <c r="AE208">
        <f t="shared" si="7"/>
        <v>5</v>
      </c>
      <c r="AF208">
        <v>4</v>
      </c>
      <c r="AG208">
        <v>2</v>
      </c>
      <c r="AH208">
        <v>0</v>
      </c>
      <c r="AI208">
        <v>0</v>
      </c>
      <c r="AJ208">
        <v>0.29411764705882354</v>
      </c>
      <c r="AK208">
        <v>0.30769230769230771</v>
      </c>
      <c r="AL208">
        <v>0.15384615384615385</v>
      </c>
      <c r="AM208">
        <v>0</v>
      </c>
      <c r="AN208">
        <v>0</v>
      </c>
    </row>
    <row r="209" spans="1:40" x14ac:dyDescent="0.25">
      <c r="A209">
        <v>2025</v>
      </c>
      <c r="B209" t="s">
        <v>220</v>
      </c>
      <c r="C209" t="str">
        <f>IF(COUNTIF('Rookies 22-25'!$B$198:$B$349,E209)&gt;0,"(R)","No")</f>
        <v>No</v>
      </c>
      <c r="D209">
        <v>43</v>
      </c>
      <c r="E209" t="s">
        <v>263</v>
      </c>
      <c r="F209" t="s">
        <v>78</v>
      </c>
      <c r="G209">
        <f>VLOOKUP(E209,'25 Draft ADP'!$B$3:$D$505,3,FALSE)</f>
        <v>98</v>
      </c>
      <c r="H209">
        <v>10</v>
      </c>
      <c r="I209">
        <v>14.8</v>
      </c>
      <c r="J209">
        <v>15.5</v>
      </c>
      <c r="K209">
        <v>15.3</v>
      </c>
      <c r="L209">
        <v>11.5</v>
      </c>
      <c r="M209">
        <v>15.4</v>
      </c>
      <c r="N209">
        <v>4</v>
      </c>
      <c r="O209">
        <v>9</v>
      </c>
      <c r="P209">
        <v>14.1</v>
      </c>
      <c r="Q209">
        <v>6.9</v>
      </c>
      <c r="R209">
        <v>9.4</v>
      </c>
      <c r="S209" t="s">
        <v>33</v>
      </c>
      <c r="T209" t="s">
        <v>22</v>
      </c>
      <c r="U209" t="s">
        <v>33</v>
      </c>
      <c r="V209" t="s">
        <v>33</v>
      </c>
      <c r="W209" t="s">
        <v>33</v>
      </c>
      <c r="X209" t="s">
        <v>33</v>
      </c>
      <c r="Y209" t="s">
        <v>33</v>
      </c>
      <c r="Z209">
        <v>0</v>
      </c>
      <c r="AA209">
        <v>11.6</v>
      </c>
      <c r="AB209">
        <f t="shared" si="6"/>
        <v>115.9</v>
      </c>
      <c r="AC209">
        <v>115.9</v>
      </c>
      <c r="AD209">
        <v>9</v>
      </c>
      <c r="AE209">
        <f t="shared" si="7"/>
        <v>6</v>
      </c>
      <c r="AF209">
        <v>3</v>
      </c>
      <c r="AG209">
        <v>0</v>
      </c>
      <c r="AH209">
        <v>0</v>
      </c>
      <c r="AI209">
        <v>0</v>
      </c>
      <c r="AJ209">
        <v>0.35294117647058826</v>
      </c>
      <c r="AK209">
        <v>0.3</v>
      </c>
      <c r="AL209">
        <v>0</v>
      </c>
      <c r="AM209">
        <v>0</v>
      </c>
      <c r="AN209">
        <v>0</v>
      </c>
    </row>
    <row r="210" spans="1:40" x14ac:dyDescent="0.25">
      <c r="A210">
        <v>2025</v>
      </c>
      <c r="B210" t="s">
        <v>220</v>
      </c>
      <c r="C210" t="str">
        <f>IF(COUNTIF('Rookies 22-25'!$B$198:$B$349,E210)&gt;0,"(R)","No")</f>
        <v>No</v>
      </c>
      <c r="D210">
        <v>44</v>
      </c>
      <c r="E210" t="s">
        <v>264</v>
      </c>
      <c r="F210" t="s">
        <v>63</v>
      </c>
      <c r="G210">
        <f>VLOOKUP(E210,'25 Draft ADP'!$B$3:$D$505,3,FALSE)</f>
        <v>171</v>
      </c>
      <c r="H210">
        <v>13</v>
      </c>
      <c r="I210" t="s">
        <v>33</v>
      </c>
      <c r="J210" t="s">
        <v>33</v>
      </c>
      <c r="K210" t="s">
        <v>33</v>
      </c>
      <c r="L210" t="s">
        <v>33</v>
      </c>
      <c r="M210">
        <v>1.4</v>
      </c>
      <c r="N210">
        <v>9</v>
      </c>
      <c r="O210">
        <v>7</v>
      </c>
      <c r="P210">
        <v>17.2</v>
      </c>
      <c r="Q210">
        <v>9.1999999999999993</v>
      </c>
      <c r="R210" t="s">
        <v>22</v>
      </c>
      <c r="S210">
        <v>8.4</v>
      </c>
      <c r="T210">
        <v>6.5</v>
      </c>
      <c r="U210">
        <v>8.4</v>
      </c>
      <c r="V210">
        <v>6.7</v>
      </c>
      <c r="W210">
        <v>5.6</v>
      </c>
      <c r="X210">
        <v>21.5</v>
      </c>
      <c r="Y210">
        <v>1.1000000000000001</v>
      </c>
      <c r="Z210">
        <v>9.6999999999999993</v>
      </c>
      <c r="AA210">
        <v>8.6</v>
      </c>
      <c r="AB210">
        <f t="shared" si="6"/>
        <v>102</v>
      </c>
      <c r="AC210">
        <v>111.7</v>
      </c>
      <c r="AD210">
        <v>15</v>
      </c>
      <c r="AE210">
        <f t="shared" si="7"/>
        <v>2</v>
      </c>
      <c r="AF210">
        <v>2</v>
      </c>
      <c r="AG210">
        <v>1</v>
      </c>
      <c r="AH210">
        <v>0</v>
      </c>
      <c r="AI210">
        <v>0</v>
      </c>
      <c r="AJ210">
        <v>0.11764705882352941</v>
      </c>
      <c r="AK210">
        <v>0.15384615384615385</v>
      </c>
      <c r="AL210">
        <v>7.6923076923076927E-2</v>
      </c>
      <c r="AM210">
        <v>0</v>
      </c>
      <c r="AN210">
        <v>0</v>
      </c>
    </row>
    <row r="211" spans="1:40" x14ac:dyDescent="0.25">
      <c r="A211">
        <v>2025</v>
      </c>
      <c r="B211" t="s">
        <v>220</v>
      </c>
      <c r="C211" t="str">
        <f>IF(COUNTIF('Rookies 22-25'!$B$198:$B$349,E211)&gt;0,"(R)","No")</f>
        <v>No</v>
      </c>
      <c r="D211">
        <v>45</v>
      </c>
      <c r="E211" t="s">
        <v>265</v>
      </c>
      <c r="F211" t="s">
        <v>57</v>
      </c>
      <c r="G211">
        <f>VLOOKUP(E211,'25 Draft ADP'!$B$3:$D$505,3,FALSE)</f>
        <v>274</v>
      </c>
      <c r="H211">
        <v>17</v>
      </c>
      <c r="I211">
        <v>0.9</v>
      </c>
      <c r="J211">
        <v>1</v>
      </c>
      <c r="K211">
        <v>1.1000000000000001</v>
      </c>
      <c r="L211">
        <v>2.8</v>
      </c>
      <c r="M211">
        <v>3.4</v>
      </c>
      <c r="N211">
        <v>1</v>
      </c>
      <c r="O211">
        <v>0.2</v>
      </c>
      <c r="P211">
        <v>3.8</v>
      </c>
      <c r="Q211">
        <v>7.1</v>
      </c>
      <c r="R211">
        <v>10.3</v>
      </c>
      <c r="S211">
        <v>17.7</v>
      </c>
      <c r="T211">
        <v>4.7</v>
      </c>
      <c r="U211">
        <v>19.2</v>
      </c>
      <c r="V211" t="s">
        <v>22</v>
      </c>
      <c r="W211">
        <v>2.4</v>
      </c>
      <c r="X211">
        <v>5.6</v>
      </c>
      <c r="Y211">
        <v>17</v>
      </c>
      <c r="Z211">
        <v>10.6</v>
      </c>
      <c r="AA211">
        <v>6.4</v>
      </c>
      <c r="AB211">
        <f t="shared" si="6"/>
        <v>98.2</v>
      </c>
      <c r="AC211">
        <v>108.8</v>
      </c>
      <c r="AD211">
        <v>20</v>
      </c>
      <c r="AE211">
        <f t="shared" si="7"/>
        <v>4</v>
      </c>
      <c r="AF211">
        <v>3</v>
      </c>
      <c r="AG211">
        <v>0</v>
      </c>
      <c r="AH211">
        <v>0</v>
      </c>
      <c r="AI211">
        <v>0</v>
      </c>
      <c r="AJ211">
        <v>0.29411764705882354</v>
      </c>
      <c r="AK211">
        <v>0.17647058823529413</v>
      </c>
      <c r="AL211">
        <v>0</v>
      </c>
      <c r="AM211">
        <v>0</v>
      </c>
      <c r="AN211">
        <v>0</v>
      </c>
    </row>
    <row r="212" spans="1:40" x14ac:dyDescent="0.25">
      <c r="A212">
        <v>2025</v>
      </c>
      <c r="B212" t="s">
        <v>220</v>
      </c>
      <c r="C212" t="str">
        <f>IF(COUNTIF('Rookies 22-25'!$B$198:$B$349,E212)&gt;0,"(R)","No")</f>
        <v>No</v>
      </c>
      <c r="D212">
        <v>46</v>
      </c>
      <c r="E212" t="s">
        <v>266</v>
      </c>
      <c r="F212" t="s">
        <v>37</v>
      </c>
      <c r="G212">
        <f>VLOOKUP(E212,'25 Draft ADP'!$B$3:$D$505,3,FALSE)</f>
        <v>48</v>
      </c>
      <c r="H212">
        <v>11</v>
      </c>
      <c r="I212">
        <v>13.7</v>
      </c>
      <c r="J212">
        <v>16</v>
      </c>
      <c r="K212">
        <v>6.6</v>
      </c>
      <c r="L212">
        <v>11.2</v>
      </c>
      <c r="M212">
        <v>9.5</v>
      </c>
      <c r="N212">
        <v>12.6</v>
      </c>
      <c r="O212">
        <v>5.9</v>
      </c>
      <c r="P212">
        <v>6.5</v>
      </c>
      <c r="Q212">
        <v>0.7</v>
      </c>
      <c r="R212">
        <v>14.5</v>
      </c>
      <c r="S212" t="s">
        <v>22</v>
      </c>
      <c r="T212">
        <v>3.5</v>
      </c>
      <c r="U212" t="s">
        <v>33</v>
      </c>
      <c r="V212" t="s">
        <v>33</v>
      </c>
      <c r="W212" t="s">
        <v>33</v>
      </c>
      <c r="X212" t="s">
        <v>33</v>
      </c>
      <c r="Y212" t="s">
        <v>33</v>
      </c>
      <c r="Z212">
        <v>0</v>
      </c>
      <c r="AA212">
        <v>9.1999999999999993</v>
      </c>
      <c r="AB212">
        <f t="shared" si="6"/>
        <v>100.7</v>
      </c>
      <c r="AC212">
        <v>100.7</v>
      </c>
      <c r="AD212">
        <v>4</v>
      </c>
      <c r="AE212">
        <f t="shared" si="7"/>
        <v>5</v>
      </c>
      <c r="AF212">
        <v>1</v>
      </c>
      <c r="AG212">
        <v>0</v>
      </c>
      <c r="AH212">
        <v>0</v>
      </c>
      <c r="AI212">
        <v>0</v>
      </c>
      <c r="AJ212">
        <v>0.29411764705882354</v>
      </c>
      <c r="AK212">
        <v>9.0909090909090912E-2</v>
      </c>
      <c r="AL212">
        <v>0</v>
      </c>
      <c r="AM212">
        <v>0</v>
      </c>
      <c r="AN212">
        <v>0</v>
      </c>
    </row>
    <row r="213" spans="1:40" x14ac:dyDescent="0.25">
      <c r="A213">
        <v>2025</v>
      </c>
      <c r="B213" t="s">
        <v>220</v>
      </c>
      <c r="C213" t="str">
        <f>IF(COUNTIF('Rookies 22-25'!$B$198:$B$349,E213)&gt;0,"(R)","No")</f>
        <v>No</v>
      </c>
      <c r="D213">
        <v>47</v>
      </c>
      <c r="E213" t="s">
        <v>267</v>
      </c>
      <c r="F213" t="s">
        <v>61</v>
      </c>
      <c r="G213">
        <f>VLOOKUP(E213,'25 Draft ADP'!$B$3:$D$505,3,FALSE)</f>
        <v>268</v>
      </c>
      <c r="H213">
        <v>17</v>
      </c>
      <c r="I213">
        <v>2.4</v>
      </c>
      <c r="J213">
        <v>0.6</v>
      </c>
      <c r="K213">
        <v>3.1</v>
      </c>
      <c r="L213">
        <v>0</v>
      </c>
      <c r="M213">
        <v>1</v>
      </c>
      <c r="N213">
        <v>2.6</v>
      </c>
      <c r="O213" t="s">
        <v>22</v>
      </c>
      <c r="P213">
        <v>0.6</v>
      </c>
      <c r="Q213">
        <v>10</v>
      </c>
      <c r="R213">
        <v>4.5999999999999996</v>
      </c>
      <c r="S213">
        <v>15</v>
      </c>
      <c r="T213">
        <v>8.1999999999999993</v>
      </c>
      <c r="U213">
        <v>5.5</v>
      </c>
      <c r="V213">
        <v>5.9</v>
      </c>
      <c r="W213">
        <v>5.8</v>
      </c>
      <c r="X213">
        <v>7.6</v>
      </c>
      <c r="Y213">
        <v>7.8</v>
      </c>
      <c r="Z213">
        <v>19.600000000000001</v>
      </c>
      <c r="AA213">
        <v>5.9</v>
      </c>
      <c r="AB213">
        <f t="shared" si="6"/>
        <v>80.699999999999989</v>
      </c>
      <c r="AC213">
        <v>100.3</v>
      </c>
      <c r="AD213">
        <v>20</v>
      </c>
      <c r="AE213">
        <f t="shared" si="7"/>
        <v>1</v>
      </c>
      <c r="AF213">
        <v>1</v>
      </c>
      <c r="AG213">
        <v>0</v>
      </c>
      <c r="AH213">
        <v>0</v>
      </c>
      <c r="AI213">
        <v>0</v>
      </c>
      <c r="AJ213">
        <v>0.11764705882352941</v>
      </c>
      <c r="AK213">
        <v>5.8823529411764705E-2</v>
      </c>
      <c r="AL213">
        <v>0</v>
      </c>
      <c r="AM213">
        <v>0</v>
      </c>
      <c r="AN213">
        <v>0</v>
      </c>
    </row>
    <row r="214" spans="1:40" x14ac:dyDescent="0.25">
      <c r="A214">
        <v>2025</v>
      </c>
      <c r="B214" t="s">
        <v>220</v>
      </c>
      <c r="C214" t="str">
        <f>IF(COUNTIF('Rookies 22-25'!$B$198:$B$349,E214)&gt;0,"(R)","No")</f>
        <v>No</v>
      </c>
      <c r="D214">
        <v>48</v>
      </c>
      <c r="E214" t="s">
        <v>268</v>
      </c>
      <c r="F214" t="s">
        <v>21</v>
      </c>
      <c r="G214">
        <f>VLOOKUP(E214,'25 Draft ADP'!$B$3:$D$505,3,FALSE)</f>
        <v>413</v>
      </c>
      <c r="H214">
        <v>13</v>
      </c>
      <c r="I214" t="s">
        <v>33</v>
      </c>
      <c r="J214" t="s">
        <v>33</v>
      </c>
      <c r="K214" t="s">
        <v>33</v>
      </c>
      <c r="L214">
        <v>0.1</v>
      </c>
      <c r="M214">
        <v>18.3</v>
      </c>
      <c r="N214">
        <v>8.4</v>
      </c>
      <c r="O214">
        <v>5.6</v>
      </c>
      <c r="P214" t="s">
        <v>22</v>
      </c>
      <c r="Q214" t="s">
        <v>33</v>
      </c>
      <c r="R214">
        <v>0.4</v>
      </c>
      <c r="S214">
        <v>7.8</v>
      </c>
      <c r="T214">
        <v>8.8000000000000007</v>
      </c>
      <c r="U214">
        <v>11.4</v>
      </c>
      <c r="V214">
        <v>5.0999999999999996</v>
      </c>
      <c r="W214">
        <v>13.4</v>
      </c>
      <c r="X214">
        <v>6.5</v>
      </c>
      <c r="Y214">
        <v>6.3</v>
      </c>
      <c r="Z214">
        <v>6.9</v>
      </c>
      <c r="AA214">
        <v>7.6</v>
      </c>
      <c r="AB214">
        <f t="shared" si="6"/>
        <v>92.1</v>
      </c>
      <c r="AC214">
        <v>99</v>
      </c>
      <c r="AD214">
        <v>20</v>
      </c>
      <c r="AE214">
        <f t="shared" si="7"/>
        <v>3</v>
      </c>
      <c r="AF214">
        <v>1</v>
      </c>
      <c r="AG214">
        <v>0</v>
      </c>
      <c r="AH214">
        <v>0</v>
      </c>
      <c r="AI214">
        <v>0</v>
      </c>
      <c r="AJ214">
        <v>0.17647058823529413</v>
      </c>
      <c r="AK214">
        <v>7.6923076923076927E-2</v>
      </c>
      <c r="AL214">
        <v>0</v>
      </c>
      <c r="AM214">
        <v>0</v>
      </c>
      <c r="AN214">
        <v>0</v>
      </c>
    </row>
    <row r="215" spans="1:40" x14ac:dyDescent="0.25">
      <c r="A215">
        <v>2025</v>
      </c>
      <c r="B215" t="s">
        <v>220</v>
      </c>
      <c r="C215" t="str">
        <f>IF(COUNTIF('Rookies 22-25'!$B$198:$B$349,E215)&gt;0,"(R)","No")</f>
        <v>No</v>
      </c>
      <c r="D215">
        <v>49</v>
      </c>
      <c r="E215" t="s">
        <v>269</v>
      </c>
      <c r="F215" t="s">
        <v>69</v>
      </c>
      <c r="G215">
        <f>VLOOKUP(E215,'25 Draft ADP'!$B$3:$D$505,3,FALSE)</f>
        <v>236</v>
      </c>
      <c r="H215">
        <v>17</v>
      </c>
      <c r="I215">
        <v>0.4</v>
      </c>
      <c r="J215">
        <v>0</v>
      </c>
      <c r="K215">
        <v>2.5</v>
      </c>
      <c r="L215">
        <v>11.1</v>
      </c>
      <c r="M215" t="s">
        <v>22</v>
      </c>
      <c r="N215">
        <v>1.7</v>
      </c>
      <c r="O215">
        <v>2.5</v>
      </c>
      <c r="P215">
        <v>11.7</v>
      </c>
      <c r="Q215">
        <v>2.7</v>
      </c>
      <c r="R215">
        <v>1.4</v>
      </c>
      <c r="S215">
        <v>13.9</v>
      </c>
      <c r="T215">
        <v>26.5</v>
      </c>
      <c r="U215">
        <v>1.4</v>
      </c>
      <c r="V215">
        <v>1</v>
      </c>
      <c r="W215">
        <v>0.3</v>
      </c>
      <c r="X215">
        <v>8.1999999999999993</v>
      </c>
      <c r="Y215">
        <v>3.4</v>
      </c>
      <c r="Z215">
        <v>5.8</v>
      </c>
      <c r="AA215">
        <v>5.6</v>
      </c>
      <c r="AB215">
        <f t="shared" si="6"/>
        <v>88.7</v>
      </c>
      <c r="AC215">
        <v>94.5</v>
      </c>
      <c r="AD215">
        <v>20</v>
      </c>
      <c r="AE215">
        <f t="shared" si="7"/>
        <v>4</v>
      </c>
      <c r="AF215">
        <v>1</v>
      </c>
      <c r="AG215">
        <v>1</v>
      </c>
      <c r="AH215">
        <v>1</v>
      </c>
      <c r="AI215">
        <v>0</v>
      </c>
      <c r="AJ215">
        <v>0.23529411764705882</v>
      </c>
      <c r="AK215">
        <v>5.8823529411764705E-2</v>
      </c>
      <c r="AL215">
        <v>5.8823529411764705E-2</v>
      </c>
      <c r="AM215">
        <v>5.8823529411764705E-2</v>
      </c>
      <c r="AN215">
        <v>0</v>
      </c>
    </row>
    <row r="216" spans="1:40" x14ac:dyDescent="0.25">
      <c r="A216">
        <v>2025</v>
      </c>
      <c r="B216" t="s">
        <v>220</v>
      </c>
      <c r="C216" t="str">
        <f>IF(COUNTIF('Rookies 22-25'!$B$198:$B$349,E216)&gt;0,"(R)","No")</f>
        <v>No</v>
      </c>
      <c r="D216">
        <v>50</v>
      </c>
      <c r="E216" t="s">
        <v>270</v>
      </c>
      <c r="F216" t="s">
        <v>21</v>
      </c>
      <c r="G216">
        <v>300</v>
      </c>
      <c r="H216">
        <v>12</v>
      </c>
      <c r="I216" t="s">
        <v>33</v>
      </c>
      <c r="J216">
        <v>0</v>
      </c>
      <c r="K216" t="s">
        <v>33</v>
      </c>
      <c r="L216">
        <v>0</v>
      </c>
      <c r="M216">
        <v>9.4</v>
      </c>
      <c r="N216">
        <v>12.4</v>
      </c>
      <c r="O216">
        <v>9.4</v>
      </c>
      <c r="P216" t="s">
        <v>22</v>
      </c>
      <c r="Q216">
        <v>6.7</v>
      </c>
      <c r="R216">
        <v>4.3</v>
      </c>
      <c r="S216">
        <v>14.5</v>
      </c>
      <c r="T216">
        <v>13.2</v>
      </c>
      <c r="U216">
        <v>16.8</v>
      </c>
      <c r="V216">
        <v>6.4</v>
      </c>
      <c r="W216">
        <v>-0.2</v>
      </c>
      <c r="X216" t="s">
        <v>33</v>
      </c>
      <c r="Y216" t="s">
        <v>33</v>
      </c>
      <c r="Z216">
        <v>0</v>
      </c>
      <c r="AA216">
        <v>7.7</v>
      </c>
      <c r="AB216">
        <f t="shared" si="6"/>
        <v>92.9</v>
      </c>
      <c r="AC216">
        <v>92.9</v>
      </c>
      <c r="AD216">
        <v>20</v>
      </c>
      <c r="AE216">
        <f t="shared" si="7"/>
        <v>4</v>
      </c>
      <c r="AF216">
        <v>1</v>
      </c>
      <c r="AG216">
        <v>0</v>
      </c>
      <c r="AH216">
        <v>0</v>
      </c>
      <c r="AI216">
        <v>0</v>
      </c>
      <c r="AJ216">
        <v>0.23529411764705882</v>
      </c>
      <c r="AK216">
        <v>8.3333333333333329E-2</v>
      </c>
      <c r="AL216">
        <v>0</v>
      </c>
      <c r="AM216">
        <v>0</v>
      </c>
      <c r="AN216">
        <v>0</v>
      </c>
    </row>
    <row r="217" spans="1:40" x14ac:dyDescent="0.25">
      <c r="A217">
        <v>2025</v>
      </c>
      <c r="B217" t="s">
        <v>220</v>
      </c>
      <c r="C217" t="str">
        <f>IF(COUNTIF('Rookies 22-25'!$B$198:$B$349,E217)&gt;0,"(R)","No")</f>
        <v>No</v>
      </c>
      <c r="D217">
        <v>51</v>
      </c>
      <c r="E217" t="s">
        <v>271</v>
      </c>
      <c r="F217" t="s">
        <v>59</v>
      </c>
      <c r="G217">
        <v>300</v>
      </c>
      <c r="H217">
        <v>13</v>
      </c>
      <c r="I217" t="s">
        <v>33</v>
      </c>
      <c r="J217" t="s">
        <v>33</v>
      </c>
      <c r="K217">
        <v>3.9</v>
      </c>
      <c r="L217">
        <v>5.9</v>
      </c>
      <c r="M217">
        <v>0.7</v>
      </c>
      <c r="N217">
        <v>0</v>
      </c>
      <c r="O217">
        <v>7.2</v>
      </c>
      <c r="P217">
        <v>0.2</v>
      </c>
      <c r="Q217">
        <v>12.5</v>
      </c>
      <c r="R217">
        <v>7.6</v>
      </c>
      <c r="S217">
        <v>9.5</v>
      </c>
      <c r="T217" t="s">
        <v>22</v>
      </c>
      <c r="U217">
        <v>10.1</v>
      </c>
      <c r="V217">
        <v>5.2</v>
      </c>
      <c r="W217" t="s">
        <v>33</v>
      </c>
      <c r="X217">
        <v>13.9</v>
      </c>
      <c r="Y217" t="s">
        <v>33</v>
      </c>
      <c r="Z217">
        <v>15.3</v>
      </c>
      <c r="AA217">
        <v>7.1</v>
      </c>
      <c r="AB217">
        <f t="shared" si="6"/>
        <v>76.7</v>
      </c>
      <c r="AC217">
        <v>92</v>
      </c>
      <c r="AD217">
        <v>16</v>
      </c>
      <c r="AE217">
        <f t="shared" si="7"/>
        <v>3</v>
      </c>
      <c r="AF217">
        <v>1</v>
      </c>
      <c r="AG217">
        <v>0</v>
      </c>
      <c r="AH217">
        <v>0</v>
      </c>
      <c r="AI217">
        <v>0</v>
      </c>
      <c r="AJ217">
        <v>0.23529411764705882</v>
      </c>
      <c r="AK217">
        <v>7.6923076923076927E-2</v>
      </c>
      <c r="AL217">
        <v>0</v>
      </c>
      <c r="AM217">
        <v>0</v>
      </c>
      <c r="AN217">
        <v>0</v>
      </c>
    </row>
    <row r="218" spans="1:40" x14ac:dyDescent="0.25">
      <c r="A218">
        <v>2025</v>
      </c>
      <c r="B218" t="s">
        <v>220</v>
      </c>
      <c r="C218" t="str">
        <f>IF(COUNTIF('Rookies 22-25'!$B$198:$B$349,E218)&gt;0,"(R)","No")</f>
        <v>No</v>
      </c>
      <c r="D218">
        <v>52</v>
      </c>
      <c r="E218" t="s">
        <v>272</v>
      </c>
      <c r="F218" t="s">
        <v>65</v>
      </c>
      <c r="G218">
        <f>VLOOKUP(E218,'25 Draft ADP'!$B$3:$D$505,3,FALSE)</f>
        <v>224</v>
      </c>
      <c r="H218">
        <v>17</v>
      </c>
      <c r="I218">
        <v>0.2</v>
      </c>
      <c r="J218">
        <v>0</v>
      </c>
      <c r="K218">
        <v>0</v>
      </c>
      <c r="L218">
        <v>0</v>
      </c>
      <c r="M218">
        <v>2.9</v>
      </c>
      <c r="N218">
        <v>8.5</v>
      </c>
      <c r="O218">
        <v>1.6</v>
      </c>
      <c r="P218">
        <v>10.199999999999999</v>
      </c>
      <c r="Q218" t="s">
        <v>22</v>
      </c>
      <c r="R218">
        <v>6.1</v>
      </c>
      <c r="S218">
        <v>34</v>
      </c>
      <c r="T218">
        <v>5.6</v>
      </c>
      <c r="U218">
        <v>0</v>
      </c>
      <c r="V218">
        <v>8.9</v>
      </c>
      <c r="W218">
        <v>6.7</v>
      </c>
      <c r="X218">
        <v>6.3</v>
      </c>
      <c r="Y218">
        <v>0.8</v>
      </c>
      <c r="Z218">
        <v>-0.4</v>
      </c>
      <c r="AA218">
        <v>5.4</v>
      </c>
      <c r="AB218">
        <f t="shared" si="6"/>
        <v>91.800000000000011</v>
      </c>
      <c r="AC218">
        <v>91.4</v>
      </c>
      <c r="AD218">
        <v>20</v>
      </c>
      <c r="AE218">
        <f t="shared" si="7"/>
        <v>2</v>
      </c>
      <c r="AF218">
        <v>1</v>
      </c>
      <c r="AG218">
        <v>1</v>
      </c>
      <c r="AH218">
        <v>1</v>
      </c>
      <c r="AI218">
        <v>1</v>
      </c>
      <c r="AJ218">
        <v>0.11764705882352941</v>
      </c>
      <c r="AK218">
        <v>5.8823529411764705E-2</v>
      </c>
      <c r="AL218">
        <v>5.8823529411764705E-2</v>
      </c>
      <c r="AM218">
        <v>5.8823529411764705E-2</v>
      </c>
      <c r="AN218">
        <v>5.8823529411764705E-2</v>
      </c>
    </row>
    <row r="219" spans="1:40" x14ac:dyDescent="0.25">
      <c r="A219">
        <v>2025</v>
      </c>
      <c r="B219" t="s">
        <v>220</v>
      </c>
      <c r="C219" t="str">
        <f>IF(COUNTIF('Rookies 22-25'!$B$198:$B$349,E219)&gt;0,"(R)","No")</f>
        <v>(R)</v>
      </c>
      <c r="D219">
        <v>53</v>
      </c>
      <c r="E219" t="s">
        <v>273</v>
      </c>
      <c r="F219" t="s">
        <v>67</v>
      </c>
      <c r="G219">
        <f>VLOOKUP(E219,'25 Draft ADP'!$B$3:$D$505,3,FALSE)</f>
        <v>137</v>
      </c>
      <c r="H219">
        <v>15</v>
      </c>
      <c r="I219">
        <v>1.1000000000000001</v>
      </c>
      <c r="J219">
        <v>15.4</v>
      </c>
      <c r="K219">
        <v>8.1</v>
      </c>
      <c r="L219">
        <v>3.2</v>
      </c>
      <c r="M219">
        <v>2.1</v>
      </c>
      <c r="N219">
        <v>4.8</v>
      </c>
      <c r="O219">
        <v>2.2000000000000002</v>
      </c>
      <c r="P219" t="s">
        <v>22</v>
      </c>
      <c r="Q219">
        <v>9.6</v>
      </c>
      <c r="R219">
        <v>2</v>
      </c>
      <c r="S219">
        <v>13.4</v>
      </c>
      <c r="T219">
        <v>1.7</v>
      </c>
      <c r="U219">
        <v>8.9</v>
      </c>
      <c r="V219">
        <v>-1.5</v>
      </c>
      <c r="W219">
        <v>9.3000000000000007</v>
      </c>
      <c r="X219" t="s">
        <v>33</v>
      </c>
      <c r="Y219" t="s">
        <v>33</v>
      </c>
      <c r="Z219">
        <v>8.3000000000000007</v>
      </c>
      <c r="AA219">
        <v>5.9</v>
      </c>
      <c r="AB219">
        <f t="shared" si="6"/>
        <v>80.3</v>
      </c>
      <c r="AC219">
        <v>88.6</v>
      </c>
      <c r="AD219">
        <v>12</v>
      </c>
      <c r="AE219">
        <f t="shared" si="7"/>
        <v>2</v>
      </c>
      <c r="AF219">
        <v>1</v>
      </c>
      <c r="AG219">
        <v>0</v>
      </c>
      <c r="AH219">
        <v>0</v>
      </c>
      <c r="AI219">
        <v>0</v>
      </c>
      <c r="AJ219">
        <v>0.11764705882352941</v>
      </c>
      <c r="AK219">
        <v>6.6666666666666666E-2</v>
      </c>
      <c r="AL219">
        <v>0</v>
      </c>
      <c r="AM219">
        <v>0</v>
      </c>
      <c r="AN219">
        <v>0</v>
      </c>
    </row>
    <row r="220" spans="1:40" x14ac:dyDescent="0.25">
      <c r="A220">
        <v>2025</v>
      </c>
      <c r="B220" t="s">
        <v>220</v>
      </c>
      <c r="C220" t="str">
        <f>IF(COUNTIF('Rookies 22-25'!$B$198:$B$349,E220)&gt;0,"(R)","No")</f>
        <v>No</v>
      </c>
      <c r="D220">
        <v>54</v>
      </c>
      <c r="E220" t="s">
        <v>274</v>
      </c>
      <c r="F220" t="s">
        <v>41</v>
      </c>
      <c r="G220">
        <f>VLOOKUP(E220,'25 Draft ADP'!$B$3:$D$505,3,FALSE)</f>
        <v>138</v>
      </c>
      <c r="H220">
        <v>15</v>
      </c>
      <c r="I220">
        <v>6</v>
      </c>
      <c r="J220">
        <v>15.2</v>
      </c>
      <c r="K220">
        <v>7</v>
      </c>
      <c r="L220">
        <v>8.1999999999999993</v>
      </c>
      <c r="M220">
        <v>12.1</v>
      </c>
      <c r="N220" t="s">
        <v>22</v>
      </c>
      <c r="O220">
        <v>2.1</v>
      </c>
      <c r="P220">
        <v>8.9</v>
      </c>
      <c r="Q220">
        <v>3.4</v>
      </c>
      <c r="R220">
        <v>6.2</v>
      </c>
      <c r="S220">
        <v>1.7</v>
      </c>
      <c r="T220">
        <v>2.5</v>
      </c>
      <c r="U220">
        <v>9.4</v>
      </c>
      <c r="V220">
        <v>0.3</v>
      </c>
      <c r="W220" t="s">
        <v>33</v>
      </c>
      <c r="X220">
        <v>5.2</v>
      </c>
      <c r="Y220">
        <v>0.1</v>
      </c>
      <c r="Z220">
        <v>0</v>
      </c>
      <c r="AA220">
        <v>5.9</v>
      </c>
      <c r="AB220">
        <f t="shared" si="6"/>
        <v>88.3</v>
      </c>
      <c r="AC220">
        <v>88.3</v>
      </c>
      <c r="AD220">
        <v>10</v>
      </c>
      <c r="AE220">
        <f t="shared" si="7"/>
        <v>2</v>
      </c>
      <c r="AF220">
        <v>1</v>
      </c>
      <c r="AG220">
        <v>0</v>
      </c>
      <c r="AH220">
        <v>0</v>
      </c>
      <c r="AI220">
        <v>0</v>
      </c>
      <c r="AJ220">
        <v>0.11764705882352941</v>
      </c>
      <c r="AK220">
        <v>6.6666666666666666E-2</v>
      </c>
      <c r="AL220">
        <v>0</v>
      </c>
      <c r="AM220">
        <v>0</v>
      </c>
      <c r="AN220">
        <v>0</v>
      </c>
    </row>
    <row r="221" spans="1:40" x14ac:dyDescent="0.25">
      <c r="A221">
        <v>2025</v>
      </c>
      <c r="B221" t="s">
        <v>220</v>
      </c>
      <c r="C221" t="str">
        <f>IF(COUNTIF('Rookies 22-25'!$B$198:$B$349,E221)&gt;0,"(R)","No")</f>
        <v>(R)</v>
      </c>
      <c r="D221">
        <v>55</v>
      </c>
      <c r="E221" t="s">
        <v>275</v>
      </c>
      <c r="F221" t="s">
        <v>32</v>
      </c>
      <c r="G221">
        <f>VLOOKUP(E221,'25 Draft ADP'!$B$3:$D$505,3,FALSE)</f>
        <v>140</v>
      </c>
      <c r="H221">
        <v>15</v>
      </c>
      <c r="I221">
        <v>17.3</v>
      </c>
      <c r="J221">
        <v>10.9</v>
      </c>
      <c r="K221">
        <v>0.2</v>
      </c>
      <c r="L221">
        <v>-0.2</v>
      </c>
      <c r="M221">
        <v>1.2</v>
      </c>
      <c r="N221">
        <v>4.4000000000000004</v>
      </c>
      <c r="O221">
        <v>2.7</v>
      </c>
      <c r="P221">
        <v>7.9</v>
      </c>
      <c r="Q221" t="s">
        <v>22</v>
      </c>
      <c r="R221">
        <v>0.9</v>
      </c>
      <c r="S221">
        <v>1.9</v>
      </c>
      <c r="T221">
        <v>16.2</v>
      </c>
      <c r="U221">
        <v>2.2999999999999998</v>
      </c>
      <c r="V221">
        <v>9.8000000000000007</v>
      </c>
      <c r="W221" t="s">
        <v>33</v>
      </c>
      <c r="X221" t="s">
        <v>33</v>
      </c>
      <c r="Y221">
        <v>5.7</v>
      </c>
      <c r="Z221">
        <v>6.4</v>
      </c>
      <c r="AA221">
        <v>5.8</v>
      </c>
      <c r="AB221">
        <f t="shared" si="6"/>
        <v>81.199999999999989</v>
      </c>
      <c r="AC221">
        <v>87.6</v>
      </c>
      <c r="AD221">
        <v>13</v>
      </c>
      <c r="AE221">
        <f t="shared" si="7"/>
        <v>3</v>
      </c>
      <c r="AF221">
        <v>2</v>
      </c>
      <c r="AG221">
        <v>0</v>
      </c>
      <c r="AH221">
        <v>0</v>
      </c>
      <c r="AI221">
        <v>0</v>
      </c>
      <c r="AJ221">
        <v>0.17647058823529413</v>
      </c>
      <c r="AK221">
        <v>0.13333333333333333</v>
      </c>
      <c r="AL221">
        <v>0</v>
      </c>
      <c r="AM221">
        <v>0</v>
      </c>
      <c r="AN221">
        <v>0</v>
      </c>
    </row>
    <row r="222" spans="1:40" x14ac:dyDescent="0.25">
      <c r="A222">
        <v>2025</v>
      </c>
      <c r="B222" t="s">
        <v>220</v>
      </c>
      <c r="C222" t="str">
        <f>IF(COUNTIF('Rookies 22-25'!$B$198:$B$349,E222)&gt;0,"(R)","No")</f>
        <v>No</v>
      </c>
      <c r="D222">
        <v>56</v>
      </c>
      <c r="E222" t="s">
        <v>276</v>
      </c>
      <c r="F222" t="s">
        <v>26</v>
      </c>
      <c r="G222">
        <f>VLOOKUP(E222,'25 Draft ADP'!$B$3:$D$505,3,FALSE)</f>
        <v>64</v>
      </c>
      <c r="H222">
        <v>13</v>
      </c>
      <c r="I222">
        <v>4.8</v>
      </c>
      <c r="J222">
        <v>3.9</v>
      </c>
      <c r="K222">
        <v>5.8</v>
      </c>
      <c r="L222">
        <v>12.8</v>
      </c>
      <c r="M222">
        <v>8.6</v>
      </c>
      <c r="N222">
        <v>6.1</v>
      </c>
      <c r="O222">
        <v>12.4</v>
      </c>
      <c r="P222">
        <v>5.8</v>
      </c>
      <c r="Q222" t="s">
        <v>33</v>
      </c>
      <c r="R222" t="s">
        <v>22</v>
      </c>
      <c r="S222" t="s">
        <v>33</v>
      </c>
      <c r="T222" t="s">
        <v>33</v>
      </c>
      <c r="U222">
        <v>5.3</v>
      </c>
      <c r="V222">
        <v>3</v>
      </c>
      <c r="W222">
        <v>2.1</v>
      </c>
      <c r="X222">
        <v>13.5</v>
      </c>
      <c r="Y222">
        <v>3.2</v>
      </c>
      <c r="Z222">
        <v>0</v>
      </c>
      <c r="AA222">
        <v>6.7</v>
      </c>
      <c r="AB222">
        <f t="shared" si="6"/>
        <v>87.3</v>
      </c>
      <c r="AC222">
        <v>87.3</v>
      </c>
      <c r="AD222">
        <v>6</v>
      </c>
      <c r="AE222">
        <f t="shared" si="7"/>
        <v>3</v>
      </c>
      <c r="AF222">
        <v>0</v>
      </c>
      <c r="AG222">
        <v>0</v>
      </c>
      <c r="AH222">
        <v>0</v>
      </c>
      <c r="AI222">
        <v>0</v>
      </c>
      <c r="AJ222">
        <v>0.17647058823529413</v>
      </c>
      <c r="AK222">
        <v>0</v>
      </c>
      <c r="AL222">
        <v>0</v>
      </c>
      <c r="AM222">
        <v>0</v>
      </c>
      <c r="AN222">
        <v>0</v>
      </c>
    </row>
    <row r="223" spans="1:40" x14ac:dyDescent="0.25">
      <c r="A223">
        <v>2025</v>
      </c>
      <c r="B223" t="s">
        <v>220</v>
      </c>
      <c r="C223" t="str">
        <f>IF(COUNTIF('Rookies 22-25'!$B$198:$B$349,E223)&gt;0,"(R)","No")</f>
        <v>No</v>
      </c>
      <c r="D223">
        <v>57</v>
      </c>
      <c r="E223" t="s">
        <v>277</v>
      </c>
      <c r="F223" t="s">
        <v>89</v>
      </c>
      <c r="G223">
        <f>VLOOKUP(E223,'25 Draft ADP'!$B$3:$D$505,3,FALSE)</f>
        <v>273</v>
      </c>
      <c r="H223">
        <v>15</v>
      </c>
      <c r="I223">
        <v>2.6</v>
      </c>
      <c r="J223">
        <v>0</v>
      </c>
      <c r="K223">
        <v>0.1</v>
      </c>
      <c r="L223">
        <v>0.4</v>
      </c>
      <c r="M223">
        <v>4.9000000000000004</v>
      </c>
      <c r="N223">
        <v>5.2</v>
      </c>
      <c r="O223">
        <v>3.1</v>
      </c>
      <c r="P223">
        <v>17</v>
      </c>
      <c r="Q223">
        <v>0.5</v>
      </c>
      <c r="R223" t="s">
        <v>22</v>
      </c>
      <c r="S223" t="s">
        <v>33</v>
      </c>
      <c r="T223" t="s">
        <v>33</v>
      </c>
      <c r="U223">
        <v>5.4</v>
      </c>
      <c r="V223">
        <v>4.8</v>
      </c>
      <c r="W223">
        <v>5.3</v>
      </c>
      <c r="X223">
        <v>12.1</v>
      </c>
      <c r="Y223">
        <v>8.3000000000000007</v>
      </c>
      <c r="Z223">
        <v>8.1999999999999993</v>
      </c>
      <c r="AA223">
        <v>5.2</v>
      </c>
      <c r="AB223">
        <f t="shared" si="6"/>
        <v>69.7</v>
      </c>
      <c r="AC223">
        <v>77.900000000000006</v>
      </c>
      <c r="AD223">
        <v>20</v>
      </c>
      <c r="AE223">
        <f t="shared" si="7"/>
        <v>2</v>
      </c>
      <c r="AF223">
        <v>1</v>
      </c>
      <c r="AG223">
        <v>0</v>
      </c>
      <c r="AH223">
        <v>0</v>
      </c>
      <c r="AI223">
        <v>0</v>
      </c>
      <c r="AJ223">
        <v>0.11764705882352941</v>
      </c>
      <c r="AK223">
        <v>6.6666666666666666E-2</v>
      </c>
      <c r="AL223">
        <v>0</v>
      </c>
      <c r="AM223">
        <v>0</v>
      </c>
      <c r="AN223">
        <v>0</v>
      </c>
    </row>
    <row r="224" spans="1:40" x14ac:dyDescent="0.25">
      <c r="A224">
        <v>2025</v>
      </c>
      <c r="B224" t="s">
        <v>220</v>
      </c>
      <c r="C224" t="str">
        <f>IF(COUNTIF('Rookies 22-25'!$B$198:$B$349,E224)&gt;0,"(R)","No")</f>
        <v>No</v>
      </c>
      <c r="D224">
        <v>58</v>
      </c>
      <c r="E224" t="s">
        <v>278</v>
      </c>
      <c r="F224" t="s">
        <v>59</v>
      </c>
      <c r="G224">
        <f>VLOOKUP(E224,'25 Draft ADP'!$B$3:$D$505,3,FALSE)</f>
        <v>330</v>
      </c>
      <c r="H224">
        <v>17</v>
      </c>
      <c r="I224">
        <v>2.5</v>
      </c>
      <c r="J224">
        <v>0</v>
      </c>
      <c r="K224">
        <v>13.8</v>
      </c>
      <c r="L224">
        <v>1.3</v>
      </c>
      <c r="M224">
        <v>2.8</v>
      </c>
      <c r="N224">
        <v>6.5</v>
      </c>
      <c r="O224">
        <v>6.5</v>
      </c>
      <c r="P224">
        <v>11.8</v>
      </c>
      <c r="Q224">
        <v>0</v>
      </c>
      <c r="R224">
        <v>3.9</v>
      </c>
      <c r="S224">
        <v>4.9000000000000004</v>
      </c>
      <c r="T224" t="s">
        <v>22</v>
      </c>
      <c r="U224">
        <v>5</v>
      </c>
      <c r="V224">
        <v>1.2</v>
      </c>
      <c r="W224">
        <v>1.2</v>
      </c>
      <c r="X224">
        <v>5.2</v>
      </c>
      <c r="Y224">
        <v>4</v>
      </c>
      <c r="Z224">
        <v>2.1</v>
      </c>
      <c r="AA224">
        <v>4.3</v>
      </c>
      <c r="AB224">
        <f t="shared" si="6"/>
        <v>70.600000000000009</v>
      </c>
      <c r="AC224">
        <v>72.7</v>
      </c>
      <c r="AD224">
        <v>20</v>
      </c>
      <c r="AE224">
        <f t="shared" si="7"/>
        <v>2</v>
      </c>
      <c r="AF224">
        <v>0</v>
      </c>
      <c r="AG224">
        <v>0</v>
      </c>
      <c r="AH224">
        <v>0</v>
      </c>
      <c r="AI224">
        <v>0</v>
      </c>
      <c r="AJ224">
        <v>0.11764705882352941</v>
      </c>
      <c r="AK224">
        <v>0</v>
      </c>
      <c r="AL224">
        <v>0</v>
      </c>
      <c r="AM224">
        <v>0</v>
      </c>
      <c r="AN224">
        <v>0</v>
      </c>
    </row>
    <row r="225" spans="1:40" x14ac:dyDescent="0.25">
      <c r="A225">
        <v>2025</v>
      </c>
      <c r="B225" t="s">
        <v>220</v>
      </c>
      <c r="C225" t="str">
        <f>IF(COUNTIF('Rookies 22-25'!$B$198:$B$349,E225)&gt;0,"(R)","No")</f>
        <v>No</v>
      </c>
      <c r="D225">
        <v>59</v>
      </c>
      <c r="E225" t="s">
        <v>279</v>
      </c>
      <c r="F225" t="s">
        <v>82</v>
      </c>
      <c r="G225">
        <f>VLOOKUP(E225,'25 Draft ADP'!$B$3:$D$505,3,FALSE)</f>
        <v>299</v>
      </c>
      <c r="H225">
        <v>16</v>
      </c>
      <c r="I225">
        <v>1.8</v>
      </c>
      <c r="J225">
        <v>1.6</v>
      </c>
      <c r="K225">
        <v>0</v>
      </c>
      <c r="L225">
        <v>4.7</v>
      </c>
      <c r="M225">
        <v>6.3</v>
      </c>
      <c r="N225">
        <v>1.1000000000000001</v>
      </c>
      <c r="O225">
        <v>5.2</v>
      </c>
      <c r="P225">
        <v>17.899999999999999</v>
      </c>
      <c r="Q225" t="s">
        <v>22</v>
      </c>
      <c r="R225">
        <v>2.1</v>
      </c>
      <c r="S225">
        <v>1.1000000000000001</v>
      </c>
      <c r="T225">
        <v>0.7</v>
      </c>
      <c r="U225">
        <v>0</v>
      </c>
      <c r="V225">
        <v>2.2000000000000002</v>
      </c>
      <c r="W225">
        <v>13.5</v>
      </c>
      <c r="X225">
        <v>10</v>
      </c>
      <c r="Y225">
        <v>3</v>
      </c>
      <c r="Z225">
        <v>0</v>
      </c>
      <c r="AA225">
        <v>4.5</v>
      </c>
      <c r="AB225">
        <f t="shared" si="6"/>
        <v>71.2</v>
      </c>
      <c r="AC225">
        <v>71.2</v>
      </c>
      <c r="AD225">
        <v>20</v>
      </c>
      <c r="AE225">
        <f t="shared" si="7"/>
        <v>2</v>
      </c>
      <c r="AF225">
        <v>1</v>
      </c>
      <c r="AG225">
        <v>0</v>
      </c>
      <c r="AH225">
        <v>0</v>
      </c>
      <c r="AI225">
        <v>0</v>
      </c>
      <c r="AJ225">
        <v>0.11764705882352941</v>
      </c>
      <c r="AK225">
        <v>6.25E-2</v>
      </c>
      <c r="AL225">
        <v>0</v>
      </c>
      <c r="AM225">
        <v>0</v>
      </c>
      <c r="AN225">
        <v>0</v>
      </c>
    </row>
    <row r="226" spans="1:40" x14ac:dyDescent="0.25">
      <c r="A226">
        <v>2025</v>
      </c>
      <c r="B226" t="s">
        <v>220</v>
      </c>
      <c r="C226" t="str">
        <f>IF(COUNTIF('Rookies 22-25'!$B$198:$B$349,E226)&gt;0,"(R)","No")</f>
        <v>No</v>
      </c>
      <c r="D226">
        <v>60</v>
      </c>
      <c r="E226" t="s">
        <v>280</v>
      </c>
      <c r="F226" t="s">
        <v>53</v>
      </c>
      <c r="G226">
        <f>VLOOKUP(E226,'25 Draft ADP'!$B$3:$D$505,3,FALSE)</f>
        <v>186</v>
      </c>
      <c r="H226">
        <v>10</v>
      </c>
      <c r="I226">
        <v>-0.1</v>
      </c>
      <c r="J226">
        <v>5.5</v>
      </c>
      <c r="K226">
        <v>7.5</v>
      </c>
      <c r="L226">
        <v>28.7</v>
      </c>
      <c r="M226">
        <v>2.2000000000000002</v>
      </c>
      <c r="N226">
        <v>9.4</v>
      </c>
      <c r="O226" t="s">
        <v>22</v>
      </c>
      <c r="P226">
        <v>0.2</v>
      </c>
      <c r="Q226">
        <v>3.5</v>
      </c>
      <c r="R226">
        <v>8.3000000000000007</v>
      </c>
      <c r="S226" t="s">
        <v>33</v>
      </c>
      <c r="T226">
        <v>0</v>
      </c>
      <c r="U226" t="s">
        <v>33</v>
      </c>
      <c r="V226" t="s">
        <v>33</v>
      </c>
      <c r="W226" t="s">
        <v>33</v>
      </c>
      <c r="X226" t="s">
        <v>33</v>
      </c>
      <c r="Y226" t="s">
        <v>33</v>
      </c>
      <c r="Z226">
        <v>0</v>
      </c>
      <c r="AA226">
        <v>6.5</v>
      </c>
      <c r="AB226">
        <f t="shared" si="6"/>
        <v>65.2</v>
      </c>
      <c r="AC226">
        <v>65.2</v>
      </c>
      <c r="AD226">
        <v>17</v>
      </c>
      <c r="AE226">
        <f t="shared" si="7"/>
        <v>1</v>
      </c>
      <c r="AF226">
        <v>1</v>
      </c>
      <c r="AG226">
        <v>1</v>
      </c>
      <c r="AH226">
        <v>1</v>
      </c>
      <c r="AI226">
        <v>0</v>
      </c>
      <c r="AJ226">
        <v>5.8823529411764705E-2</v>
      </c>
      <c r="AK226">
        <v>0.1</v>
      </c>
      <c r="AL226">
        <v>0.1</v>
      </c>
      <c r="AM226">
        <v>0.1</v>
      </c>
      <c r="AN226">
        <v>0</v>
      </c>
    </row>
    <row r="227" spans="1:40" x14ac:dyDescent="0.25">
      <c r="A227">
        <v>2025</v>
      </c>
      <c r="B227" t="s">
        <v>220</v>
      </c>
      <c r="C227" t="str">
        <f>IF(COUNTIF('Rookies 22-25'!$B$198:$B$349,E227)&gt;0,"(R)","No")</f>
        <v>No</v>
      </c>
      <c r="D227">
        <v>61</v>
      </c>
      <c r="E227" t="s">
        <v>281</v>
      </c>
      <c r="F227" t="s">
        <v>61</v>
      </c>
      <c r="G227">
        <f>VLOOKUP(E227,'25 Draft ADP'!$B$3:$D$505,3,FALSE)</f>
        <v>148</v>
      </c>
      <c r="H227">
        <v>17</v>
      </c>
      <c r="I227">
        <v>1.1000000000000001</v>
      </c>
      <c r="J227">
        <v>2.4</v>
      </c>
      <c r="K227">
        <v>0</v>
      </c>
      <c r="L227">
        <v>0.3</v>
      </c>
      <c r="M227">
        <v>0.1</v>
      </c>
      <c r="N227">
        <v>9.9</v>
      </c>
      <c r="O227" t="s">
        <v>22</v>
      </c>
      <c r="P227">
        <v>1.6</v>
      </c>
      <c r="Q227">
        <v>0</v>
      </c>
      <c r="R227">
        <v>0.8</v>
      </c>
      <c r="S227">
        <v>0</v>
      </c>
      <c r="T227">
        <v>6</v>
      </c>
      <c r="U227">
        <v>6.2</v>
      </c>
      <c r="V227">
        <v>0</v>
      </c>
      <c r="W227">
        <v>2.2999999999999998</v>
      </c>
      <c r="X227">
        <v>5.4</v>
      </c>
      <c r="Y227">
        <v>2.6</v>
      </c>
      <c r="Z227">
        <v>25.4</v>
      </c>
      <c r="AA227">
        <v>3.8</v>
      </c>
      <c r="AB227">
        <f t="shared" si="6"/>
        <v>38.699999999999996</v>
      </c>
      <c r="AC227">
        <v>64.099999999999994</v>
      </c>
      <c r="AD227">
        <v>14</v>
      </c>
      <c r="AE227">
        <f t="shared" si="7"/>
        <v>0</v>
      </c>
      <c r="AF227">
        <v>1</v>
      </c>
      <c r="AG227">
        <v>1</v>
      </c>
      <c r="AH227">
        <v>1</v>
      </c>
      <c r="AI227">
        <v>0</v>
      </c>
      <c r="AJ227">
        <v>5.8823529411764705E-2</v>
      </c>
      <c r="AK227">
        <v>5.8823529411764705E-2</v>
      </c>
      <c r="AL227">
        <v>5.8823529411764705E-2</v>
      </c>
      <c r="AM227">
        <v>5.8823529411764705E-2</v>
      </c>
      <c r="AN227">
        <v>0</v>
      </c>
    </row>
    <row r="228" spans="1:40" x14ac:dyDescent="0.25">
      <c r="A228">
        <v>2025</v>
      </c>
      <c r="B228" t="s">
        <v>220</v>
      </c>
      <c r="C228" t="str">
        <f>IF(COUNTIF('Rookies 22-25'!$B$198:$B$349,E228)&gt;0,"(R)","No")</f>
        <v>(R)</v>
      </c>
      <c r="D228">
        <v>62</v>
      </c>
      <c r="E228" t="s">
        <v>282</v>
      </c>
      <c r="F228" t="s">
        <v>26</v>
      </c>
      <c r="G228">
        <f>VLOOKUP(E228,'25 Draft ADP'!$B$3:$D$505,3,FALSE)</f>
        <v>222</v>
      </c>
      <c r="H228">
        <v>17</v>
      </c>
      <c r="I228">
        <v>0</v>
      </c>
      <c r="J228">
        <v>0.2</v>
      </c>
      <c r="K228">
        <v>1.3</v>
      </c>
      <c r="L228">
        <v>6.6</v>
      </c>
      <c r="M228">
        <v>6.6</v>
      </c>
      <c r="N228">
        <v>5.0999999999999996</v>
      </c>
      <c r="O228">
        <v>13.1</v>
      </c>
      <c r="P228">
        <v>0.8</v>
      </c>
      <c r="Q228">
        <v>0.7</v>
      </c>
      <c r="R228" t="s">
        <v>22</v>
      </c>
      <c r="S228">
        <v>2.8</v>
      </c>
      <c r="T228">
        <v>6.6</v>
      </c>
      <c r="U228">
        <v>0</v>
      </c>
      <c r="V228">
        <v>0.7</v>
      </c>
      <c r="W228">
        <v>0.1</v>
      </c>
      <c r="X228">
        <v>1.4</v>
      </c>
      <c r="Y228">
        <v>9.5</v>
      </c>
      <c r="Z228">
        <v>7.8</v>
      </c>
      <c r="AA228">
        <v>3.7</v>
      </c>
      <c r="AB228">
        <f t="shared" si="6"/>
        <v>55.5</v>
      </c>
      <c r="AC228">
        <v>63.3</v>
      </c>
      <c r="AD228">
        <v>20</v>
      </c>
      <c r="AE228">
        <f t="shared" si="7"/>
        <v>1</v>
      </c>
      <c r="AF228">
        <v>0</v>
      </c>
      <c r="AG228">
        <v>0</v>
      </c>
      <c r="AH228">
        <v>0</v>
      </c>
      <c r="AI228">
        <v>0</v>
      </c>
      <c r="AJ228">
        <v>5.8823529411764705E-2</v>
      </c>
      <c r="AK228">
        <v>0</v>
      </c>
      <c r="AL228">
        <v>0</v>
      </c>
      <c r="AM228">
        <v>0</v>
      </c>
      <c r="AN228">
        <v>0</v>
      </c>
    </row>
    <row r="229" spans="1:40" x14ac:dyDescent="0.25">
      <c r="A229">
        <v>2025</v>
      </c>
      <c r="B229" t="s">
        <v>220</v>
      </c>
      <c r="C229" t="str">
        <f>IF(COUNTIF('Rookies 22-25'!$B$198:$B$349,E229)&gt;0,"(R)","No")</f>
        <v>No</v>
      </c>
      <c r="D229">
        <v>63</v>
      </c>
      <c r="E229" t="s">
        <v>283</v>
      </c>
      <c r="F229" t="s">
        <v>47</v>
      </c>
      <c r="G229">
        <f>VLOOKUP(E229,'25 Draft ADP'!$B$3:$D$505,3,FALSE)</f>
        <v>128</v>
      </c>
      <c r="H229">
        <v>17</v>
      </c>
      <c r="I229">
        <v>4.7</v>
      </c>
      <c r="J229">
        <v>2.9</v>
      </c>
      <c r="K229">
        <v>2.2000000000000002</v>
      </c>
      <c r="L229">
        <v>2.1</v>
      </c>
      <c r="M229">
        <v>1.2</v>
      </c>
      <c r="N229">
        <v>3.8</v>
      </c>
      <c r="O229">
        <v>3.6</v>
      </c>
      <c r="P229">
        <v>0</v>
      </c>
      <c r="Q229">
        <v>11.3</v>
      </c>
      <c r="R229">
        <v>11.5</v>
      </c>
      <c r="S229">
        <v>2.4</v>
      </c>
      <c r="T229">
        <v>5.4</v>
      </c>
      <c r="U229">
        <v>2.6</v>
      </c>
      <c r="V229" t="s">
        <v>22</v>
      </c>
      <c r="W229">
        <v>2.1</v>
      </c>
      <c r="X229">
        <v>2</v>
      </c>
      <c r="Y229">
        <v>3.8</v>
      </c>
      <c r="Z229">
        <v>0.9</v>
      </c>
      <c r="AA229">
        <v>3.7</v>
      </c>
      <c r="AB229">
        <f t="shared" si="6"/>
        <v>61.6</v>
      </c>
      <c r="AC229">
        <v>62.5</v>
      </c>
      <c r="AD229">
        <v>11</v>
      </c>
      <c r="AE229">
        <f t="shared" si="7"/>
        <v>2</v>
      </c>
      <c r="AF229">
        <v>0</v>
      </c>
      <c r="AG229">
        <v>0</v>
      </c>
      <c r="AH229">
        <v>0</v>
      </c>
      <c r="AI229">
        <v>0</v>
      </c>
      <c r="AJ229">
        <v>0.11764705882352941</v>
      </c>
      <c r="AK229">
        <v>0</v>
      </c>
      <c r="AL229">
        <v>0</v>
      </c>
      <c r="AM229">
        <v>0</v>
      </c>
      <c r="AN229">
        <v>0</v>
      </c>
    </row>
    <row r="230" spans="1:40" x14ac:dyDescent="0.25">
      <c r="A230">
        <v>2025</v>
      </c>
      <c r="B230" t="s">
        <v>220</v>
      </c>
      <c r="C230" t="str">
        <f>IF(COUNTIF('Rookies 22-25'!$B$198:$B$349,E230)&gt;0,"(R)","No")</f>
        <v>(R)</v>
      </c>
      <c r="D230">
        <v>64</v>
      </c>
      <c r="E230" t="s">
        <v>284</v>
      </c>
      <c r="F230" t="s">
        <v>37</v>
      </c>
      <c r="G230">
        <f>VLOOKUP(E230,'25 Draft ADP'!$B$3:$D$505,3,FALSE)</f>
        <v>262</v>
      </c>
      <c r="H230">
        <v>9</v>
      </c>
      <c r="I230">
        <v>0.9</v>
      </c>
      <c r="J230" t="s">
        <v>33</v>
      </c>
      <c r="K230" t="s">
        <v>33</v>
      </c>
      <c r="L230" t="s">
        <v>33</v>
      </c>
      <c r="M230" t="s">
        <v>33</v>
      </c>
      <c r="N230" t="s">
        <v>33</v>
      </c>
      <c r="O230">
        <v>0.1</v>
      </c>
      <c r="P230">
        <v>4.0999999999999996</v>
      </c>
      <c r="Q230">
        <v>2.2000000000000002</v>
      </c>
      <c r="R230">
        <v>6.1</v>
      </c>
      <c r="S230" t="s">
        <v>22</v>
      </c>
      <c r="T230">
        <v>11.1</v>
      </c>
      <c r="U230">
        <v>9.9</v>
      </c>
      <c r="V230">
        <v>15.4</v>
      </c>
      <c r="W230">
        <v>10.199999999999999</v>
      </c>
      <c r="X230" t="s">
        <v>33</v>
      </c>
      <c r="Y230" t="s">
        <v>33</v>
      </c>
      <c r="Z230">
        <v>0</v>
      </c>
      <c r="AA230">
        <v>6.7</v>
      </c>
      <c r="AB230">
        <f t="shared" si="6"/>
        <v>60</v>
      </c>
      <c r="AC230">
        <v>60</v>
      </c>
      <c r="AD230">
        <v>20</v>
      </c>
      <c r="AE230">
        <f t="shared" si="7"/>
        <v>3</v>
      </c>
      <c r="AF230">
        <v>1</v>
      </c>
      <c r="AG230">
        <v>0</v>
      </c>
      <c r="AH230">
        <v>0</v>
      </c>
      <c r="AI230">
        <v>0</v>
      </c>
      <c r="AJ230">
        <v>0.17647058823529413</v>
      </c>
      <c r="AK230">
        <v>0.1111111111111111</v>
      </c>
      <c r="AL230">
        <v>0</v>
      </c>
      <c r="AM230">
        <v>0</v>
      </c>
      <c r="AN230">
        <v>0</v>
      </c>
    </row>
    <row r="231" spans="1:40" x14ac:dyDescent="0.25">
      <c r="A231">
        <v>2025</v>
      </c>
      <c r="B231" t="s">
        <v>220</v>
      </c>
      <c r="C231" t="str">
        <f>IF(COUNTIF('Rookies 22-25'!$B$198:$B$349,E231)&gt;0,"(R)","No")</f>
        <v>No</v>
      </c>
      <c r="D231">
        <v>65</v>
      </c>
      <c r="E231" t="s">
        <v>285</v>
      </c>
      <c r="F231" t="s">
        <v>21</v>
      </c>
      <c r="G231">
        <f>VLOOKUP(E231,'25 Draft ADP'!$B$3:$D$505,3,FALSE)</f>
        <v>357</v>
      </c>
      <c r="H231">
        <v>13</v>
      </c>
      <c r="I231">
        <v>0</v>
      </c>
      <c r="J231">
        <v>0</v>
      </c>
      <c r="K231">
        <v>0</v>
      </c>
      <c r="L231">
        <v>10.1</v>
      </c>
      <c r="M231">
        <v>6.1</v>
      </c>
      <c r="N231">
        <v>0.1</v>
      </c>
      <c r="O231" t="s">
        <v>33</v>
      </c>
      <c r="P231" t="s">
        <v>22</v>
      </c>
      <c r="Q231">
        <v>8.8000000000000007</v>
      </c>
      <c r="R231">
        <v>13.4</v>
      </c>
      <c r="S231">
        <v>4</v>
      </c>
      <c r="T231" t="s">
        <v>33</v>
      </c>
      <c r="U231" t="s">
        <v>33</v>
      </c>
      <c r="V231" t="s">
        <v>33</v>
      </c>
      <c r="W231">
        <v>2.1</v>
      </c>
      <c r="X231">
        <v>3</v>
      </c>
      <c r="Y231">
        <v>4</v>
      </c>
      <c r="Z231">
        <v>6.7</v>
      </c>
      <c r="AA231">
        <v>4.5</v>
      </c>
      <c r="AB231">
        <f t="shared" si="6"/>
        <v>51.599999999999994</v>
      </c>
      <c r="AC231">
        <v>58.3</v>
      </c>
      <c r="AD231">
        <v>20</v>
      </c>
      <c r="AE231">
        <f t="shared" si="7"/>
        <v>2</v>
      </c>
      <c r="AF231">
        <v>0</v>
      </c>
      <c r="AG231">
        <v>0</v>
      </c>
      <c r="AH231">
        <v>0</v>
      </c>
      <c r="AI231">
        <v>0</v>
      </c>
      <c r="AJ231">
        <v>0.11764705882352941</v>
      </c>
      <c r="AK231">
        <v>0</v>
      </c>
      <c r="AL231">
        <v>0</v>
      </c>
      <c r="AM231">
        <v>0</v>
      </c>
      <c r="AN231">
        <v>0</v>
      </c>
    </row>
    <row r="232" spans="1:40" x14ac:dyDescent="0.25">
      <c r="A232">
        <v>2025</v>
      </c>
      <c r="B232" t="s">
        <v>220</v>
      </c>
      <c r="C232" t="str">
        <f>IF(COUNTIF('Rookies 22-25'!$B$198:$B$349,E232)&gt;0,"(R)","No")</f>
        <v>No</v>
      </c>
      <c r="D232">
        <v>66</v>
      </c>
      <c r="E232" t="s">
        <v>286</v>
      </c>
      <c r="F232" t="s">
        <v>47</v>
      </c>
      <c r="G232">
        <f>VLOOKUP(E232,'25 Draft ADP'!$B$3:$D$505,3,FALSE)</f>
        <v>331</v>
      </c>
      <c r="H232">
        <v>17</v>
      </c>
      <c r="I232">
        <v>5.2</v>
      </c>
      <c r="J232">
        <v>1.5</v>
      </c>
      <c r="K232">
        <v>7.1</v>
      </c>
      <c r="L232">
        <v>6.2</v>
      </c>
      <c r="M232">
        <v>5</v>
      </c>
      <c r="N232">
        <v>1.9</v>
      </c>
      <c r="O232">
        <v>1.8</v>
      </c>
      <c r="P232">
        <v>1.4</v>
      </c>
      <c r="Q232">
        <v>2.2000000000000002</v>
      </c>
      <c r="R232">
        <v>2.8</v>
      </c>
      <c r="S232">
        <v>4.5999999999999996</v>
      </c>
      <c r="T232">
        <v>0</v>
      </c>
      <c r="U232">
        <v>4.7</v>
      </c>
      <c r="V232" t="s">
        <v>22</v>
      </c>
      <c r="W232">
        <v>1.7</v>
      </c>
      <c r="X232">
        <v>0</v>
      </c>
      <c r="Y232">
        <v>9.4</v>
      </c>
      <c r="Z232">
        <v>1.5</v>
      </c>
      <c r="AA232">
        <v>3.4</v>
      </c>
      <c r="AB232">
        <f t="shared" si="6"/>
        <v>55.5</v>
      </c>
      <c r="AC232">
        <v>57</v>
      </c>
      <c r="AD232">
        <v>20</v>
      </c>
      <c r="AE232">
        <f t="shared" si="7"/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</row>
    <row r="233" spans="1:40" x14ac:dyDescent="0.25">
      <c r="A233">
        <v>2025</v>
      </c>
      <c r="B233" t="s">
        <v>220</v>
      </c>
      <c r="C233" t="str">
        <f>IF(COUNTIF('Rookies 22-25'!$B$198:$B$349,E233)&gt;0,"(R)","No")</f>
        <v>No</v>
      </c>
      <c r="D233">
        <v>67</v>
      </c>
      <c r="E233" t="s">
        <v>287</v>
      </c>
      <c r="F233" t="s">
        <v>53</v>
      </c>
      <c r="G233">
        <f>VLOOKUP(E233,'25 Draft ADP'!$B$3:$D$505,3,FALSE)</f>
        <v>184</v>
      </c>
      <c r="H233">
        <v>13</v>
      </c>
      <c r="I233" t="s">
        <v>33</v>
      </c>
      <c r="J233" t="s">
        <v>33</v>
      </c>
      <c r="K233" t="s">
        <v>33</v>
      </c>
      <c r="L233" t="s">
        <v>33</v>
      </c>
      <c r="M233">
        <v>2.2999999999999998</v>
      </c>
      <c r="N233">
        <v>0</v>
      </c>
      <c r="O233" t="s">
        <v>22</v>
      </c>
      <c r="P233">
        <v>4.3</v>
      </c>
      <c r="Q233">
        <v>2.8</v>
      </c>
      <c r="R233">
        <v>3.1</v>
      </c>
      <c r="S233">
        <v>7.4</v>
      </c>
      <c r="T233">
        <v>2.9</v>
      </c>
      <c r="U233">
        <v>11.1</v>
      </c>
      <c r="V233">
        <v>7.6</v>
      </c>
      <c r="W233">
        <v>6.6</v>
      </c>
      <c r="X233">
        <v>1.3</v>
      </c>
      <c r="Y233">
        <v>5.8</v>
      </c>
      <c r="Z233">
        <v>0.2</v>
      </c>
      <c r="AA233">
        <v>4.3</v>
      </c>
      <c r="AB233">
        <f t="shared" si="6"/>
        <v>55.199999999999996</v>
      </c>
      <c r="AC233">
        <v>55.4</v>
      </c>
      <c r="AD233">
        <v>16</v>
      </c>
      <c r="AE233">
        <f t="shared" si="7"/>
        <v>1</v>
      </c>
      <c r="AF233">
        <v>0</v>
      </c>
      <c r="AG233">
        <v>0</v>
      </c>
      <c r="AH233">
        <v>0</v>
      </c>
      <c r="AI233">
        <v>0</v>
      </c>
      <c r="AJ233">
        <v>5.8823529411764705E-2</v>
      </c>
      <c r="AK233">
        <v>0</v>
      </c>
      <c r="AL233">
        <v>0</v>
      </c>
      <c r="AM233">
        <v>0</v>
      </c>
      <c r="AN233">
        <v>0</v>
      </c>
    </row>
    <row r="234" spans="1:40" x14ac:dyDescent="0.25">
      <c r="A234">
        <v>2025</v>
      </c>
      <c r="B234" t="s">
        <v>220</v>
      </c>
      <c r="C234" t="str">
        <f>IF(COUNTIF('Rookies 22-25'!$B$198:$B$349,E234)&gt;0,"(R)","No")</f>
        <v>(R)</v>
      </c>
      <c r="D234">
        <v>68</v>
      </c>
      <c r="E234" t="s">
        <v>288</v>
      </c>
      <c r="F234" t="s">
        <v>84</v>
      </c>
      <c r="G234">
        <f>VLOOKUP(E234,'25 Draft ADP'!$B$3:$D$505,3,FALSE)</f>
        <v>143</v>
      </c>
      <c r="H234">
        <v>17</v>
      </c>
      <c r="I234">
        <v>1.3</v>
      </c>
      <c r="J234">
        <v>2.2999999999999998</v>
      </c>
      <c r="K234">
        <v>9.8000000000000007</v>
      </c>
      <c r="L234">
        <v>1</v>
      </c>
      <c r="M234">
        <v>-0.2</v>
      </c>
      <c r="N234">
        <v>1.2</v>
      </c>
      <c r="O234">
        <v>2.2999999999999998</v>
      </c>
      <c r="P234">
        <v>13.6</v>
      </c>
      <c r="Q234">
        <v>1.9</v>
      </c>
      <c r="R234">
        <v>-0.3</v>
      </c>
      <c r="S234">
        <v>10.5</v>
      </c>
      <c r="T234" t="s">
        <v>22</v>
      </c>
      <c r="U234">
        <v>1</v>
      </c>
      <c r="V234">
        <v>7.7</v>
      </c>
      <c r="W234">
        <v>0</v>
      </c>
      <c r="X234">
        <v>-0.1</v>
      </c>
      <c r="Y234">
        <v>0</v>
      </c>
      <c r="Z234">
        <v>2.1</v>
      </c>
      <c r="AA234">
        <v>3.2</v>
      </c>
      <c r="AB234">
        <f t="shared" si="6"/>
        <v>52</v>
      </c>
      <c r="AC234">
        <v>54.1</v>
      </c>
      <c r="AD234">
        <v>11</v>
      </c>
      <c r="AE234">
        <f t="shared" si="7"/>
        <v>2</v>
      </c>
      <c r="AF234">
        <v>0</v>
      </c>
      <c r="AG234">
        <v>0</v>
      </c>
      <c r="AH234">
        <v>0</v>
      </c>
      <c r="AI234">
        <v>0</v>
      </c>
      <c r="AJ234">
        <v>0.11764705882352941</v>
      </c>
      <c r="AK234">
        <v>0</v>
      </c>
      <c r="AL234">
        <v>0</v>
      </c>
      <c r="AM234">
        <v>0</v>
      </c>
      <c r="AN234">
        <v>0</v>
      </c>
    </row>
    <row r="235" spans="1:40" x14ac:dyDescent="0.25">
      <c r="A235">
        <v>2025</v>
      </c>
      <c r="B235" t="s">
        <v>220</v>
      </c>
      <c r="C235" t="str">
        <f>IF(COUNTIF('Rookies 22-25'!$B$198:$B$349,E235)&gt;0,"(R)","No")</f>
        <v>No</v>
      </c>
      <c r="D235">
        <v>69</v>
      </c>
      <c r="E235" t="s">
        <v>289</v>
      </c>
      <c r="F235" t="s">
        <v>35</v>
      </c>
      <c r="G235">
        <f>VLOOKUP(E235,'25 Draft ADP'!$B$3:$D$505,3,FALSE)</f>
        <v>120</v>
      </c>
      <c r="H235">
        <v>16</v>
      </c>
      <c r="I235">
        <v>1.2</v>
      </c>
      <c r="J235" t="s">
        <v>33</v>
      </c>
      <c r="K235">
        <v>0</v>
      </c>
      <c r="L235">
        <v>0</v>
      </c>
      <c r="M235">
        <v>0</v>
      </c>
      <c r="N235">
        <v>0</v>
      </c>
      <c r="O235">
        <v>2</v>
      </c>
      <c r="P235">
        <v>10.4</v>
      </c>
      <c r="Q235" t="s">
        <v>22</v>
      </c>
      <c r="R235">
        <v>0.7</v>
      </c>
      <c r="S235">
        <v>3.4</v>
      </c>
      <c r="T235">
        <v>0.8</v>
      </c>
      <c r="U235">
        <v>0</v>
      </c>
      <c r="V235">
        <v>0.4</v>
      </c>
      <c r="W235">
        <v>5.7</v>
      </c>
      <c r="X235">
        <v>9.6999999999999993</v>
      </c>
      <c r="Y235">
        <v>1.9</v>
      </c>
      <c r="Z235">
        <v>17.600000000000001</v>
      </c>
      <c r="AA235">
        <v>3.4</v>
      </c>
      <c r="AB235">
        <f t="shared" si="6"/>
        <v>36.199999999999996</v>
      </c>
      <c r="AC235">
        <v>53.8</v>
      </c>
      <c r="AD235">
        <v>12</v>
      </c>
      <c r="AE235">
        <f t="shared" si="7"/>
        <v>1</v>
      </c>
      <c r="AF235">
        <v>1</v>
      </c>
      <c r="AG235">
        <v>0</v>
      </c>
      <c r="AH235">
        <v>0</v>
      </c>
      <c r="AI235">
        <v>0</v>
      </c>
      <c r="AJ235">
        <v>0.11764705882352941</v>
      </c>
      <c r="AK235">
        <v>6.25E-2</v>
      </c>
      <c r="AL235">
        <v>0</v>
      </c>
      <c r="AM235">
        <v>0</v>
      </c>
      <c r="AN235">
        <v>0</v>
      </c>
    </row>
    <row r="236" spans="1:40" x14ac:dyDescent="0.25">
      <c r="A236">
        <v>2025</v>
      </c>
      <c r="B236" t="s">
        <v>220</v>
      </c>
      <c r="C236" t="str">
        <f>IF(COUNTIF('Rookies 22-25'!$B$198:$B$349,E236)&gt;0,"(R)","No")</f>
        <v>No</v>
      </c>
      <c r="D236">
        <v>70</v>
      </c>
      <c r="E236" t="s">
        <v>290</v>
      </c>
      <c r="F236" t="s">
        <v>84</v>
      </c>
      <c r="G236">
        <f>VLOOKUP(E236,'25 Draft ADP'!$B$3:$D$505,3,FALSE)</f>
        <v>214</v>
      </c>
      <c r="H236">
        <v>11</v>
      </c>
      <c r="I236" t="s">
        <v>33</v>
      </c>
      <c r="J236" t="s">
        <v>33</v>
      </c>
      <c r="K236" t="s">
        <v>33</v>
      </c>
      <c r="L236" t="s">
        <v>33</v>
      </c>
      <c r="M236" t="s">
        <v>33</v>
      </c>
      <c r="N236" t="s">
        <v>33</v>
      </c>
      <c r="O236">
        <v>0</v>
      </c>
      <c r="P236">
        <v>3.8</v>
      </c>
      <c r="Q236">
        <v>0</v>
      </c>
      <c r="R236">
        <v>1.7</v>
      </c>
      <c r="S236">
        <v>0.4</v>
      </c>
      <c r="T236" t="s">
        <v>22</v>
      </c>
      <c r="U236">
        <v>1.6</v>
      </c>
      <c r="V236">
        <v>16.7</v>
      </c>
      <c r="W236">
        <v>2.1</v>
      </c>
      <c r="X236">
        <v>12.3</v>
      </c>
      <c r="Y236">
        <v>5.6</v>
      </c>
      <c r="Z236">
        <v>4</v>
      </c>
      <c r="AA236">
        <v>4.4000000000000004</v>
      </c>
      <c r="AB236">
        <f t="shared" si="6"/>
        <v>44.2</v>
      </c>
      <c r="AC236">
        <v>48.2</v>
      </c>
      <c r="AD236">
        <v>20</v>
      </c>
      <c r="AE236">
        <f t="shared" si="7"/>
        <v>2</v>
      </c>
      <c r="AF236">
        <v>1</v>
      </c>
      <c r="AG236">
        <v>0</v>
      </c>
      <c r="AH236">
        <v>0</v>
      </c>
      <c r="AI236">
        <v>0</v>
      </c>
      <c r="AJ236">
        <v>0.11764705882352941</v>
      </c>
      <c r="AK236">
        <v>9.0909090909090912E-2</v>
      </c>
      <c r="AL236">
        <v>0</v>
      </c>
      <c r="AM236">
        <v>0</v>
      </c>
      <c r="AN236">
        <v>0</v>
      </c>
    </row>
    <row r="237" spans="1:40" x14ac:dyDescent="0.25">
      <c r="A237">
        <v>2025</v>
      </c>
      <c r="B237" t="s">
        <v>220</v>
      </c>
      <c r="C237" t="str">
        <f>IF(COUNTIF('Rookies 22-25'!$B$198:$B$349,E237)&gt;0,"(R)","No")</f>
        <v>No</v>
      </c>
      <c r="D237">
        <v>71</v>
      </c>
      <c r="E237" t="s">
        <v>291</v>
      </c>
      <c r="F237" t="s">
        <v>37</v>
      </c>
      <c r="G237">
        <f>VLOOKUP(E237,'25 Draft ADP'!$B$3:$D$505,3,FALSE)</f>
        <v>338</v>
      </c>
      <c r="H237">
        <v>7</v>
      </c>
      <c r="I237" t="s">
        <v>33</v>
      </c>
      <c r="J237" t="s">
        <v>33</v>
      </c>
      <c r="K237" t="s">
        <v>33</v>
      </c>
      <c r="L237" t="s">
        <v>33</v>
      </c>
      <c r="M237" t="s">
        <v>33</v>
      </c>
      <c r="N237" t="s">
        <v>33</v>
      </c>
      <c r="O237" t="s">
        <v>33</v>
      </c>
      <c r="P237" t="s">
        <v>33</v>
      </c>
      <c r="Q237" t="s">
        <v>33</v>
      </c>
      <c r="R237">
        <v>0</v>
      </c>
      <c r="S237" t="s">
        <v>22</v>
      </c>
      <c r="T237" t="s">
        <v>33</v>
      </c>
      <c r="U237">
        <v>0</v>
      </c>
      <c r="V237">
        <v>1.1000000000000001</v>
      </c>
      <c r="W237">
        <v>8</v>
      </c>
      <c r="X237">
        <v>6.6</v>
      </c>
      <c r="Y237">
        <v>16.8</v>
      </c>
      <c r="Z237">
        <v>15.6</v>
      </c>
      <c r="AA237">
        <v>6.9</v>
      </c>
      <c r="AB237">
        <f t="shared" si="6"/>
        <v>32.5</v>
      </c>
      <c r="AC237">
        <v>48.1</v>
      </c>
      <c r="AD237">
        <v>20</v>
      </c>
      <c r="AE237">
        <f t="shared" si="7"/>
        <v>1</v>
      </c>
      <c r="AF237">
        <v>2</v>
      </c>
      <c r="AG237">
        <v>0</v>
      </c>
      <c r="AH237">
        <v>0</v>
      </c>
      <c r="AI237">
        <v>0</v>
      </c>
      <c r="AJ237">
        <v>0.11764705882352941</v>
      </c>
      <c r="AK237">
        <v>0.2857142857142857</v>
      </c>
      <c r="AL237">
        <v>0</v>
      </c>
      <c r="AM237">
        <v>0</v>
      </c>
      <c r="AN237">
        <v>0</v>
      </c>
    </row>
    <row r="238" spans="1:40" x14ac:dyDescent="0.25">
      <c r="A238">
        <v>2025</v>
      </c>
      <c r="B238" t="s">
        <v>220</v>
      </c>
      <c r="C238" t="str">
        <f>IF(COUNTIF('Rookies 22-25'!$B$198:$B$349,E238)&gt;0,"(R)","No")</f>
        <v>No</v>
      </c>
      <c r="D238">
        <v>72</v>
      </c>
      <c r="E238" t="s">
        <v>292</v>
      </c>
      <c r="F238" t="s">
        <v>32</v>
      </c>
      <c r="G238">
        <f>VLOOKUP(E238,'25 Draft ADP'!$B$3:$D$505,3,FALSE)</f>
        <v>153</v>
      </c>
      <c r="H238">
        <v>13</v>
      </c>
      <c r="I238">
        <v>1.5</v>
      </c>
      <c r="J238">
        <v>10.4</v>
      </c>
      <c r="K238">
        <v>5</v>
      </c>
      <c r="L238">
        <v>1.3</v>
      </c>
      <c r="M238">
        <v>5.8</v>
      </c>
      <c r="N238">
        <v>8</v>
      </c>
      <c r="O238">
        <v>3</v>
      </c>
      <c r="P238">
        <v>0.9</v>
      </c>
      <c r="Q238" t="s">
        <v>22</v>
      </c>
      <c r="R238">
        <v>0.1</v>
      </c>
      <c r="S238">
        <v>0.2</v>
      </c>
      <c r="T238">
        <v>-0.3</v>
      </c>
      <c r="U238">
        <v>4.7</v>
      </c>
      <c r="V238">
        <v>3</v>
      </c>
      <c r="W238" t="s">
        <v>33</v>
      </c>
      <c r="X238" t="s">
        <v>33</v>
      </c>
      <c r="Y238" t="s">
        <v>33</v>
      </c>
      <c r="Z238">
        <v>0</v>
      </c>
      <c r="AA238">
        <v>3.4</v>
      </c>
      <c r="AB238">
        <f t="shared" si="6"/>
        <v>43.6</v>
      </c>
      <c r="AC238">
        <v>43.6</v>
      </c>
      <c r="AD238">
        <v>20</v>
      </c>
      <c r="AE238">
        <f t="shared" si="7"/>
        <v>1</v>
      </c>
      <c r="AF238">
        <v>0</v>
      </c>
      <c r="AG238">
        <v>0</v>
      </c>
      <c r="AH238">
        <v>0</v>
      </c>
      <c r="AI238">
        <v>0</v>
      </c>
      <c r="AJ238">
        <v>5.8823529411764705E-2</v>
      </c>
      <c r="AK238">
        <v>0</v>
      </c>
      <c r="AL238">
        <v>0</v>
      </c>
      <c r="AM238">
        <v>0</v>
      </c>
      <c r="AN238">
        <v>0</v>
      </c>
    </row>
    <row r="239" spans="1:40" x14ac:dyDescent="0.25">
      <c r="A239">
        <v>2025</v>
      </c>
      <c r="B239" t="s">
        <v>220</v>
      </c>
      <c r="C239" t="str">
        <f>IF(COUNTIF('Rookies 22-25'!$B$198:$B$349,E239)&gt;0,"(R)","No")</f>
        <v>No</v>
      </c>
      <c r="D239">
        <v>73</v>
      </c>
      <c r="E239" t="s">
        <v>293</v>
      </c>
      <c r="F239" t="s">
        <v>30</v>
      </c>
      <c r="G239">
        <v>300</v>
      </c>
      <c r="H239">
        <v>10</v>
      </c>
      <c r="I239" t="s">
        <v>33</v>
      </c>
      <c r="J239" t="s">
        <v>33</v>
      </c>
      <c r="K239" t="s">
        <v>33</v>
      </c>
      <c r="L239" t="s">
        <v>33</v>
      </c>
      <c r="M239" t="s">
        <v>33</v>
      </c>
      <c r="N239" t="s">
        <v>33</v>
      </c>
      <c r="O239">
        <v>0</v>
      </c>
      <c r="P239">
        <v>0.3</v>
      </c>
      <c r="Q239">
        <v>0.3</v>
      </c>
      <c r="R239" t="s">
        <v>22</v>
      </c>
      <c r="S239">
        <v>2</v>
      </c>
      <c r="T239">
        <v>2.4</v>
      </c>
      <c r="U239">
        <v>10.7</v>
      </c>
      <c r="V239">
        <v>0.6</v>
      </c>
      <c r="W239">
        <v>11.7</v>
      </c>
      <c r="X239">
        <v>2.2999999999999998</v>
      </c>
      <c r="Y239">
        <v>10.3</v>
      </c>
      <c r="Z239">
        <v>0</v>
      </c>
      <c r="AA239">
        <v>4.0999999999999996</v>
      </c>
      <c r="AB239">
        <f t="shared" si="6"/>
        <v>40.6</v>
      </c>
      <c r="AC239">
        <v>40.6</v>
      </c>
      <c r="AD239">
        <v>20</v>
      </c>
      <c r="AE239">
        <f t="shared" si="7"/>
        <v>3</v>
      </c>
      <c r="AF239">
        <v>0</v>
      </c>
      <c r="AG239">
        <v>0</v>
      </c>
      <c r="AH239">
        <v>0</v>
      </c>
      <c r="AI239">
        <v>0</v>
      </c>
      <c r="AJ239">
        <v>0.17647058823529413</v>
      </c>
      <c r="AK239">
        <v>0</v>
      </c>
      <c r="AL239">
        <v>0</v>
      </c>
      <c r="AM239">
        <v>0</v>
      </c>
      <c r="AN239">
        <v>0</v>
      </c>
    </row>
    <row r="240" spans="1:40" x14ac:dyDescent="0.25">
      <c r="A240">
        <v>2025</v>
      </c>
      <c r="B240" t="s">
        <v>220</v>
      </c>
      <c r="C240" t="str">
        <f>IF(COUNTIF('Rookies 22-25'!$B$198:$B$349,E240)&gt;0,"(R)","No")</f>
        <v>No</v>
      </c>
      <c r="D240">
        <v>74</v>
      </c>
      <c r="E240" t="s">
        <v>294</v>
      </c>
      <c r="F240" t="s">
        <v>73</v>
      </c>
      <c r="G240">
        <f>VLOOKUP(E240,'25 Draft ADP'!$B$3:$D$505,3,FALSE)</f>
        <v>482</v>
      </c>
      <c r="H240">
        <v>11</v>
      </c>
      <c r="I240" t="s">
        <v>33</v>
      </c>
      <c r="J240" t="s">
        <v>33</v>
      </c>
      <c r="K240">
        <v>6</v>
      </c>
      <c r="L240">
        <v>16.399999999999999</v>
      </c>
      <c r="M240">
        <v>-0.2</v>
      </c>
      <c r="N240" t="s">
        <v>22</v>
      </c>
      <c r="O240">
        <v>1.6</v>
      </c>
      <c r="P240">
        <v>4.4000000000000004</v>
      </c>
      <c r="Q240">
        <v>0</v>
      </c>
      <c r="R240" t="s">
        <v>33</v>
      </c>
      <c r="S240" t="s">
        <v>33</v>
      </c>
      <c r="T240" t="s">
        <v>33</v>
      </c>
      <c r="U240">
        <v>3.1</v>
      </c>
      <c r="V240">
        <v>3</v>
      </c>
      <c r="W240" t="s">
        <v>33</v>
      </c>
      <c r="X240">
        <v>2.2000000000000002</v>
      </c>
      <c r="Y240">
        <v>0</v>
      </c>
      <c r="Z240">
        <v>2.7</v>
      </c>
      <c r="AA240">
        <v>3.6</v>
      </c>
      <c r="AB240">
        <f t="shared" si="6"/>
        <v>36.5</v>
      </c>
      <c r="AC240">
        <v>39.200000000000003</v>
      </c>
      <c r="AD240">
        <v>20</v>
      </c>
      <c r="AE240">
        <f t="shared" si="7"/>
        <v>1</v>
      </c>
      <c r="AF240">
        <v>1</v>
      </c>
      <c r="AG240">
        <v>0</v>
      </c>
      <c r="AH240">
        <v>0</v>
      </c>
      <c r="AI240">
        <v>0</v>
      </c>
      <c r="AJ240">
        <v>5.8823529411764705E-2</v>
      </c>
      <c r="AK240">
        <v>9.0909090909090912E-2</v>
      </c>
      <c r="AL240">
        <v>0</v>
      </c>
      <c r="AM240">
        <v>0</v>
      </c>
      <c r="AN240">
        <v>0</v>
      </c>
    </row>
    <row r="241" spans="1:40" x14ac:dyDescent="0.25">
      <c r="A241">
        <v>2025</v>
      </c>
      <c r="B241" t="s">
        <v>220</v>
      </c>
      <c r="C241" t="str">
        <f>IF(COUNTIF('Rookies 22-25'!$B$198:$B$349,E241)&gt;0,"(R)","No")</f>
        <v>No</v>
      </c>
      <c r="D241">
        <v>75</v>
      </c>
      <c r="E241" t="s">
        <v>295</v>
      </c>
      <c r="F241" t="s">
        <v>30</v>
      </c>
      <c r="G241">
        <f>VLOOKUP(E241,'25 Draft ADP'!$B$3:$D$505,3,FALSE)</f>
        <v>469</v>
      </c>
      <c r="H241">
        <v>17</v>
      </c>
      <c r="I241">
        <v>0</v>
      </c>
      <c r="J241">
        <v>0</v>
      </c>
      <c r="K241">
        <v>0</v>
      </c>
      <c r="L241">
        <v>0.6</v>
      </c>
      <c r="M241">
        <v>2</v>
      </c>
      <c r="N241">
        <v>8.6999999999999993</v>
      </c>
      <c r="O241">
        <v>1.3</v>
      </c>
      <c r="P241">
        <v>0.2</v>
      </c>
      <c r="Q241">
        <v>0</v>
      </c>
      <c r="R241" t="s">
        <v>22</v>
      </c>
      <c r="S241">
        <v>7.1</v>
      </c>
      <c r="T241">
        <v>1.7</v>
      </c>
      <c r="U241">
        <v>0</v>
      </c>
      <c r="V241">
        <v>0</v>
      </c>
      <c r="W241">
        <v>5</v>
      </c>
      <c r="X241">
        <v>2.4</v>
      </c>
      <c r="Y241">
        <v>5.4</v>
      </c>
      <c r="Z241">
        <v>2.6</v>
      </c>
      <c r="AA241">
        <v>2.2000000000000002</v>
      </c>
      <c r="AB241">
        <f t="shared" si="6"/>
        <v>34.4</v>
      </c>
      <c r="AC241">
        <v>37</v>
      </c>
      <c r="AD241">
        <v>20</v>
      </c>
      <c r="AE241">
        <f t="shared" si="7"/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</row>
    <row r="242" spans="1:40" x14ac:dyDescent="0.25">
      <c r="A242">
        <v>2025</v>
      </c>
      <c r="B242" t="s">
        <v>220</v>
      </c>
      <c r="C242" t="str">
        <f>IF(COUNTIF('Rookies 22-25'!$B$198:$B$349,E242)&gt;0,"(R)","No")</f>
        <v>No</v>
      </c>
      <c r="D242">
        <v>76</v>
      </c>
      <c r="E242" t="s">
        <v>296</v>
      </c>
      <c r="F242" t="s">
        <v>28</v>
      </c>
      <c r="G242">
        <v>300</v>
      </c>
      <c r="H242">
        <v>13</v>
      </c>
      <c r="I242" t="s">
        <v>33</v>
      </c>
      <c r="J242" t="s">
        <v>33</v>
      </c>
      <c r="K242" t="s">
        <v>33</v>
      </c>
      <c r="L242" t="s">
        <v>33</v>
      </c>
      <c r="M242">
        <v>6.6</v>
      </c>
      <c r="N242">
        <v>2.6</v>
      </c>
      <c r="O242">
        <v>3.7</v>
      </c>
      <c r="P242">
        <v>1.8</v>
      </c>
      <c r="Q242">
        <v>1.5</v>
      </c>
      <c r="R242">
        <v>1.8</v>
      </c>
      <c r="S242" t="s">
        <v>22</v>
      </c>
      <c r="T242">
        <v>0</v>
      </c>
      <c r="U242">
        <v>0</v>
      </c>
      <c r="V242">
        <v>2.9</v>
      </c>
      <c r="W242">
        <v>9.6999999999999993</v>
      </c>
      <c r="X242">
        <v>-0.6</v>
      </c>
      <c r="Y242">
        <v>1.4</v>
      </c>
      <c r="Z242">
        <v>4.5</v>
      </c>
      <c r="AA242">
        <v>2.8</v>
      </c>
      <c r="AB242">
        <f t="shared" si="6"/>
        <v>31.4</v>
      </c>
      <c r="AC242">
        <v>35.9</v>
      </c>
      <c r="AD242">
        <v>20</v>
      </c>
      <c r="AE242">
        <f t="shared" si="7"/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</row>
    <row r="243" spans="1:40" x14ac:dyDescent="0.25">
      <c r="A243">
        <v>2025</v>
      </c>
      <c r="B243" t="s">
        <v>220</v>
      </c>
      <c r="C243" t="str">
        <f>IF(COUNTIF('Rookies 22-25'!$B$198:$B$349,E243)&gt;0,"(R)","No")</f>
        <v>No</v>
      </c>
      <c r="D243">
        <v>77</v>
      </c>
      <c r="E243" t="s">
        <v>297</v>
      </c>
      <c r="F243" t="s">
        <v>78</v>
      </c>
      <c r="G243">
        <f>VLOOKUP(E243,'25 Draft ADP'!$B$3:$D$505,3,FALSE)</f>
        <v>351</v>
      </c>
      <c r="H243">
        <v>16</v>
      </c>
      <c r="I243">
        <v>3.6</v>
      </c>
      <c r="J243">
        <v>4.2</v>
      </c>
      <c r="K243">
        <v>0</v>
      </c>
      <c r="L243">
        <v>2.1</v>
      </c>
      <c r="M243">
        <v>2.6</v>
      </c>
      <c r="N243" t="s">
        <v>33</v>
      </c>
      <c r="O243">
        <v>3.9</v>
      </c>
      <c r="P243">
        <v>0.6</v>
      </c>
      <c r="Q243">
        <v>2.6</v>
      </c>
      <c r="R243">
        <v>0</v>
      </c>
      <c r="S243">
        <v>1</v>
      </c>
      <c r="T243" t="s">
        <v>22</v>
      </c>
      <c r="U243">
        <v>4.8</v>
      </c>
      <c r="V243">
        <v>3.1</v>
      </c>
      <c r="W243">
        <v>1.1000000000000001</v>
      </c>
      <c r="X243">
        <v>1.2</v>
      </c>
      <c r="Y243">
        <v>0</v>
      </c>
      <c r="Z243">
        <v>4.5999999999999996</v>
      </c>
      <c r="AA243">
        <v>2.2000000000000002</v>
      </c>
      <c r="AB243">
        <f t="shared" si="6"/>
        <v>30.799999999999997</v>
      </c>
      <c r="AC243">
        <v>35.4</v>
      </c>
      <c r="AD243">
        <v>20</v>
      </c>
      <c r="AE243">
        <f t="shared" si="7"/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</row>
    <row r="244" spans="1:40" x14ac:dyDescent="0.25">
      <c r="A244">
        <v>2025</v>
      </c>
      <c r="B244" t="s">
        <v>220</v>
      </c>
      <c r="C244" t="str">
        <f>IF(COUNTIF('Rookies 22-25'!$B$198:$B$349,E244)&gt;0,"(R)","No")</f>
        <v>No</v>
      </c>
      <c r="D244">
        <v>77</v>
      </c>
      <c r="E244" t="s">
        <v>298</v>
      </c>
      <c r="F244" t="s">
        <v>21</v>
      </c>
      <c r="G244">
        <f>VLOOKUP(E244,'25 Draft ADP'!$B$3:$D$505,3,FALSE)</f>
        <v>135</v>
      </c>
      <c r="H244">
        <v>5</v>
      </c>
      <c r="I244">
        <v>8.5</v>
      </c>
      <c r="J244">
        <v>8.4</v>
      </c>
      <c r="K244">
        <v>8.1</v>
      </c>
      <c r="L244">
        <v>10.4</v>
      </c>
      <c r="M244" t="s">
        <v>33</v>
      </c>
      <c r="N244" t="s">
        <v>33</v>
      </c>
      <c r="O244" t="s">
        <v>33</v>
      </c>
      <c r="P244" t="s">
        <v>22</v>
      </c>
      <c r="Q244" t="s">
        <v>33</v>
      </c>
      <c r="R244" t="s">
        <v>33</v>
      </c>
      <c r="S244">
        <v>0</v>
      </c>
      <c r="T244" t="s">
        <v>33</v>
      </c>
      <c r="U244" t="s">
        <v>33</v>
      </c>
      <c r="V244" t="s">
        <v>33</v>
      </c>
      <c r="W244" t="s">
        <v>33</v>
      </c>
      <c r="X244" t="s">
        <v>33</v>
      </c>
      <c r="Y244" t="s">
        <v>33</v>
      </c>
      <c r="Z244">
        <v>0</v>
      </c>
      <c r="AA244">
        <v>7.1</v>
      </c>
      <c r="AB244">
        <f t="shared" si="6"/>
        <v>35.4</v>
      </c>
      <c r="AC244">
        <v>35.4</v>
      </c>
      <c r="AD244">
        <v>20</v>
      </c>
      <c r="AE244">
        <f t="shared" si="7"/>
        <v>1</v>
      </c>
      <c r="AF244">
        <v>0</v>
      </c>
      <c r="AG244">
        <v>0</v>
      </c>
      <c r="AH244">
        <v>0</v>
      </c>
      <c r="AI244">
        <v>0</v>
      </c>
      <c r="AJ244">
        <v>5.8823529411764705E-2</v>
      </c>
      <c r="AK244">
        <v>0</v>
      </c>
      <c r="AL244">
        <v>0</v>
      </c>
      <c r="AM244">
        <v>0</v>
      </c>
      <c r="AN244">
        <v>0</v>
      </c>
    </row>
    <row r="245" spans="1:40" x14ac:dyDescent="0.25">
      <c r="A245">
        <v>2025</v>
      </c>
      <c r="B245" t="s">
        <v>220</v>
      </c>
      <c r="C245" t="str">
        <f>IF(COUNTIF('Rookies 22-25'!$B$198:$B$349,E245)&gt;0,"(R)","No")</f>
        <v>No</v>
      </c>
      <c r="D245">
        <v>79</v>
      </c>
      <c r="E245" t="s">
        <v>299</v>
      </c>
      <c r="F245" t="s">
        <v>21</v>
      </c>
      <c r="G245">
        <f>VLOOKUP(E245,'25 Draft ADP'!$B$3:$D$505,3,FALSE)</f>
        <v>56</v>
      </c>
      <c r="H245">
        <v>4</v>
      </c>
      <c r="I245">
        <v>14.4</v>
      </c>
      <c r="J245">
        <v>12.2</v>
      </c>
      <c r="K245">
        <v>6.7</v>
      </c>
      <c r="L245" t="s">
        <v>33</v>
      </c>
      <c r="M245" t="s">
        <v>33</v>
      </c>
      <c r="N245" t="s">
        <v>33</v>
      </c>
      <c r="O245" t="s">
        <v>33</v>
      </c>
      <c r="P245" t="s">
        <v>22</v>
      </c>
      <c r="Q245" t="s">
        <v>33</v>
      </c>
      <c r="R245">
        <v>0</v>
      </c>
      <c r="S245" t="s">
        <v>33</v>
      </c>
      <c r="T245" t="s">
        <v>33</v>
      </c>
      <c r="U245" t="s">
        <v>33</v>
      </c>
      <c r="V245" t="s">
        <v>33</v>
      </c>
      <c r="W245" t="s">
        <v>33</v>
      </c>
      <c r="X245" t="s">
        <v>33</v>
      </c>
      <c r="Y245" t="s">
        <v>33</v>
      </c>
      <c r="Z245">
        <v>0</v>
      </c>
      <c r="AA245">
        <v>8.3000000000000007</v>
      </c>
      <c r="AB245">
        <f t="shared" si="6"/>
        <v>33.299999999999997</v>
      </c>
      <c r="AC245">
        <v>33.299999999999997</v>
      </c>
      <c r="AD245">
        <v>20</v>
      </c>
      <c r="AE245">
        <f t="shared" si="7"/>
        <v>2</v>
      </c>
      <c r="AF245">
        <v>0</v>
      </c>
      <c r="AG245">
        <v>0</v>
      </c>
      <c r="AH245">
        <v>0</v>
      </c>
      <c r="AI245">
        <v>0</v>
      </c>
      <c r="AJ245">
        <v>0.11764705882352941</v>
      </c>
      <c r="AK245">
        <v>0</v>
      </c>
      <c r="AL245">
        <v>0</v>
      </c>
      <c r="AM245">
        <v>0</v>
      </c>
      <c r="AN245">
        <v>0</v>
      </c>
    </row>
    <row r="246" spans="1:40" x14ac:dyDescent="0.25">
      <c r="A246">
        <v>2025</v>
      </c>
      <c r="B246" t="s">
        <v>220</v>
      </c>
      <c r="C246" t="str">
        <f>IF(COUNTIF('Rookies 22-25'!$B$198:$B$349,E246)&gt;0,"(R)","No")</f>
        <v>No</v>
      </c>
      <c r="D246">
        <v>79</v>
      </c>
      <c r="E246" t="s">
        <v>300</v>
      </c>
      <c r="F246" t="s">
        <v>37</v>
      </c>
      <c r="G246">
        <f>VLOOKUP(E246,'25 Draft ADP'!$B$3:$D$505,3,FALSE)</f>
        <v>215</v>
      </c>
      <c r="H246">
        <v>7</v>
      </c>
      <c r="I246">
        <v>2.4</v>
      </c>
      <c r="J246">
        <v>2</v>
      </c>
      <c r="K246">
        <v>5.6</v>
      </c>
      <c r="L246">
        <v>12.5</v>
      </c>
      <c r="M246">
        <v>5.9</v>
      </c>
      <c r="N246">
        <v>4.2</v>
      </c>
      <c r="O246">
        <v>0.7</v>
      </c>
      <c r="P246" t="s">
        <v>33</v>
      </c>
      <c r="Q246" t="s">
        <v>33</v>
      </c>
      <c r="R246" t="s">
        <v>33</v>
      </c>
      <c r="S246" t="s">
        <v>22</v>
      </c>
      <c r="T246" t="s">
        <v>33</v>
      </c>
      <c r="U246" t="s">
        <v>33</v>
      </c>
      <c r="V246" t="s">
        <v>33</v>
      </c>
      <c r="W246" t="s">
        <v>33</v>
      </c>
      <c r="X246" t="s">
        <v>33</v>
      </c>
      <c r="Y246" t="s">
        <v>33</v>
      </c>
      <c r="Z246">
        <v>0</v>
      </c>
      <c r="AA246">
        <v>4.8</v>
      </c>
      <c r="AB246">
        <f t="shared" si="6"/>
        <v>33.299999999999997</v>
      </c>
      <c r="AC246">
        <v>33.299999999999997</v>
      </c>
      <c r="AD246">
        <v>20</v>
      </c>
      <c r="AE246">
        <f t="shared" si="7"/>
        <v>1</v>
      </c>
      <c r="AF246">
        <v>0</v>
      </c>
      <c r="AG246">
        <v>0</v>
      </c>
      <c r="AH246">
        <v>0</v>
      </c>
      <c r="AI246">
        <v>0</v>
      </c>
      <c r="AJ246">
        <v>5.8823529411764705E-2</v>
      </c>
      <c r="AK246">
        <v>0</v>
      </c>
      <c r="AL246">
        <v>0</v>
      </c>
      <c r="AM246">
        <v>0</v>
      </c>
      <c r="AN246">
        <v>0</v>
      </c>
    </row>
    <row r="247" spans="1:40" x14ac:dyDescent="0.25">
      <c r="A247">
        <v>2025</v>
      </c>
      <c r="B247" t="s">
        <v>220</v>
      </c>
      <c r="C247" t="str">
        <f>IF(COUNTIF('Rookies 22-25'!$B$198:$B$349,E247)&gt;0,"(R)","No")</f>
        <v>No</v>
      </c>
      <c r="D247">
        <v>81</v>
      </c>
      <c r="E247" t="s">
        <v>301</v>
      </c>
      <c r="F247" t="s">
        <v>69</v>
      </c>
      <c r="G247">
        <f>VLOOKUP(E247,'25 Draft ADP'!$B$3:$D$505,3,FALSE)</f>
        <v>285</v>
      </c>
      <c r="H247">
        <v>17</v>
      </c>
      <c r="I247">
        <v>1.3</v>
      </c>
      <c r="J247">
        <v>5.7</v>
      </c>
      <c r="K247">
        <v>0</v>
      </c>
      <c r="L247">
        <v>1.1000000000000001</v>
      </c>
      <c r="M247" t="s">
        <v>22</v>
      </c>
      <c r="N247">
        <v>0.1</v>
      </c>
      <c r="O247">
        <v>0</v>
      </c>
      <c r="P247">
        <v>0</v>
      </c>
      <c r="Q247">
        <v>4.4000000000000004</v>
      </c>
      <c r="R247">
        <v>0</v>
      </c>
      <c r="S247">
        <v>0.8</v>
      </c>
      <c r="T247">
        <v>3.6</v>
      </c>
      <c r="U247">
        <v>2.9</v>
      </c>
      <c r="V247">
        <v>1.6</v>
      </c>
      <c r="W247">
        <v>2.6</v>
      </c>
      <c r="X247">
        <v>0.4</v>
      </c>
      <c r="Y247">
        <v>2.1</v>
      </c>
      <c r="Z247">
        <v>6.1</v>
      </c>
      <c r="AA247">
        <v>1.9</v>
      </c>
      <c r="AB247">
        <f t="shared" si="6"/>
        <v>26.6</v>
      </c>
      <c r="AC247">
        <v>32.700000000000003</v>
      </c>
      <c r="AD247">
        <v>20</v>
      </c>
      <c r="AE247">
        <f t="shared" si="7"/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</row>
    <row r="248" spans="1:40" x14ac:dyDescent="0.25">
      <c r="A248">
        <v>2025</v>
      </c>
      <c r="B248" t="s">
        <v>220</v>
      </c>
      <c r="C248" t="str">
        <f>IF(COUNTIF('Rookies 22-25'!$B$198:$B$349,E248)&gt;0,"(R)","No")</f>
        <v>No</v>
      </c>
      <c r="D248">
        <v>82</v>
      </c>
      <c r="E248" t="s">
        <v>302</v>
      </c>
      <c r="F248" t="s">
        <v>78</v>
      </c>
      <c r="G248">
        <f>VLOOKUP(E248,'25 Draft ADP'!$B$3:$D$505,3,FALSE)</f>
        <v>252</v>
      </c>
      <c r="H248">
        <v>8</v>
      </c>
      <c r="I248" t="s">
        <v>33</v>
      </c>
      <c r="J248" t="s">
        <v>33</v>
      </c>
      <c r="K248" t="s">
        <v>33</v>
      </c>
      <c r="L248" t="s">
        <v>33</v>
      </c>
      <c r="M248" t="s">
        <v>33</v>
      </c>
      <c r="N248">
        <v>0</v>
      </c>
      <c r="O248" t="s">
        <v>33</v>
      </c>
      <c r="P248" t="s">
        <v>33</v>
      </c>
      <c r="Q248" t="s">
        <v>33</v>
      </c>
      <c r="R248" t="s">
        <v>33</v>
      </c>
      <c r="S248">
        <v>8.4</v>
      </c>
      <c r="T248" t="s">
        <v>22</v>
      </c>
      <c r="U248">
        <v>4</v>
      </c>
      <c r="V248">
        <v>4.0999999999999996</v>
      </c>
      <c r="W248">
        <v>0.4</v>
      </c>
      <c r="X248">
        <v>3.7</v>
      </c>
      <c r="Y248">
        <v>4</v>
      </c>
      <c r="Z248">
        <v>6.8</v>
      </c>
      <c r="AA248">
        <v>3.9</v>
      </c>
      <c r="AB248">
        <f t="shared" si="6"/>
        <v>24.599999999999998</v>
      </c>
      <c r="AC248">
        <v>31.4</v>
      </c>
      <c r="AD248">
        <v>20</v>
      </c>
      <c r="AE248">
        <f t="shared" si="7"/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</row>
    <row r="249" spans="1:40" x14ac:dyDescent="0.25">
      <c r="A249">
        <v>2025</v>
      </c>
      <c r="B249" t="s">
        <v>220</v>
      </c>
      <c r="C249" t="str">
        <f>IF(COUNTIF('Rookies 22-25'!$B$198:$B$349,E249)&gt;0,"(R)","No")</f>
        <v>No</v>
      </c>
      <c r="D249">
        <v>83</v>
      </c>
      <c r="E249" t="s">
        <v>303</v>
      </c>
      <c r="F249" t="s">
        <v>41</v>
      </c>
      <c r="G249">
        <v>300</v>
      </c>
      <c r="H249">
        <v>4</v>
      </c>
      <c r="I249" t="s">
        <v>33</v>
      </c>
      <c r="J249" t="s">
        <v>33</v>
      </c>
      <c r="K249" t="s">
        <v>33</v>
      </c>
      <c r="L249" t="s">
        <v>33</v>
      </c>
      <c r="M249" t="s">
        <v>33</v>
      </c>
      <c r="N249" t="s">
        <v>22</v>
      </c>
      <c r="O249" t="s">
        <v>33</v>
      </c>
      <c r="P249" t="s">
        <v>33</v>
      </c>
      <c r="Q249" t="s">
        <v>33</v>
      </c>
      <c r="R249" t="s">
        <v>33</v>
      </c>
      <c r="S249" t="s">
        <v>33</v>
      </c>
      <c r="T249" t="s">
        <v>33</v>
      </c>
      <c r="U249" t="s">
        <v>33</v>
      </c>
      <c r="V249" t="s">
        <v>33</v>
      </c>
      <c r="W249">
        <v>13.8</v>
      </c>
      <c r="X249">
        <v>12</v>
      </c>
      <c r="Y249">
        <v>3.6</v>
      </c>
      <c r="Z249">
        <v>0.3</v>
      </c>
      <c r="AA249">
        <v>7.4</v>
      </c>
      <c r="AB249">
        <f t="shared" si="6"/>
        <v>29.4</v>
      </c>
      <c r="AC249">
        <v>29.7</v>
      </c>
      <c r="AD249">
        <v>20</v>
      </c>
      <c r="AE249">
        <f t="shared" si="7"/>
        <v>2</v>
      </c>
      <c r="AF249">
        <v>0</v>
      </c>
      <c r="AG249">
        <v>0</v>
      </c>
      <c r="AH249">
        <v>0</v>
      </c>
      <c r="AI249">
        <v>0</v>
      </c>
      <c r="AJ249">
        <v>0.11764705882352941</v>
      </c>
      <c r="AK249">
        <v>0</v>
      </c>
      <c r="AL249">
        <v>0</v>
      </c>
      <c r="AM249">
        <v>0</v>
      </c>
      <c r="AN249">
        <v>0</v>
      </c>
    </row>
    <row r="250" spans="1:40" x14ac:dyDescent="0.25">
      <c r="A250">
        <v>2025</v>
      </c>
      <c r="B250" t="s">
        <v>220</v>
      </c>
      <c r="C250" t="str">
        <f>IF(COUNTIF('Rookies 22-25'!$B$198:$B$349,E250)&gt;0,"(R)","No")</f>
        <v>No</v>
      </c>
      <c r="D250">
        <v>84</v>
      </c>
      <c r="E250" t="s">
        <v>304</v>
      </c>
      <c r="F250" t="s">
        <v>43</v>
      </c>
      <c r="G250">
        <f>VLOOKUP(E250,'25 Draft ADP'!$B$3:$D$505,3,FALSE)</f>
        <v>227</v>
      </c>
      <c r="H250">
        <v>12</v>
      </c>
      <c r="I250" t="s">
        <v>33</v>
      </c>
      <c r="J250" t="s">
        <v>33</v>
      </c>
      <c r="K250" t="s">
        <v>33</v>
      </c>
      <c r="L250">
        <v>8.3000000000000007</v>
      </c>
      <c r="M250">
        <v>2.2000000000000002</v>
      </c>
      <c r="N250">
        <v>-0.4</v>
      </c>
      <c r="O250">
        <v>1.2</v>
      </c>
      <c r="P250" t="s">
        <v>22</v>
      </c>
      <c r="Q250">
        <v>2.4</v>
      </c>
      <c r="R250">
        <v>2.5</v>
      </c>
      <c r="S250">
        <v>3.3</v>
      </c>
      <c r="T250">
        <v>5</v>
      </c>
      <c r="U250">
        <v>0.6</v>
      </c>
      <c r="V250">
        <v>1.2</v>
      </c>
      <c r="W250">
        <v>1.2</v>
      </c>
      <c r="X250">
        <v>1.9</v>
      </c>
      <c r="Y250" t="s">
        <v>33</v>
      </c>
      <c r="Z250">
        <v>0</v>
      </c>
      <c r="AA250">
        <v>2.5</v>
      </c>
      <c r="AB250">
        <f t="shared" si="6"/>
        <v>29.4</v>
      </c>
      <c r="AC250">
        <v>29.4</v>
      </c>
      <c r="AD250">
        <v>20</v>
      </c>
      <c r="AE250">
        <f t="shared" si="7"/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</row>
    <row r="251" spans="1:40" x14ac:dyDescent="0.25">
      <c r="A251">
        <v>2025</v>
      </c>
      <c r="B251" t="s">
        <v>220</v>
      </c>
      <c r="C251" t="str">
        <f>IF(COUNTIF('Rookies 22-25'!$B$198:$B$349,E251)&gt;0,"(R)","No")</f>
        <v>No</v>
      </c>
      <c r="D251">
        <v>85</v>
      </c>
      <c r="E251" t="s">
        <v>305</v>
      </c>
      <c r="F251" t="s">
        <v>30</v>
      </c>
      <c r="G251">
        <f>VLOOKUP(E251,'25 Draft ADP'!$B$3:$D$505,3,FALSE)</f>
        <v>228</v>
      </c>
      <c r="H251">
        <v>4</v>
      </c>
      <c r="I251">
        <v>4</v>
      </c>
      <c r="J251">
        <v>9.9</v>
      </c>
      <c r="K251">
        <v>8.3000000000000007</v>
      </c>
      <c r="L251">
        <v>4.5</v>
      </c>
      <c r="M251" t="s">
        <v>33</v>
      </c>
      <c r="N251" t="s">
        <v>33</v>
      </c>
      <c r="O251" t="s">
        <v>33</v>
      </c>
      <c r="P251" t="s">
        <v>33</v>
      </c>
      <c r="Q251" t="s">
        <v>33</v>
      </c>
      <c r="R251" t="s">
        <v>22</v>
      </c>
      <c r="S251" t="s">
        <v>33</v>
      </c>
      <c r="T251" t="s">
        <v>33</v>
      </c>
      <c r="U251" t="s">
        <v>33</v>
      </c>
      <c r="V251" t="s">
        <v>33</v>
      </c>
      <c r="W251" t="s">
        <v>33</v>
      </c>
      <c r="X251" t="s">
        <v>33</v>
      </c>
      <c r="Y251" t="s">
        <v>33</v>
      </c>
      <c r="Z251">
        <v>0</v>
      </c>
      <c r="AA251">
        <v>6.7</v>
      </c>
      <c r="AB251">
        <f t="shared" si="6"/>
        <v>26.7</v>
      </c>
      <c r="AC251">
        <v>26.7</v>
      </c>
      <c r="AD251">
        <v>20</v>
      </c>
      <c r="AE251">
        <f t="shared" si="7"/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</row>
    <row r="252" spans="1:40" x14ac:dyDescent="0.25">
      <c r="A252">
        <v>2025</v>
      </c>
      <c r="B252" t="s">
        <v>220</v>
      </c>
      <c r="C252" t="str">
        <f>IF(COUNTIF('Rookies 22-25'!$B$198:$B$349,E252)&gt;0,"(R)","No")</f>
        <v>No</v>
      </c>
      <c r="D252">
        <v>86</v>
      </c>
      <c r="E252" t="s">
        <v>306</v>
      </c>
      <c r="F252" t="s">
        <v>51</v>
      </c>
      <c r="G252">
        <v>300</v>
      </c>
      <c r="H252">
        <v>6</v>
      </c>
      <c r="I252" t="s">
        <v>33</v>
      </c>
      <c r="J252" t="s">
        <v>33</v>
      </c>
      <c r="K252" t="s">
        <v>33</v>
      </c>
      <c r="L252" t="s">
        <v>33</v>
      </c>
      <c r="M252" t="s">
        <v>33</v>
      </c>
      <c r="N252" t="s">
        <v>33</v>
      </c>
      <c r="O252" t="s">
        <v>33</v>
      </c>
      <c r="P252">
        <v>3</v>
      </c>
      <c r="Q252">
        <v>4.4000000000000004</v>
      </c>
      <c r="R252">
        <v>0.1</v>
      </c>
      <c r="S252" t="s">
        <v>33</v>
      </c>
      <c r="T252" t="s">
        <v>22</v>
      </c>
      <c r="U252">
        <v>11.4</v>
      </c>
      <c r="V252" t="s">
        <v>33</v>
      </c>
      <c r="W252" t="s">
        <v>33</v>
      </c>
      <c r="X252" t="s">
        <v>33</v>
      </c>
      <c r="Y252">
        <v>0.1</v>
      </c>
      <c r="Z252">
        <v>6.7</v>
      </c>
      <c r="AA252">
        <v>4.3</v>
      </c>
      <c r="AB252">
        <f t="shared" si="6"/>
        <v>19</v>
      </c>
      <c r="AC252">
        <v>25.7</v>
      </c>
      <c r="AD252">
        <v>20</v>
      </c>
      <c r="AE252">
        <f t="shared" si="7"/>
        <v>1</v>
      </c>
      <c r="AF252">
        <v>0</v>
      </c>
      <c r="AG252">
        <v>0</v>
      </c>
      <c r="AH252">
        <v>0</v>
      </c>
      <c r="AI252">
        <v>0</v>
      </c>
      <c r="AJ252">
        <v>5.8823529411764705E-2</v>
      </c>
      <c r="AK252">
        <v>0</v>
      </c>
      <c r="AL252">
        <v>0</v>
      </c>
      <c r="AM252">
        <v>0</v>
      </c>
      <c r="AN252">
        <v>0</v>
      </c>
    </row>
    <row r="253" spans="1:40" x14ac:dyDescent="0.25">
      <c r="A253">
        <v>2025</v>
      </c>
      <c r="B253" t="s">
        <v>220</v>
      </c>
      <c r="C253" t="str">
        <f>IF(COUNTIF('Rookies 22-25'!$B$198:$B$349,E253)&gt;0,"(R)","No")</f>
        <v>(R)</v>
      </c>
      <c r="D253">
        <v>87</v>
      </c>
      <c r="E253" t="s">
        <v>307</v>
      </c>
      <c r="F253" t="s">
        <v>67</v>
      </c>
      <c r="G253">
        <f>VLOOKUP(E253,'25 Draft ADP'!$B$3:$D$505,3,FALSE)</f>
        <v>348</v>
      </c>
      <c r="H253">
        <v>17</v>
      </c>
      <c r="I253">
        <v>2.1</v>
      </c>
      <c r="J253">
        <v>1.3</v>
      </c>
      <c r="K253">
        <v>1.9</v>
      </c>
      <c r="L253">
        <v>1.7</v>
      </c>
      <c r="M253">
        <v>0</v>
      </c>
      <c r="N253">
        <v>2.2000000000000002</v>
      </c>
      <c r="O253">
        <v>1.4</v>
      </c>
      <c r="P253" t="s">
        <v>22</v>
      </c>
      <c r="Q253">
        <v>2.1</v>
      </c>
      <c r="R253">
        <v>1.6</v>
      </c>
      <c r="S253">
        <v>3.6</v>
      </c>
      <c r="T253">
        <v>0.2</v>
      </c>
      <c r="U253">
        <v>0</v>
      </c>
      <c r="V253">
        <v>2.8</v>
      </c>
      <c r="W253">
        <v>2.6</v>
      </c>
      <c r="X253">
        <v>1</v>
      </c>
      <c r="Y253">
        <v>0.3</v>
      </c>
      <c r="Z253">
        <v>0</v>
      </c>
      <c r="AA253">
        <v>1.5</v>
      </c>
      <c r="AB253">
        <f t="shared" si="6"/>
        <v>24.8</v>
      </c>
      <c r="AC253">
        <v>24.8</v>
      </c>
      <c r="AD253">
        <v>20</v>
      </c>
      <c r="AE253">
        <f t="shared" si="7"/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</row>
    <row r="254" spans="1:40" x14ac:dyDescent="0.25">
      <c r="A254">
        <v>2025</v>
      </c>
      <c r="B254" t="s">
        <v>220</v>
      </c>
      <c r="C254" t="str">
        <f>IF(COUNTIF('Rookies 22-25'!$B$198:$B$349,E254)&gt;0,"(R)","No")</f>
        <v>No</v>
      </c>
      <c r="D254">
        <v>88</v>
      </c>
      <c r="E254" t="s">
        <v>308</v>
      </c>
      <c r="F254" t="s">
        <v>53</v>
      </c>
      <c r="G254">
        <f>VLOOKUP(E254,'25 Draft ADP'!$B$3:$D$505,3,FALSE)</f>
        <v>397</v>
      </c>
      <c r="H254">
        <v>15</v>
      </c>
      <c r="I254">
        <v>0.5</v>
      </c>
      <c r="J254">
        <v>0</v>
      </c>
      <c r="K254">
        <v>0</v>
      </c>
      <c r="L254">
        <v>0</v>
      </c>
      <c r="M254">
        <v>0</v>
      </c>
      <c r="N254">
        <v>0</v>
      </c>
      <c r="O254" t="s">
        <v>22</v>
      </c>
      <c r="P254">
        <v>0</v>
      </c>
      <c r="Q254">
        <v>0</v>
      </c>
      <c r="R254" t="s">
        <v>33</v>
      </c>
      <c r="S254">
        <v>2.5</v>
      </c>
      <c r="T254" t="s">
        <v>33</v>
      </c>
      <c r="U254">
        <v>1.7</v>
      </c>
      <c r="V254">
        <v>3.3</v>
      </c>
      <c r="W254">
        <v>11.2</v>
      </c>
      <c r="X254">
        <v>2.2000000000000002</v>
      </c>
      <c r="Y254">
        <v>2.8</v>
      </c>
      <c r="Z254">
        <v>0</v>
      </c>
      <c r="AA254">
        <v>1.6</v>
      </c>
      <c r="AB254">
        <f t="shared" si="6"/>
        <v>24.2</v>
      </c>
      <c r="AC254">
        <v>24.2</v>
      </c>
      <c r="AD254">
        <v>20</v>
      </c>
      <c r="AE254">
        <f t="shared" si="7"/>
        <v>1</v>
      </c>
      <c r="AF254">
        <v>0</v>
      </c>
      <c r="AG254">
        <v>0</v>
      </c>
      <c r="AH254">
        <v>0</v>
      </c>
      <c r="AI254">
        <v>0</v>
      </c>
      <c r="AJ254">
        <v>5.8823529411764705E-2</v>
      </c>
      <c r="AK254">
        <v>0</v>
      </c>
      <c r="AL254">
        <v>0</v>
      </c>
      <c r="AM254">
        <v>0</v>
      </c>
      <c r="AN254">
        <v>0</v>
      </c>
    </row>
    <row r="255" spans="1:40" x14ac:dyDescent="0.25">
      <c r="A255">
        <v>2025</v>
      </c>
      <c r="B255" t="s">
        <v>220</v>
      </c>
      <c r="C255" t="str">
        <f>IF(COUNTIF('Rookies 22-25'!$B$198:$B$349,E255)&gt;0,"(R)","No")</f>
        <v>No</v>
      </c>
      <c r="D255">
        <v>89</v>
      </c>
      <c r="E255" t="s">
        <v>309</v>
      </c>
      <c r="F255" t="s">
        <v>41</v>
      </c>
      <c r="G255">
        <f>VLOOKUP(E255,'25 Draft ADP'!$B$3:$D$505,3,FALSE)</f>
        <v>346</v>
      </c>
      <c r="H255">
        <v>17</v>
      </c>
      <c r="I255">
        <v>2.6</v>
      </c>
      <c r="J255">
        <v>0</v>
      </c>
      <c r="K255">
        <v>0</v>
      </c>
      <c r="L255">
        <v>0</v>
      </c>
      <c r="M255">
        <v>0</v>
      </c>
      <c r="N255" t="s">
        <v>22</v>
      </c>
      <c r="O255">
        <v>0</v>
      </c>
      <c r="P255">
        <v>2.7</v>
      </c>
      <c r="Q255">
        <v>1.2</v>
      </c>
      <c r="R255">
        <v>0</v>
      </c>
      <c r="S255">
        <v>1.9</v>
      </c>
      <c r="T255">
        <v>0</v>
      </c>
      <c r="U255">
        <v>0</v>
      </c>
      <c r="V255">
        <v>6.5</v>
      </c>
      <c r="W255">
        <v>6.4</v>
      </c>
      <c r="X255">
        <v>0.9</v>
      </c>
      <c r="Y255">
        <v>0</v>
      </c>
      <c r="Z255">
        <v>1.9</v>
      </c>
      <c r="AA255">
        <v>1.4</v>
      </c>
      <c r="AB255">
        <f t="shared" si="6"/>
        <v>22.200000000000003</v>
      </c>
      <c r="AC255">
        <v>24.1</v>
      </c>
      <c r="AD255">
        <v>20</v>
      </c>
      <c r="AE255">
        <f t="shared" si="7"/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</row>
    <row r="256" spans="1:40" x14ac:dyDescent="0.25">
      <c r="A256">
        <v>2025</v>
      </c>
      <c r="B256" t="s">
        <v>220</v>
      </c>
      <c r="C256" t="str">
        <f>IF(COUNTIF('Rookies 22-25'!$B$198:$B$349,E256)&gt;0,"(R)","No")</f>
        <v>No</v>
      </c>
      <c r="D256">
        <v>90</v>
      </c>
      <c r="E256" t="s">
        <v>310</v>
      </c>
      <c r="F256" t="s">
        <v>39</v>
      </c>
      <c r="G256">
        <f>VLOOKUP(E256,'25 Draft ADP'!$B$3:$D$505,3,FALSE)</f>
        <v>288</v>
      </c>
      <c r="H256">
        <v>5</v>
      </c>
      <c r="I256">
        <v>0.3</v>
      </c>
      <c r="J256">
        <v>9.8000000000000007</v>
      </c>
      <c r="K256">
        <v>0.8</v>
      </c>
      <c r="L256">
        <v>8.6999999999999993</v>
      </c>
      <c r="M256">
        <v>3.6</v>
      </c>
      <c r="N256" t="s">
        <v>33</v>
      </c>
      <c r="O256" t="s">
        <v>33</v>
      </c>
      <c r="P256" t="s">
        <v>33</v>
      </c>
      <c r="Q256" t="s">
        <v>33</v>
      </c>
      <c r="R256" t="s">
        <v>33</v>
      </c>
      <c r="S256" t="s">
        <v>33</v>
      </c>
      <c r="T256" t="s">
        <v>33</v>
      </c>
      <c r="U256" t="s">
        <v>33</v>
      </c>
      <c r="V256" t="s">
        <v>22</v>
      </c>
      <c r="W256" t="s">
        <v>33</v>
      </c>
      <c r="X256" t="s">
        <v>33</v>
      </c>
      <c r="Y256" t="s">
        <v>33</v>
      </c>
      <c r="Z256">
        <v>0</v>
      </c>
      <c r="AA256">
        <v>4.5999999999999996</v>
      </c>
      <c r="AB256">
        <f t="shared" si="6"/>
        <v>23.2</v>
      </c>
      <c r="AC256">
        <v>23.2</v>
      </c>
      <c r="AD256">
        <v>20</v>
      </c>
      <c r="AE256">
        <f t="shared" si="7"/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</row>
    <row r="257" spans="1:40" x14ac:dyDescent="0.25">
      <c r="A257">
        <v>2025</v>
      </c>
      <c r="B257" t="s">
        <v>220</v>
      </c>
      <c r="C257" t="str">
        <f>IF(COUNTIF('Rookies 22-25'!$B$198:$B$349,E257)&gt;0,"(R)","No")</f>
        <v>No</v>
      </c>
      <c r="D257">
        <v>91</v>
      </c>
      <c r="E257" t="s">
        <v>311</v>
      </c>
      <c r="F257" t="s">
        <v>49</v>
      </c>
      <c r="G257">
        <f>VLOOKUP(E257,'25 Draft ADP'!$B$3:$D$505,3,FALSE)</f>
        <v>323</v>
      </c>
      <c r="H257">
        <v>10</v>
      </c>
      <c r="I257">
        <v>0</v>
      </c>
      <c r="J257">
        <v>6</v>
      </c>
      <c r="K257">
        <v>4.2</v>
      </c>
      <c r="L257">
        <v>0</v>
      </c>
      <c r="M257">
        <v>0</v>
      </c>
      <c r="N257">
        <v>0</v>
      </c>
      <c r="O257">
        <v>0</v>
      </c>
      <c r="P257" t="s">
        <v>22</v>
      </c>
      <c r="Q257">
        <v>0.9</v>
      </c>
      <c r="R257">
        <v>9.1</v>
      </c>
      <c r="S257">
        <v>0.6</v>
      </c>
      <c r="T257" t="s">
        <v>33</v>
      </c>
      <c r="U257" t="s">
        <v>33</v>
      </c>
      <c r="V257" t="s">
        <v>33</v>
      </c>
      <c r="W257" t="s">
        <v>33</v>
      </c>
      <c r="X257" t="s">
        <v>33</v>
      </c>
      <c r="Y257" t="s">
        <v>33</v>
      </c>
      <c r="Z257">
        <v>0</v>
      </c>
      <c r="AA257">
        <v>2.1</v>
      </c>
      <c r="AB257">
        <f t="shared" si="6"/>
        <v>20.8</v>
      </c>
      <c r="AC257">
        <v>20.8</v>
      </c>
      <c r="AD257">
        <v>20</v>
      </c>
      <c r="AE257">
        <f t="shared" si="7"/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</row>
    <row r="258" spans="1:40" x14ac:dyDescent="0.25">
      <c r="A258">
        <v>2025</v>
      </c>
      <c r="B258" t="s">
        <v>220</v>
      </c>
      <c r="C258" t="str">
        <f>IF(COUNTIF('Rookies 22-25'!$B$198:$B$349,E258)&gt;0,"(R)","No")</f>
        <v>(R)</v>
      </c>
      <c r="D258">
        <v>92</v>
      </c>
      <c r="E258" t="s">
        <v>312</v>
      </c>
      <c r="F258" t="s">
        <v>30</v>
      </c>
      <c r="G258">
        <f>VLOOKUP(E258,'25 Draft ADP'!$B$3:$D$505,3,FALSE)</f>
        <v>132</v>
      </c>
      <c r="H258">
        <v>5</v>
      </c>
      <c r="I258" t="s">
        <v>33</v>
      </c>
      <c r="J258" t="s">
        <v>33</v>
      </c>
      <c r="K258" t="s">
        <v>33</v>
      </c>
      <c r="L258" t="s">
        <v>33</v>
      </c>
      <c r="M258">
        <v>0.7</v>
      </c>
      <c r="N258">
        <v>0</v>
      </c>
      <c r="O258">
        <v>4.4000000000000004</v>
      </c>
      <c r="P258">
        <v>2.9</v>
      </c>
      <c r="Q258" t="s">
        <v>33</v>
      </c>
      <c r="R258" t="s">
        <v>22</v>
      </c>
      <c r="S258" t="s">
        <v>33</v>
      </c>
      <c r="T258" t="s">
        <v>33</v>
      </c>
      <c r="U258" t="s">
        <v>33</v>
      </c>
      <c r="V258" t="s">
        <v>33</v>
      </c>
      <c r="W258" t="s">
        <v>33</v>
      </c>
      <c r="X258" t="s">
        <v>33</v>
      </c>
      <c r="Y258" t="s">
        <v>33</v>
      </c>
      <c r="Z258">
        <v>12.4</v>
      </c>
      <c r="AA258">
        <v>4.0999999999999996</v>
      </c>
      <c r="AB258">
        <f t="shared" si="6"/>
        <v>7.9999999999999982</v>
      </c>
      <c r="AC258">
        <v>20.399999999999999</v>
      </c>
      <c r="AD258">
        <v>20</v>
      </c>
      <c r="AE258">
        <f t="shared" si="7"/>
        <v>0</v>
      </c>
      <c r="AF258">
        <v>0</v>
      </c>
      <c r="AG258">
        <v>0</v>
      </c>
      <c r="AH258">
        <v>0</v>
      </c>
      <c r="AI258">
        <v>0</v>
      </c>
      <c r="AJ258">
        <v>5.8823529411764705E-2</v>
      </c>
      <c r="AK258">
        <v>0</v>
      </c>
      <c r="AL258">
        <v>0</v>
      </c>
      <c r="AM258">
        <v>0</v>
      </c>
      <c r="AN258">
        <v>0</v>
      </c>
    </row>
    <row r="259" spans="1:40" x14ac:dyDescent="0.25">
      <c r="A259">
        <v>2025</v>
      </c>
      <c r="B259" t="s">
        <v>220</v>
      </c>
      <c r="C259" t="str">
        <f>IF(COUNTIF('Rookies 22-25'!$B$198:$B$349,E259)&gt;0,"(R)","No")</f>
        <v>(R)</v>
      </c>
      <c r="D259">
        <v>93</v>
      </c>
      <c r="E259" t="s">
        <v>313</v>
      </c>
      <c r="F259" t="s">
        <v>32</v>
      </c>
      <c r="G259">
        <f>VLOOKUP(E259,'25 Draft ADP'!$B$3:$D$505,3,FALSE)</f>
        <v>321</v>
      </c>
      <c r="H259">
        <v>5</v>
      </c>
      <c r="I259">
        <v>6.3</v>
      </c>
      <c r="J259" t="s">
        <v>33</v>
      </c>
      <c r="K259" t="s">
        <v>33</v>
      </c>
      <c r="L259" t="s">
        <v>33</v>
      </c>
      <c r="M259" t="s">
        <v>33</v>
      </c>
      <c r="N259" t="s">
        <v>33</v>
      </c>
      <c r="O259" t="s">
        <v>33</v>
      </c>
      <c r="P259" t="s">
        <v>33</v>
      </c>
      <c r="Q259" t="s">
        <v>22</v>
      </c>
      <c r="R259" t="s">
        <v>33</v>
      </c>
      <c r="S259" t="s">
        <v>33</v>
      </c>
      <c r="T259">
        <v>0</v>
      </c>
      <c r="U259" t="s">
        <v>33</v>
      </c>
      <c r="V259" t="s">
        <v>33</v>
      </c>
      <c r="W259" t="s">
        <v>33</v>
      </c>
      <c r="X259">
        <v>5.6</v>
      </c>
      <c r="Y259">
        <v>4.0999999999999996</v>
      </c>
      <c r="Z259">
        <v>4.3</v>
      </c>
      <c r="AA259">
        <v>4.0999999999999996</v>
      </c>
      <c r="AB259">
        <f t="shared" ref="AB259:AB322" si="8">AC259-Z259</f>
        <v>16</v>
      </c>
      <c r="AC259">
        <v>20.3</v>
      </c>
      <c r="AD259">
        <v>20</v>
      </c>
      <c r="AE259">
        <f t="shared" ref="AE259:AE322" si="9">COUNTIF(I259:Y259,"&gt;10")</f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</row>
    <row r="260" spans="1:40" x14ac:dyDescent="0.25">
      <c r="A260">
        <v>2025</v>
      </c>
      <c r="B260" t="s">
        <v>220</v>
      </c>
      <c r="C260" t="str">
        <f>IF(COUNTIF('Rookies 22-25'!$B$198:$B$349,E260)&gt;0,"(R)","No")</f>
        <v>No</v>
      </c>
      <c r="D260">
        <v>94</v>
      </c>
      <c r="E260" t="s">
        <v>314</v>
      </c>
      <c r="F260" t="s">
        <v>35</v>
      </c>
      <c r="G260">
        <f>VLOOKUP(E260,'25 Draft ADP'!$B$3:$D$505,3,FALSE)</f>
        <v>177</v>
      </c>
      <c r="H260">
        <v>15</v>
      </c>
      <c r="I260">
        <v>2.6</v>
      </c>
      <c r="J260" t="s">
        <v>33</v>
      </c>
      <c r="K260" t="s">
        <v>33</v>
      </c>
      <c r="L260">
        <v>0</v>
      </c>
      <c r="M260">
        <v>1.4</v>
      </c>
      <c r="N260">
        <v>0</v>
      </c>
      <c r="O260">
        <v>1.7</v>
      </c>
      <c r="P260">
        <v>0.2</v>
      </c>
      <c r="Q260" t="s">
        <v>22</v>
      </c>
      <c r="R260">
        <v>5.4</v>
      </c>
      <c r="S260">
        <v>0</v>
      </c>
      <c r="T260">
        <v>0</v>
      </c>
      <c r="U260">
        <v>2.1</v>
      </c>
      <c r="V260">
        <v>1.3</v>
      </c>
      <c r="W260">
        <v>0</v>
      </c>
      <c r="X260">
        <v>-0.7</v>
      </c>
      <c r="Y260">
        <v>0.2</v>
      </c>
      <c r="Z260">
        <v>3.3</v>
      </c>
      <c r="AA260">
        <v>1.2</v>
      </c>
      <c r="AB260">
        <f t="shared" si="8"/>
        <v>14.2</v>
      </c>
      <c r="AC260">
        <v>17.5</v>
      </c>
      <c r="AD260">
        <v>20</v>
      </c>
      <c r="AE260">
        <f t="shared" si="9"/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</row>
    <row r="261" spans="1:40" x14ac:dyDescent="0.25">
      <c r="A261">
        <v>2025</v>
      </c>
      <c r="B261" t="s">
        <v>220</v>
      </c>
      <c r="C261" t="str">
        <f>IF(COUNTIF('Rookies 22-25'!$B$198:$B$349,E261)&gt;0,"(R)","No")</f>
        <v>No</v>
      </c>
      <c r="D261">
        <v>95</v>
      </c>
      <c r="E261" t="s">
        <v>315</v>
      </c>
      <c r="F261" t="s">
        <v>32</v>
      </c>
      <c r="G261">
        <v>300</v>
      </c>
      <c r="H261">
        <v>7</v>
      </c>
      <c r="I261" t="s">
        <v>33</v>
      </c>
      <c r="J261" t="s">
        <v>33</v>
      </c>
      <c r="K261" t="s">
        <v>33</v>
      </c>
      <c r="L261" t="s">
        <v>33</v>
      </c>
      <c r="M261" t="s">
        <v>33</v>
      </c>
      <c r="N261" t="s">
        <v>33</v>
      </c>
      <c r="O261" t="s">
        <v>33</v>
      </c>
      <c r="P261" t="s">
        <v>33</v>
      </c>
      <c r="Q261" t="s">
        <v>22</v>
      </c>
      <c r="R261">
        <v>0</v>
      </c>
      <c r="S261">
        <v>0.9</v>
      </c>
      <c r="T261" t="s">
        <v>33</v>
      </c>
      <c r="U261" t="s">
        <v>33</v>
      </c>
      <c r="V261">
        <v>0</v>
      </c>
      <c r="W261">
        <v>2.7</v>
      </c>
      <c r="X261">
        <v>9.5</v>
      </c>
      <c r="Y261">
        <v>1</v>
      </c>
      <c r="Z261">
        <v>3</v>
      </c>
      <c r="AA261">
        <v>2.4</v>
      </c>
      <c r="AB261">
        <f t="shared" si="8"/>
        <v>14.100000000000001</v>
      </c>
      <c r="AC261">
        <v>17.100000000000001</v>
      </c>
      <c r="AD261">
        <v>20</v>
      </c>
      <c r="AE261">
        <f t="shared" si="9"/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</row>
    <row r="262" spans="1:40" x14ac:dyDescent="0.25">
      <c r="A262">
        <v>2025</v>
      </c>
      <c r="B262" t="s">
        <v>220</v>
      </c>
      <c r="C262" t="str">
        <f>IF(COUNTIF('Rookies 22-25'!$B$198:$B$349,E262)&gt;0,"(R)","No")</f>
        <v>No</v>
      </c>
      <c r="D262">
        <v>96</v>
      </c>
      <c r="E262" t="s">
        <v>316</v>
      </c>
      <c r="F262" t="s">
        <v>78</v>
      </c>
      <c r="G262">
        <v>300</v>
      </c>
      <c r="H262">
        <v>17</v>
      </c>
      <c r="I262">
        <v>1.4</v>
      </c>
      <c r="J262">
        <v>0</v>
      </c>
      <c r="K262">
        <v>0</v>
      </c>
      <c r="L262">
        <v>0.4</v>
      </c>
      <c r="M262">
        <v>0.8</v>
      </c>
      <c r="N262">
        <v>0.3</v>
      </c>
      <c r="O262">
        <v>0</v>
      </c>
      <c r="P262">
        <v>0</v>
      </c>
      <c r="Q262">
        <v>0.2</v>
      </c>
      <c r="R262">
        <v>2.2999999999999998</v>
      </c>
      <c r="S262">
        <v>2.4</v>
      </c>
      <c r="T262" t="s">
        <v>22</v>
      </c>
      <c r="U262">
        <v>2.4</v>
      </c>
      <c r="V262">
        <v>5.3</v>
      </c>
      <c r="W262">
        <v>-0.1</v>
      </c>
      <c r="X262">
        <v>0</v>
      </c>
      <c r="Y262">
        <v>0.3</v>
      </c>
      <c r="Z262">
        <v>0</v>
      </c>
      <c r="AA262">
        <v>0.9</v>
      </c>
      <c r="AB262">
        <f t="shared" si="8"/>
        <v>15.7</v>
      </c>
      <c r="AC262">
        <v>15.7</v>
      </c>
      <c r="AD262">
        <v>20</v>
      </c>
      <c r="AE262">
        <f t="shared" si="9"/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</row>
    <row r="263" spans="1:40" x14ac:dyDescent="0.25">
      <c r="A263">
        <v>2025</v>
      </c>
      <c r="B263" t="s">
        <v>220</v>
      </c>
      <c r="C263" t="str">
        <f>IF(COUNTIF('Rookies 22-25'!$B$198:$B$349,E263)&gt;0,"(R)","No")</f>
        <v>No</v>
      </c>
      <c r="D263">
        <v>97</v>
      </c>
      <c r="E263" t="s">
        <v>317</v>
      </c>
      <c r="F263" t="s">
        <v>73</v>
      </c>
      <c r="G263">
        <v>300</v>
      </c>
      <c r="H263">
        <v>11</v>
      </c>
      <c r="I263" t="s">
        <v>33</v>
      </c>
      <c r="J263" t="s">
        <v>33</v>
      </c>
      <c r="K263" t="s">
        <v>33</v>
      </c>
      <c r="L263" t="s">
        <v>33</v>
      </c>
      <c r="M263">
        <v>0</v>
      </c>
      <c r="N263" t="s">
        <v>22</v>
      </c>
      <c r="O263">
        <v>1.5</v>
      </c>
      <c r="P263" t="s">
        <v>33</v>
      </c>
      <c r="Q263" t="s">
        <v>33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6.1</v>
      </c>
      <c r="X263">
        <v>0.3</v>
      </c>
      <c r="Y263">
        <v>0</v>
      </c>
      <c r="Z263">
        <v>7.7</v>
      </c>
      <c r="AA263">
        <v>1.4</v>
      </c>
      <c r="AB263">
        <f t="shared" si="8"/>
        <v>7.8999999999999995</v>
      </c>
      <c r="AC263">
        <v>15.6</v>
      </c>
      <c r="AD263">
        <v>20</v>
      </c>
      <c r="AE263">
        <f t="shared" si="9"/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</row>
    <row r="264" spans="1:40" x14ac:dyDescent="0.25">
      <c r="A264">
        <v>2025</v>
      </c>
      <c r="B264" t="s">
        <v>220</v>
      </c>
      <c r="C264" t="str">
        <f>IF(COUNTIF('Rookies 22-25'!$B$198:$B$349,E264)&gt;0,"(R)","No")</f>
        <v>No</v>
      </c>
      <c r="D264">
        <v>98</v>
      </c>
      <c r="E264" t="s">
        <v>318</v>
      </c>
      <c r="F264" t="s">
        <v>82</v>
      </c>
      <c r="G264">
        <f>VLOOKUP(E264,'25 Draft ADP'!$B$3:$D$505,3,FALSE)</f>
        <v>118</v>
      </c>
      <c r="H264">
        <v>4</v>
      </c>
      <c r="I264">
        <v>6.9</v>
      </c>
      <c r="J264">
        <v>1.1000000000000001</v>
      </c>
      <c r="K264">
        <v>6.7</v>
      </c>
      <c r="L264">
        <v>0.6</v>
      </c>
      <c r="M264" t="s">
        <v>33</v>
      </c>
      <c r="N264" t="s">
        <v>33</v>
      </c>
      <c r="O264" t="s">
        <v>33</v>
      </c>
      <c r="P264" t="s">
        <v>33</v>
      </c>
      <c r="Q264" t="s">
        <v>22</v>
      </c>
      <c r="R264" t="s">
        <v>33</v>
      </c>
      <c r="S264" t="s">
        <v>33</v>
      </c>
      <c r="T264" t="s">
        <v>33</v>
      </c>
      <c r="U264" t="s">
        <v>33</v>
      </c>
      <c r="V264" t="s">
        <v>33</v>
      </c>
      <c r="W264" t="s">
        <v>33</v>
      </c>
      <c r="X264" t="s">
        <v>33</v>
      </c>
      <c r="Y264" t="s">
        <v>33</v>
      </c>
      <c r="Z264">
        <v>0</v>
      </c>
      <c r="AA264">
        <v>3.8</v>
      </c>
      <c r="AB264">
        <f t="shared" si="8"/>
        <v>15.3</v>
      </c>
      <c r="AC264">
        <v>15.3</v>
      </c>
      <c r="AD264">
        <v>20</v>
      </c>
      <c r="AE264">
        <f t="shared" si="9"/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</row>
    <row r="265" spans="1:40" x14ac:dyDescent="0.25">
      <c r="A265">
        <v>2025</v>
      </c>
      <c r="B265" t="s">
        <v>220</v>
      </c>
      <c r="C265" t="str">
        <f>IF(COUNTIF('Rookies 22-25'!$B$198:$B$349,E265)&gt;0,"(R)","No")</f>
        <v>No</v>
      </c>
      <c r="D265">
        <v>99</v>
      </c>
      <c r="E265" t="s">
        <v>319</v>
      </c>
      <c r="F265" t="s">
        <v>39</v>
      </c>
      <c r="G265">
        <v>300</v>
      </c>
      <c r="H265">
        <v>6</v>
      </c>
      <c r="I265" t="s">
        <v>33</v>
      </c>
      <c r="J265" t="s">
        <v>33</v>
      </c>
      <c r="K265" t="s">
        <v>33</v>
      </c>
      <c r="L265" t="s">
        <v>33</v>
      </c>
      <c r="M265" t="s">
        <v>33</v>
      </c>
      <c r="N265" t="s">
        <v>33</v>
      </c>
      <c r="O265">
        <v>1.8</v>
      </c>
      <c r="P265">
        <v>1.5</v>
      </c>
      <c r="Q265">
        <v>11.4</v>
      </c>
      <c r="R265">
        <v>0.5</v>
      </c>
      <c r="S265" t="s">
        <v>33</v>
      </c>
      <c r="T265">
        <v>0</v>
      </c>
      <c r="U265">
        <v>0</v>
      </c>
      <c r="V265" t="s">
        <v>22</v>
      </c>
      <c r="W265" t="s">
        <v>33</v>
      </c>
      <c r="X265" t="s">
        <v>33</v>
      </c>
      <c r="Y265" t="s">
        <v>33</v>
      </c>
      <c r="Z265">
        <v>0</v>
      </c>
      <c r="AA265">
        <v>2.5</v>
      </c>
      <c r="AB265">
        <f t="shared" si="8"/>
        <v>15.2</v>
      </c>
      <c r="AC265">
        <v>15.2</v>
      </c>
      <c r="AD265">
        <v>20</v>
      </c>
      <c r="AE265">
        <f t="shared" si="9"/>
        <v>1</v>
      </c>
      <c r="AF265">
        <v>0</v>
      </c>
      <c r="AG265">
        <v>0</v>
      </c>
      <c r="AH265">
        <v>0</v>
      </c>
      <c r="AI265">
        <v>0</v>
      </c>
      <c r="AJ265">
        <v>5.8823529411764705E-2</v>
      </c>
      <c r="AK265">
        <v>0</v>
      </c>
      <c r="AL265">
        <v>0</v>
      </c>
      <c r="AM265">
        <v>0</v>
      </c>
      <c r="AN265">
        <v>0</v>
      </c>
    </row>
    <row r="266" spans="1:40" x14ac:dyDescent="0.25">
      <c r="A266">
        <v>2025</v>
      </c>
      <c r="B266" t="s">
        <v>220</v>
      </c>
      <c r="C266" t="str">
        <f>IF(COUNTIF('Rookies 22-25'!$B$198:$B$349,E266)&gt;0,"(R)","No")</f>
        <v>No</v>
      </c>
      <c r="D266">
        <v>100</v>
      </c>
      <c r="E266" t="s">
        <v>320</v>
      </c>
      <c r="F266" t="s">
        <v>84</v>
      </c>
      <c r="G266">
        <v>300</v>
      </c>
      <c r="H266">
        <v>17</v>
      </c>
      <c r="I266">
        <v>1.1000000000000001</v>
      </c>
      <c r="J266">
        <v>3.3</v>
      </c>
      <c r="K266">
        <v>0</v>
      </c>
      <c r="L266">
        <v>0</v>
      </c>
      <c r="M266">
        <v>0</v>
      </c>
      <c r="N266">
        <v>3.5</v>
      </c>
      <c r="O266">
        <v>0</v>
      </c>
      <c r="P266">
        <v>1</v>
      </c>
      <c r="Q266">
        <v>0</v>
      </c>
      <c r="R266">
        <v>0.6</v>
      </c>
      <c r="S266">
        <v>0</v>
      </c>
      <c r="T266" t="s">
        <v>22</v>
      </c>
      <c r="U266">
        <v>0</v>
      </c>
      <c r="V266">
        <v>0</v>
      </c>
      <c r="W266">
        <v>1.4</v>
      </c>
      <c r="X266">
        <v>1.9</v>
      </c>
      <c r="Y266">
        <v>0</v>
      </c>
      <c r="Z266">
        <v>1.3</v>
      </c>
      <c r="AA266">
        <v>0.8</v>
      </c>
      <c r="AB266">
        <f t="shared" si="8"/>
        <v>12.799999999999999</v>
      </c>
      <c r="AC266">
        <v>14.1</v>
      </c>
      <c r="AD266">
        <v>20</v>
      </c>
      <c r="AE266">
        <f t="shared" si="9"/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</row>
    <row r="267" spans="1:40" x14ac:dyDescent="0.25">
      <c r="A267">
        <v>2025</v>
      </c>
      <c r="B267" t="s">
        <v>220</v>
      </c>
      <c r="C267" t="str">
        <f>IF(COUNTIF('Rookies 22-25'!$B$198:$B$349,E267)&gt;0,"(R)","No")</f>
        <v>No</v>
      </c>
      <c r="D267">
        <v>101</v>
      </c>
      <c r="E267" t="s">
        <v>321</v>
      </c>
      <c r="F267" t="s">
        <v>59</v>
      </c>
      <c r="G267">
        <v>300</v>
      </c>
      <c r="H267">
        <v>3</v>
      </c>
      <c r="I267">
        <v>8.6999999999999993</v>
      </c>
      <c r="J267">
        <v>4.4000000000000004</v>
      </c>
      <c r="K267" t="s">
        <v>33</v>
      </c>
      <c r="L267" t="s">
        <v>33</v>
      </c>
      <c r="M267" t="s">
        <v>33</v>
      </c>
      <c r="N267" t="s">
        <v>33</v>
      </c>
      <c r="O267" t="s">
        <v>33</v>
      </c>
      <c r="P267" t="s">
        <v>33</v>
      </c>
      <c r="Q267">
        <v>0</v>
      </c>
      <c r="R267" t="s">
        <v>33</v>
      </c>
      <c r="S267" t="s">
        <v>33</v>
      </c>
      <c r="T267" t="s">
        <v>22</v>
      </c>
      <c r="U267" t="s">
        <v>33</v>
      </c>
      <c r="V267" t="s">
        <v>33</v>
      </c>
      <c r="W267" t="s">
        <v>33</v>
      </c>
      <c r="X267" t="s">
        <v>33</v>
      </c>
      <c r="Y267" t="s">
        <v>33</v>
      </c>
      <c r="Z267">
        <v>0</v>
      </c>
      <c r="AA267">
        <v>4.4000000000000004</v>
      </c>
      <c r="AB267">
        <f t="shared" si="8"/>
        <v>13.1</v>
      </c>
      <c r="AC267">
        <v>13.1</v>
      </c>
      <c r="AD267">
        <v>20</v>
      </c>
      <c r="AE267">
        <f t="shared" si="9"/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</row>
    <row r="268" spans="1:40" x14ac:dyDescent="0.25">
      <c r="A268">
        <v>2025</v>
      </c>
      <c r="B268" t="s">
        <v>220</v>
      </c>
      <c r="C268" t="str">
        <f>IF(COUNTIF('Rookies 22-25'!$B$198:$B$349,E268)&gt;0,"(R)","No")</f>
        <v>(R)</v>
      </c>
      <c r="D268">
        <v>102</v>
      </c>
      <c r="E268" t="s">
        <v>322</v>
      </c>
      <c r="F268" t="s">
        <v>95</v>
      </c>
      <c r="G268">
        <f>VLOOKUP(E268,'25 Draft ADP'!$B$3:$D$505,3,FALSE)</f>
        <v>265</v>
      </c>
      <c r="H268">
        <v>17</v>
      </c>
      <c r="I268">
        <v>0.4</v>
      </c>
      <c r="J268">
        <v>1.2</v>
      </c>
      <c r="K268">
        <v>-2</v>
      </c>
      <c r="L268">
        <v>3.3</v>
      </c>
      <c r="M268">
        <v>3.9</v>
      </c>
      <c r="N268">
        <v>1.7</v>
      </c>
      <c r="O268">
        <v>0</v>
      </c>
      <c r="P268">
        <v>1.6</v>
      </c>
      <c r="Q268">
        <v>0</v>
      </c>
      <c r="R268">
        <v>0</v>
      </c>
      <c r="S268">
        <v>0.2</v>
      </c>
      <c r="T268">
        <v>0</v>
      </c>
      <c r="U268">
        <v>1.4</v>
      </c>
      <c r="V268" t="s">
        <v>22</v>
      </c>
      <c r="W268">
        <v>0</v>
      </c>
      <c r="X268">
        <v>0</v>
      </c>
      <c r="Y268">
        <v>0</v>
      </c>
      <c r="Z268">
        <v>0</v>
      </c>
      <c r="AA268">
        <v>0.7</v>
      </c>
      <c r="AB268">
        <f t="shared" si="8"/>
        <v>11.7</v>
      </c>
      <c r="AC268">
        <v>11.7</v>
      </c>
      <c r="AD268">
        <v>20</v>
      </c>
      <c r="AE268">
        <f t="shared" si="9"/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</row>
    <row r="269" spans="1:40" x14ac:dyDescent="0.25">
      <c r="A269">
        <v>2025</v>
      </c>
      <c r="B269" t="s">
        <v>220</v>
      </c>
      <c r="C269" t="str">
        <f>IF(COUNTIF('Rookies 22-25'!$B$198:$B$349,E269)&gt;0,"(R)","No")</f>
        <v>No</v>
      </c>
      <c r="D269">
        <v>103</v>
      </c>
      <c r="E269" t="s">
        <v>323</v>
      </c>
      <c r="F269" t="s">
        <v>51</v>
      </c>
      <c r="G269">
        <f>VLOOKUP(E269,'25 Draft ADP'!$B$3:$D$505,3,FALSE)</f>
        <v>144</v>
      </c>
      <c r="H269">
        <v>3</v>
      </c>
      <c r="I269">
        <v>2</v>
      </c>
      <c r="J269">
        <v>6.8</v>
      </c>
      <c r="K269">
        <v>2.8</v>
      </c>
      <c r="L269" t="s">
        <v>33</v>
      </c>
      <c r="M269" t="s">
        <v>33</v>
      </c>
      <c r="N269" t="s">
        <v>33</v>
      </c>
      <c r="O269" t="s">
        <v>33</v>
      </c>
      <c r="P269" t="s">
        <v>33</v>
      </c>
      <c r="Q269" t="s">
        <v>33</v>
      </c>
      <c r="R269" t="s">
        <v>33</v>
      </c>
      <c r="S269" t="s">
        <v>33</v>
      </c>
      <c r="T269" t="s">
        <v>22</v>
      </c>
      <c r="U269" t="s">
        <v>33</v>
      </c>
      <c r="V269" t="s">
        <v>33</v>
      </c>
      <c r="W269" t="s">
        <v>33</v>
      </c>
      <c r="X269" t="s">
        <v>33</v>
      </c>
      <c r="Y269" t="s">
        <v>33</v>
      </c>
      <c r="Z269">
        <v>0</v>
      </c>
      <c r="AA269">
        <v>3.9</v>
      </c>
      <c r="AB269">
        <f t="shared" si="8"/>
        <v>11.6</v>
      </c>
      <c r="AC269">
        <v>11.6</v>
      </c>
      <c r="AD269">
        <v>20</v>
      </c>
      <c r="AE269">
        <f t="shared" si="9"/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</row>
    <row r="270" spans="1:40" x14ac:dyDescent="0.25">
      <c r="A270">
        <v>2025</v>
      </c>
      <c r="B270" t="s">
        <v>220</v>
      </c>
      <c r="C270" t="str">
        <f>IF(COUNTIF('Rookies 22-25'!$B$198:$B$349,E270)&gt;0,"(R)","No")</f>
        <v>(R)</v>
      </c>
      <c r="D270">
        <v>104</v>
      </c>
      <c r="E270" t="s">
        <v>324</v>
      </c>
      <c r="F270" t="s">
        <v>30</v>
      </c>
      <c r="G270">
        <f>VLOOKUP(E270,'25 Draft ADP'!$B$3:$D$505,3,FALSE)</f>
        <v>393</v>
      </c>
      <c r="H270">
        <v>1</v>
      </c>
      <c r="I270" t="s">
        <v>33</v>
      </c>
      <c r="J270" t="s">
        <v>33</v>
      </c>
      <c r="K270" t="s">
        <v>33</v>
      </c>
      <c r="L270" t="s">
        <v>33</v>
      </c>
      <c r="M270" t="s">
        <v>33</v>
      </c>
      <c r="N270" t="s">
        <v>33</v>
      </c>
      <c r="O270" t="s">
        <v>33</v>
      </c>
      <c r="P270" t="s">
        <v>33</v>
      </c>
      <c r="Q270" t="s">
        <v>33</v>
      </c>
      <c r="R270" t="s">
        <v>22</v>
      </c>
      <c r="S270" t="s">
        <v>33</v>
      </c>
      <c r="T270" t="s">
        <v>33</v>
      </c>
      <c r="U270" t="s">
        <v>33</v>
      </c>
      <c r="V270" t="s">
        <v>33</v>
      </c>
      <c r="W270" t="s">
        <v>33</v>
      </c>
      <c r="X270" t="s">
        <v>33</v>
      </c>
      <c r="Y270" t="s">
        <v>33</v>
      </c>
      <c r="Z270">
        <v>10.9</v>
      </c>
      <c r="AA270">
        <v>10.9</v>
      </c>
      <c r="AB270">
        <f t="shared" si="8"/>
        <v>0</v>
      </c>
      <c r="AC270">
        <v>10.9</v>
      </c>
      <c r="AD270">
        <v>20</v>
      </c>
      <c r="AE270">
        <f t="shared" si="9"/>
        <v>0</v>
      </c>
      <c r="AF270">
        <v>0</v>
      </c>
      <c r="AG270">
        <v>0</v>
      </c>
      <c r="AH270">
        <v>0</v>
      </c>
      <c r="AI270">
        <v>0</v>
      </c>
      <c r="AJ270">
        <v>5.8823529411764705E-2</v>
      </c>
      <c r="AK270">
        <v>0</v>
      </c>
      <c r="AL270">
        <v>0</v>
      </c>
      <c r="AM270">
        <v>0</v>
      </c>
      <c r="AN270">
        <v>0</v>
      </c>
    </row>
    <row r="271" spans="1:40" x14ac:dyDescent="0.25">
      <c r="A271">
        <v>2025</v>
      </c>
      <c r="B271" t="s">
        <v>220</v>
      </c>
      <c r="C271" t="str">
        <f>IF(COUNTIF('Rookies 22-25'!$B$198:$B$349,E271)&gt;0,"(R)","No")</f>
        <v>No</v>
      </c>
      <c r="D271">
        <v>104</v>
      </c>
      <c r="E271" t="s">
        <v>325</v>
      </c>
      <c r="F271" t="s">
        <v>82</v>
      </c>
      <c r="G271">
        <f>VLOOKUP(E271,'25 Draft ADP'!$B$3:$D$505,3,FALSE)</f>
        <v>491</v>
      </c>
      <c r="H271">
        <v>10</v>
      </c>
      <c r="I271">
        <v>0</v>
      </c>
      <c r="J271" t="s">
        <v>33</v>
      </c>
      <c r="K271" t="s">
        <v>33</v>
      </c>
      <c r="L271" t="s">
        <v>33</v>
      </c>
      <c r="M271" t="s">
        <v>33</v>
      </c>
      <c r="N271">
        <v>0</v>
      </c>
      <c r="O271">
        <v>0</v>
      </c>
      <c r="P271" t="s">
        <v>33</v>
      </c>
      <c r="Q271" t="s">
        <v>22</v>
      </c>
      <c r="R271">
        <v>6</v>
      </c>
      <c r="S271">
        <v>0</v>
      </c>
      <c r="T271">
        <v>0</v>
      </c>
      <c r="U271" t="s">
        <v>33</v>
      </c>
      <c r="V271">
        <v>0</v>
      </c>
      <c r="W271" t="s">
        <v>33</v>
      </c>
      <c r="X271">
        <v>0</v>
      </c>
      <c r="Y271">
        <v>3.1</v>
      </c>
      <c r="Z271">
        <v>1.8</v>
      </c>
      <c r="AA271">
        <v>1.1000000000000001</v>
      </c>
      <c r="AB271">
        <f t="shared" si="8"/>
        <v>9.1</v>
      </c>
      <c r="AC271">
        <v>10.9</v>
      </c>
      <c r="AD271">
        <v>20</v>
      </c>
      <c r="AE271">
        <f t="shared" si="9"/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</row>
    <row r="272" spans="1:40" x14ac:dyDescent="0.25">
      <c r="A272">
        <v>2025</v>
      </c>
      <c r="B272" t="s">
        <v>220</v>
      </c>
      <c r="C272" t="str">
        <f>IF(COUNTIF('Rookies 22-25'!$B$198:$B$349,E272)&gt;0,"(R)","No")</f>
        <v>No</v>
      </c>
      <c r="D272">
        <v>106</v>
      </c>
      <c r="E272" t="s">
        <v>326</v>
      </c>
      <c r="F272" t="s">
        <v>51</v>
      </c>
      <c r="G272">
        <f>VLOOKUP(E272,'25 Draft ADP'!$B$3:$D$505,3,FALSE)</f>
        <v>386</v>
      </c>
      <c r="H272">
        <v>13</v>
      </c>
      <c r="I272">
        <v>0</v>
      </c>
      <c r="J272">
        <v>0</v>
      </c>
      <c r="K272">
        <v>0</v>
      </c>
      <c r="L272">
        <v>0</v>
      </c>
      <c r="M272">
        <v>2.5</v>
      </c>
      <c r="N272">
        <v>3.3</v>
      </c>
      <c r="O272">
        <v>2.5</v>
      </c>
      <c r="P272" t="s">
        <v>33</v>
      </c>
      <c r="Q272">
        <v>0</v>
      </c>
      <c r="R272">
        <v>0</v>
      </c>
      <c r="S272" t="s">
        <v>33</v>
      </c>
      <c r="T272" t="s">
        <v>22</v>
      </c>
      <c r="U272" t="s">
        <v>33</v>
      </c>
      <c r="V272">
        <v>0</v>
      </c>
      <c r="W272" t="s">
        <v>33</v>
      </c>
      <c r="X272">
        <v>1.4</v>
      </c>
      <c r="Y272">
        <v>0</v>
      </c>
      <c r="Z272">
        <v>0.3</v>
      </c>
      <c r="AA272">
        <v>0.8</v>
      </c>
      <c r="AB272">
        <f t="shared" si="8"/>
        <v>9.6999999999999993</v>
      </c>
      <c r="AC272">
        <v>10</v>
      </c>
      <c r="AD272">
        <v>20</v>
      </c>
      <c r="AE272">
        <f t="shared" si="9"/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</row>
    <row r="273" spans="1:40" x14ac:dyDescent="0.25">
      <c r="A273">
        <v>2025</v>
      </c>
      <c r="B273" t="s">
        <v>220</v>
      </c>
      <c r="C273" t="str">
        <f>IF(COUNTIF('Rookies 22-25'!$B$198:$B$349,E273)&gt;0,"(R)","No")</f>
        <v>No</v>
      </c>
      <c r="D273">
        <v>107</v>
      </c>
      <c r="E273" t="s">
        <v>327</v>
      </c>
      <c r="F273" t="s">
        <v>45</v>
      </c>
      <c r="G273">
        <v>300</v>
      </c>
      <c r="H273">
        <v>2</v>
      </c>
      <c r="I273" t="s">
        <v>33</v>
      </c>
      <c r="J273" t="s">
        <v>33</v>
      </c>
      <c r="K273" t="s">
        <v>33</v>
      </c>
      <c r="L273" t="s">
        <v>33</v>
      </c>
      <c r="M273" t="s">
        <v>22</v>
      </c>
      <c r="N273" t="s">
        <v>33</v>
      </c>
      <c r="O273" t="s">
        <v>33</v>
      </c>
      <c r="P273" t="s">
        <v>33</v>
      </c>
      <c r="Q273">
        <v>9.6999999999999993</v>
      </c>
      <c r="R273" t="s">
        <v>33</v>
      </c>
      <c r="S273" t="s">
        <v>33</v>
      </c>
      <c r="T273" t="s">
        <v>33</v>
      </c>
      <c r="U273" t="s">
        <v>33</v>
      </c>
      <c r="V273" t="s">
        <v>33</v>
      </c>
      <c r="W273">
        <v>0</v>
      </c>
      <c r="X273" t="s">
        <v>33</v>
      </c>
      <c r="Y273" t="s">
        <v>33</v>
      </c>
      <c r="Z273">
        <v>0</v>
      </c>
      <c r="AA273">
        <v>4.9000000000000004</v>
      </c>
      <c r="AB273">
        <f t="shared" si="8"/>
        <v>9.6999999999999993</v>
      </c>
      <c r="AC273">
        <v>9.6999999999999993</v>
      </c>
      <c r="AD273">
        <v>20</v>
      </c>
      <c r="AE273">
        <f t="shared" si="9"/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</row>
    <row r="274" spans="1:40" x14ac:dyDescent="0.25">
      <c r="A274">
        <v>2025</v>
      </c>
      <c r="B274" t="s">
        <v>220</v>
      </c>
      <c r="C274" t="str">
        <f>IF(COUNTIF('Rookies 22-25'!$B$198:$B$349,E274)&gt;0,"(R)","No")</f>
        <v>No</v>
      </c>
      <c r="D274">
        <v>108</v>
      </c>
      <c r="E274" t="s">
        <v>328</v>
      </c>
      <c r="F274" t="s">
        <v>43</v>
      </c>
      <c r="G274">
        <f>VLOOKUP(E274,'25 Draft ADP'!$B$3:$D$505,3,FALSE)</f>
        <v>333</v>
      </c>
      <c r="H274">
        <v>5</v>
      </c>
      <c r="I274">
        <v>0.8</v>
      </c>
      <c r="J274">
        <v>3.3</v>
      </c>
      <c r="K274">
        <v>3.3</v>
      </c>
      <c r="L274" t="s">
        <v>33</v>
      </c>
      <c r="M274" t="s">
        <v>33</v>
      </c>
      <c r="N274" t="s">
        <v>33</v>
      </c>
      <c r="O274" t="s">
        <v>33</v>
      </c>
      <c r="P274" t="s">
        <v>22</v>
      </c>
      <c r="Q274" t="s">
        <v>33</v>
      </c>
      <c r="R274" t="s">
        <v>33</v>
      </c>
      <c r="S274" t="s">
        <v>33</v>
      </c>
      <c r="T274" t="s">
        <v>33</v>
      </c>
      <c r="U274" t="s">
        <v>33</v>
      </c>
      <c r="V274" t="s">
        <v>33</v>
      </c>
      <c r="W274" t="s">
        <v>33</v>
      </c>
      <c r="X274" t="s">
        <v>33</v>
      </c>
      <c r="Y274">
        <v>0.2</v>
      </c>
      <c r="Z274">
        <v>2</v>
      </c>
      <c r="AA274">
        <v>1.9</v>
      </c>
      <c r="AB274">
        <f t="shared" si="8"/>
        <v>7.6</v>
      </c>
      <c r="AC274">
        <v>9.6</v>
      </c>
      <c r="AD274">
        <v>20</v>
      </c>
      <c r="AE274">
        <f t="shared" si="9"/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</row>
    <row r="275" spans="1:40" x14ac:dyDescent="0.25">
      <c r="A275">
        <v>2025</v>
      </c>
      <c r="B275" t="s">
        <v>220</v>
      </c>
      <c r="C275" t="str">
        <f>IF(COUNTIF('Rookies 22-25'!$B$198:$B$349,E275)&gt;0,"(R)","No")</f>
        <v>(R)</v>
      </c>
      <c r="D275">
        <v>108</v>
      </c>
      <c r="E275" t="s">
        <v>329</v>
      </c>
      <c r="F275" t="s">
        <v>28</v>
      </c>
      <c r="G275">
        <f>VLOOKUP(E275,'25 Draft ADP'!$B$3:$D$505,3,FALSE)</f>
        <v>194</v>
      </c>
      <c r="H275">
        <v>9</v>
      </c>
      <c r="I275">
        <v>4.0999999999999996</v>
      </c>
      <c r="J275">
        <v>0</v>
      </c>
      <c r="K275">
        <v>0.3</v>
      </c>
      <c r="L275">
        <v>0</v>
      </c>
      <c r="M275">
        <v>2.2000000000000002</v>
      </c>
      <c r="N275">
        <v>0</v>
      </c>
      <c r="O275">
        <v>0</v>
      </c>
      <c r="P275" t="s">
        <v>33</v>
      </c>
      <c r="Q275" t="s">
        <v>33</v>
      </c>
      <c r="R275" t="s">
        <v>33</v>
      </c>
      <c r="S275" t="s">
        <v>22</v>
      </c>
      <c r="T275" t="s">
        <v>33</v>
      </c>
      <c r="U275" t="s">
        <v>33</v>
      </c>
      <c r="V275" t="s">
        <v>33</v>
      </c>
      <c r="W275" t="s">
        <v>33</v>
      </c>
      <c r="X275" t="s">
        <v>33</v>
      </c>
      <c r="Y275">
        <v>0</v>
      </c>
      <c r="Z275">
        <v>3</v>
      </c>
      <c r="AA275">
        <v>1.1000000000000001</v>
      </c>
      <c r="AB275">
        <f t="shared" si="8"/>
        <v>6.6</v>
      </c>
      <c r="AC275">
        <v>9.6</v>
      </c>
      <c r="AD275">
        <v>20</v>
      </c>
      <c r="AE275">
        <f t="shared" si="9"/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</row>
    <row r="276" spans="1:40" x14ac:dyDescent="0.25">
      <c r="A276">
        <v>2025</v>
      </c>
      <c r="B276" t="s">
        <v>220</v>
      </c>
      <c r="C276" t="str">
        <f>IF(COUNTIF('Rookies 22-25'!$B$198:$B$349,E276)&gt;0,"(R)","No")</f>
        <v>(R)</v>
      </c>
      <c r="D276">
        <v>110</v>
      </c>
      <c r="E276" t="s">
        <v>330</v>
      </c>
      <c r="F276" t="s">
        <v>21</v>
      </c>
      <c r="G276">
        <f>VLOOKUP(E276,'25 Draft ADP'!$B$3:$D$505,3,FALSE)</f>
        <v>399</v>
      </c>
      <c r="H276">
        <v>4</v>
      </c>
      <c r="I276" t="s">
        <v>33</v>
      </c>
      <c r="J276" t="s">
        <v>33</v>
      </c>
      <c r="K276" t="s">
        <v>33</v>
      </c>
      <c r="L276" t="s">
        <v>33</v>
      </c>
      <c r="M276" t="s">
        <v>33</v>
      </c>
      <c r="N276" t="s">
        <v>33</v>
      </c>
      <c r="O276" t="s">
        <v>33</v>
      </c>
      <c r="P276" t="s">
        <v>22</v>
      </c>
      <c r="Q276" t="s">
        <v>33</v>
      </c>
      <c r="R276" t="s">
        <v>33</v>
      </c>
      <c r="S276" t="s">
        <v>33</v>
      </c>
      <c r="T276" t="s">
        <v>33</v>
      </c>
      <c r="U276" t="s">
        <v>33</v>
      </c>
      <c r="V276" t="s">
        <v>33</v>
      </c>
      <c r="W276">
        <v>1.1000000000000001</v>
      </c>
      <c r="X276">
        <v>3.2</v>
      </c>
      <c r="Y276">
        <v>0.2</v>
      </c>
      <c r="Z276">
        <v>4.8</v>
      </c>
      <c r="AA276">
        <v>2.2999999999999998</v>
      </c>
      <c r="AB276">
        <f t="shared" si="8"/>
        <v>4.5000000000000009</v>
      </c>
      <c r="AC276">
        <v>9.3000000000000007</v>
      </c>
      <c r="AD276">
        <v>20</v>
      </c>
      <c r="AE276">
        <f t="shared" si="9"/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</row>
    <row r="277" spans="1:40" x14ac:dyDescent="0.25">
      <c r="A277">
        <v>2025</v>
      </c>
      <c r="B277" t="s">
        <v>331</v>
      </c>
      <c r="C277" t="str">
        <f>IF(COUNTIF('Rookies 22-25'!$B$198:$B$349,E277)&gt;0,"(R)","No")</f>
        <v>No</v>
      </c>
      <c r="D277">
        <v>1</v>
      </c>
      <c r="E277" t="s">
        <v>332</v>
      </c>
      <c r="F277" t="s">
        <v>61</v>
      </c>
      <c r="G277">
        <f>VLOOKUP(E277,'25 Draft ADP'!$B$3:$D$505,3,FALSE)</f>
        <v>24</v>
      </c>
      <c r="H277">
        <v>17</v>
      </c>
      <c r="I277">
        <v>38.799999999999997</v>
      </c>
      <c r="J277">
        <v>11.8</v>
      </c>
      <c r="K277">
        <v>23</v>
      </c>
      <c r="L277">
        <v>25.9</v>
      </c>
      <c r="M277">
        <v>20.399999999999999</v>
      </c>
      <c r="N277">
        <v>17.399999999999999</v>
      </c>
      <c r="O277" t="s">
        <v>22</v>
      </c>
      <c r="P277">
        <v>23.2</v>
      </c>
      <c r="Q277">
        <v>28.8</v>
      </c>
      <c r="R277">
        <v>20.3</v>
      </c>
      <c r="S277">
        <v>44.7</v>
      </c>
      <c r="T277">
        <v>10.1</v>
      </c>
      <c r="U277">
        <v>17.7</v>
      </c>
      <c r="V277">
        <v>37.799999999999997</v>
      </c>
      <c r="W277">
        <v>24.5</v>
      </c>
      <c r="X277">
        <v>6.9</v>
      </c>
      <c r="Y277">
        <v>23.2</v>
      </c>
      <c r="Z277">
        <v>0</v>
      </c>
      <c r="AA277">
        <v>22</v>
      </c>
      <c r="AB277">
        <f t="shared" si="8"/>
        <v>374.6</v>
      </c>
      <c r="AC277">
        <v>374.6</v>
      </c>
      <c r="AD277">
        <v>1</v>
      </c>
      <c r="AE277">
        <f t="shared" si="9"/>
        <v>15</v>
      </c>
      <c r="AF277">
        <v>13</v>
      </c>
      <c r="AG277">
        <v>11</v>
      </c>
      <c r="AH277">
        <v>5</v>
      </c>
      <c r="AI277">
        <v>3</v>
      </c>
      <c r="AJ277">
        <v>0.88235294117647056</v>
      </c>
      <c r="AK277">
        <v>0.76470588235294112</v>
      </c>
      <c r="AL277">
        <v>0.6470588235294118</v>
      </c>
      <c r="AM277">
        <v>0.29411764705882354</v>
      </c>
      <c r="AN277">
        <v>0.17647058823529413</v>
      </c>
    </row>
    <row r="278" spans="1:40" x14ac:dyDescent="0.25">
      <c r="A278">
        <v>2025</v>
      </c>
      <c r="B278" t="s">
        <v>331</v>
      </c>
      <c r="C278" t="str">
        <f>IF(COUNTIF('Rookies 22-25'!$B$198:$B$349,E278)&gt;0,"(R)","No")</f>
        <v>No</v>
      </c>
      <c r="D278">
        <v>2</v>
      </c>
      <c r="E278" t="s">
        <v>333</v>
      </c>
      <c r="F278" t="s">
        <v>39</v>
      </c>
      <c r="G278">
        <f>VLOOKUP(E278,'25 Draft ADP'!$B$3:$D$505,3,FALSE)</f>
        <v>111</v>
      </c>
      <c r="H278">
        <v>17</v>
      </c>
      <c r="I278">
        <v>15.8</v>
      </c>
      <c r="J278">
        <v>26.3</v>
      </c>
      <c r="K278">
        <v>20.2</v>
      </c>
      <c r="L278">
        <v>23.2</v>
      </c>
      <c r="M278">
        <v>12.1</v>
      </c>
      <c r="N278">
        <v>27.2</v>
      </c>
      <c r="O278">
        <v>23.1</v>
      </c>
      <c r="P278">
        <v>27.3</v>
      </c>
      <c r="Q278">
        <v>17.399999999999999</v>
      </c>
      <c r="R278">
        <v>19.100000000000001</v>
      </c>
      <c r="S278">
        <v>15.4</v>
      </c>
      <c r="T278">
        <v>17</v>
      </c>
      <c r="U278">
        <v>20.5</v>
      </c>
      <c r="V278" t="s">
        <v>22</v>
      </c>
      <c r="W278">
        <v>21.5</v>
      </c>
      <c r="X278">
        <v>24.7</v>
      </c>
      <c r="Y278">
        <v>32.4</v>
      </c>
      <c r="Z278">
        <v>15.7</v>
      </c>
      <c r="AA278">
        <v>21.1</v>
      </c>
      <c r="AB278">
        <f t="shared" si="8"/>
        <v>343.3</v>
      </c>
      <c r="AC278">
        <v>359</v>
      </c>
      <c r="AD278">
        <v>2</v>
      </c>
      <c r="AE278">
        <f t="shared" si="9"/>
        <v>16</v>
      </c>
      <c r="AF278">
        <v>16</v>
      </c>
      <c r="AG278">
        <v>10</v>
      </c>
      <c r="AH278">
        <v>4</v>
      </c>
      <c r="AI278">
        <v>1</v>
      </c>
      <c r="AJ278">
        <v>1</v>
      </c>
      <c r="AK278">
        <v>0.94117647058823528</v>
      </c>
      <c r="AL278">
        <v>0.58823529411764708</v>
      </c>
      <c r="AM278">
        <v>0.23529411764705882</v>
      </c>
      <c r="AN278">
        <v>5.8823529411764705E-2</v>
      </c>
    </row>
    <row r="279" spans="1:40" x14ac:dyDescent="0.25">
      <c r="A279">
        <v>2025</v>
      </c>
      <c r="B279" t="s">
        <v>331</v>
      </c>
      <c r="C279" t="str">
        <f>IF(COUNTIF('Rookies 22-25'!$B$198:$B$349,E279)&gt;0,"(R)","No")</f>
        <v>No</v>
      </c>
      <c r="D279">
        <v>3</v>
      </c>
      <c r="E279" t="s">
        <v>334</v>
      </c>
      <c r="F279" t="s">
        <v>55</v>
      </c>
      <c r="G279">
        <f>VLOOKUP(E279,'25 Draft ADP'!$B$3:$D$505,3,FALSE)</f>
        <v>164</v>
      </c>
      <c r="H279">
        <v>17</v>
      </c>
      <c r="I279">
        <v>13.6</v>
      </c>
      <c r="J279">
        <v>18.3</v>
      </c>
      <c r="K279">
        <v>14.8</v>
      </c>
      <c r="L279">
        <v>27.4</v>
      </c>
      <c r="M279">
        <v>25.6</v>
      </c>
      <c r="N279">
        <v>9.3000000000000007</v>
      </c>
      <c r="O279">
        <v>27.4</v>
      </c>
      <c r="P279" t="s">
        <v>22</v>
      </c>
      <c r="Q279">
        <v>26.8</v>
      </c>
      <c r="R279">
        <v>26.9</v>
      </c>
      <c r="S279">
        <v>13.2</v>
      </c>
      <c r="T279">
        <v>22.9</v>
      </c>
      <c r="U279">
        <v>13.6</v>
      </c>
      <c r="V279">
        <v>23.2</v>
      </c>
      <c r="W279">
        <v>21.9</v>
      </c>
      <c r="X279">
        <v>30.9</v>
      </c>
      <c r="Y279">
        <v>15.8</v>
      </c>
      <c r="Z279">
        <v>26.7</v>
      </c>
      <c r="AA279">
        <v>21.1</v>
      </c>
      <c r="AB279">
        <f t="shared" si="8"/>
        <v>331.7</v>
      </c>
      <c r="AC279">
        <v>358.4</v>
      </c>
      <c r="AD279">
        <v>3</v>
      </c>
      <c r="AE279">
        <f t="shared" si="9"/>
        <v>15</v>
      </c>
      <c r="AF279">
        <v>12</v>
      </c>
      <c r="AG279">
        <v>10</v>
      </c>
      <c r="AH279">
        <v>7</v>
      </c>
      <c r="AI279">
        <v>1</v>
      </c>
      <c r="AJ279">
        <v>0.94117647058823528</v>
      </c>
      <c r="AK279">
        <v>0.70588235294117652</v>
      </c>
      <c r="AL279">
        <v>0.58823529411764708</v>
      </c>
      <c r="AM279">
        <v>0.41176470588235292</v>
      </c>
      <c r="AN279">
        <v>5.8823529411764705E-2</v>
      </c>
    </row>
    <row r="280" spans="1:40" x14ac:dyDescent="0.25">
      <c r="A280">
        <v>2025</v>
      </c>
      <c r="B280" t="s">
        <v>331</v>
      </c>
      <c r="C280" t="str">
        <f>IF(COUNTIF('Rookies 22-25'!$B$198:$B$349,E280)&gt;0,"(R)","No")</f>
        <v>No</v>
      </c>
      <c r="D280">
        <v>4</v>
      </c>
      <c r="E280" t="s">
        <v>335</v>
      </c>
      <c r="F280" t="s">
        <v>67</v>
      </c>
      <c r="G280">
        <f>VLOOKUP(E280,'25 Draft ADP'!$B$3:$D$505,3,FALSE)</f>
        <v>127</v>
      </c>
      <c r="H280">
        <v>17</v>
      </c>
      <c r="I280">
        <v>11.3</v>
      </c>
      <c r="J280">
        <v>21.2</v>
      </c>
      <c r="K280">
        <v>8.8000000000000007</v>
      </c>
      <c r="L280">
        <v>11.7</v>
      </c>
      <c r="M280">
        <v>27.2</v>
      </c>
      <c r="N280">
        <v>19.2</v>
      </c>
      <c r="O280">
        <v>17.600000000000001</v>
      </c>
      <c r="P280" t="s">
        <v>22</v>
      </c>
      <c r="Q280">
        <v>22.2</v>
      </c>
      <c r="R280">
        <v>10.8</v>
      </c>
      <c r="S280">
        <v>16</v>
      </c>
      <c r="T280">
        <v>20.100000000000001</v>
      </c>
      <c r="U280">
        <v>21.7</v>
      </c>
      <c r="V280">
        <v>19.399999999999999</v>
      </c>
      <c r="W280">
        <v>44.3</v>
      </c>
      <c r="X280">
        <v>31.2</v>
      </c>
      <c r="Y280">
        <v>24.1</v>
      </c>
      <c r="Z280">
        <v>23.3</v>
      </c>
      <c r="AA280">
        <v>20.6</v>
      </c>
      <c r="AB280">
        <f t="shared" si="8"/>
        <v>326.89999999999998</v>
      </c>
      <c r="AC280">
        <v>350.2</v>
      </c>
      <c r="AD280">
        <v>4</v>
      </c>
      <c r="AE280">
        <f t="shared" si="9"/>
        <v>15</v>
      </c>
      <c r="AF280">
        <v>13</v>
      </c>
      <c r="AG280">
        <v>9</v>
      </c>
      <c r="AH280">
        <v>3</v>
      </c>
      <c r="AI280">
        <v>2</v>
      </c>
      <c r="AJ280">
        <v>0.94117647058823528</v>
      </c>
      <c r="AK280">
        <v>0.76470588235294112</v>
      </c>
      <c r="AL280">
        <v>0.52941176470588236</v>
      </c>
      <c r="AM280">
        <v>0.17647058823529413</v>
      </c>
      <c r="AN280">
        <v>0.11764705882352941</v>
      </c>
    </row>
    <row r="281" spans="1:40" x14ac:dyDescent="0.25">
      <c r="A281">
        <v>2025</v>
      </c>
      <c r="B281" t="s">
        <v>331</v>
      </c>
      <c r="C281" t="str">
        <f>IF(COUNTIF('Rookies 22-25'!$B$198:$B$349,E281)&gt;0,"(R)","No")</f>
        <v>No</v>
      </c>
      <c r="D281">
        <v>5</v>
      </c>
      <c r="E281" t="s">
        <v>336</v>
      </c>
      <c r="F281" t="s">
        <v>30</v>
      </c>
      <c r="G281">
        <f>VLOOKUP(E281,'25 Draft ADP'!$B$3:$D$505,3,FALSE)</f>
        <v>90</v>
      </c>
      <c r="H281">
        <v>17</v>
      </c>
      <c r="I281">
        <v>7.8</v>
      </c>
      <c r="J281">
        <v>23.1</v>
      </c>
      <c r="K281">
        <v>14</v>
      </c>
      <c r="L281">
        <v>31</v>
      </c>
      <c r="M281">
        <v>28.3</v>
      </c>
      <c r="N281">
        <v>22.3</v>
      </c>
      <c r="O281">
        <v>23.3</v>
      </c>
      <c r="P281">
        <v>8.6</v>
      </c>
      <c r="Q281">
        <v>16.399999999999999</v>
      </c>
      <c r="R281" t="s">
        <v>22</v>
      </c>
      <c r="S281">
        <v>24.3</v>
      </c>
      <c r="T281">
        <v>28.1</v>
      </c>
      <c r="U281">
        <v>21.6</v>
      </c>
      <c r="V281">
        <v>20.399999999999999</v>
      </c>
      <c r="W281">
        <v>12</v>
      </c>
      <c r="X281">
        <v>19.2</v>
      </c>
      <c r="Y281">
        <v>22.7</v>
      </c>
      <c r="Z281">
        <v>0.7</v>
      </c>
      <c r="AA281">
        <v>19</v>
      </c>
      <c r="AB281">
        <f t="shared" si="8"/>
        <v>323.10000000000002</v>
      </c>
      <c r="AC281">
        <v>323.8</v>
      </c>
      <c r="AD281">
        <v>5</v>
      </c>
      <c r="AE281">
        <f t="shared" si="9"/>
        <v>14</v>
      </c>
      <c r="AF281">
        <v>12</v>
      </c>
      <c r="AG281">
        <v>10</v>
      </c>
      <c r="AH281">
        <v>3</v>
      </c>
      <c r="AI281">
        <v>1</v>
      </c>
      <c r="AJ281">
        <v>0.82352941176470584</v>
      </c>
      <c r="AK281">
        <v>0.70588235294117652</v>
      </c>
      <c r="AL281">
        <v>0.58823529411764708</v>
      </c>
      <c r="AM281">
        <v>0.17647058823529413</v>
      </c>
      <c r="AN281">
        <v>5.8823529411764705E-2</v>
      </c>
    </row>
    <row r="282" spans="1:40" x14ac:dyDescent="0.25">
      <c r="A282">
        <v>2025</v>
      </c>
      <c r="B282" t="s">
        <v>331</v>
      </c>
      <c r="C282" t="str">
        <f>IF(COUNTIF('Rookies 22-25'!$B$198:$B$349,E282)&gt;0,"(R)","No")</f>
        <v>No</v>
      </c>
      <c r="D282">
        <v>6</v>
      </c>
      <c r="E282" t="s">
        <v>337</v>
      </c>
      <c r="F282" t="s">
        <v>45</v>
      </c>
      <c r="G282">
        <f>VLOOKUP(E282,'25 Draft ADP'!$B$3:$D$505,3,FALSE)</f>
        <v>103</v>
      </c>
      <c r="H282">
        <v>17</v>
      </c>
      <c r="I282">
        <v>24.2</v>
      </c>
      <c r="J282">
        <v>18</v>
      </c>
      <c r="K282">
        <v>29.1</v>
      </c>
      <c r="L282">
        <v>12.8</v>
      </c>
      <c r="M282" t="s">
        <v>22</v>
      </c>
      <c r="N282">
        <v>19.899999999999999</v>
      </c>
      <c r="O282">
        <v>5.7</v>
      </c>
      <c r="P282">
        <v>12.8</v>
      </c>
      <c r="Q282">
        <v>36.700000000000003</v>
      </c>
      <c r="R282">
        <v>25.1</v>
      </c>
      <c r="S282">
        <v>10.3</v>
      </c>
      <c r="T282">
        <v>21.7</v>
      </c>
      <c r="U282">
        <v>10.5</v>
      </c>
      <c r="V282">
        <v>15.9</v>
      </c>
      <c r="W282">
        <v>19</v>
      </c>
      <c r="X282">
        <v>21</v>
      </c>
      <c r="Y282">
        <v>23</v>
      </c>
      <c r="Z282">
        <v>17.600000000000001</v>
      </c>
      <c r="AA282">
        <v>19</v>
      </c>
      <c r="AB282">
        <f t="shared" si="8"/>
        <v>305.59999999999997</v>
      </c>
      <c r="AC282">
        <v>323.2</v>
      </c>
      <c r="AD282">
        <v>6</v>
      </c>
      <c r="AE282">
        <f t="shared" si="9"/>
        <v>15</v>
      </c>
      <c r="AF282">
        <v>12</v>
      </c>
      <c r="AG282">
        <v>7</v>
      </c>
      <c r="AH282">
        <v>3</v>
      </c>
      <c r="AI282">
        <v>1</v>
      </c>
      <c r="AJ282">
        <v>0.94117647058823528</v>
      </c>
      <c r="AK282">
        <v>0.70588235294117652</v>
      </c>
      <c r="AL282">
        <v>0.41176470588235292</v>
      </c>
      <c r="AM282">
        <v>0.17647058823529413</v>
      </c>
      <c r="AN282">
        <v>5.8823529411764705E-2</v>
      </c>
    </row>
    <row r="283" spans="1:40" x14ac:dyDescent="0.25">
      <c r="A283">
        <v>2025</v>
      </c>
      <c r="B283" t="s">
        <v>331</v>
      </c>
      <c r="C283" t="str">
        <f>IF(COUNTIF('Rookies 22-25'!$B$198:$B$349,E283)&gt;0,"(R)","No")</f>
        <v>No</v>
      </c>
      <c r="D283">
        <v>7</v>
      </c>
      <c r="E283" t="s">
        <v>338</v>
      </c>
      <c r="F283" t="s">
        <v>78</v>
      </c>
      <c r="G283">
        <f>VLOOKUP(E283,'25 Draft ADP'!$B$3:$D$505,3,FALSE)</f>
        <v>82</v>
      </c>
      <c r="H283">
        <v>17</v>
      </c>
      <c r="I283">
        <v>8.8000000000000007</v>
      </c>
      <c r="J283">
        <v>21.2</v>
      </c>
      <c r="K283">
        <v>13.4</v>
      </c>
      <c r="L283">
        <v>26.7</v>
      </c>
      <c r="M283">
        <v>17.899999999999999</v>
      </c>
      <c r="N283">
        <v>13.4</v>
      </c>
      <c r="O283">
        <v>40</v>
      </c>
      <c r="P283">
        <v>24.8</v>
      </c>
      <c r="Q283">
        <v>19.5</v>
      </c>
      <c r="R283">
        <v>7.8</v>
      </c>
      <c r="S283">
        <v>12.6</v>
      </c>
      <c r="T283" t="s">
        <v>22</v>
      </c>
      <c r="U283">
        <v>17.399999999999999</v>
      </c>
      <c r="V283">
        <v>16</v>
      </c>
      <c r="W283">
        <v>29.1</v>
      </c>
      <c r="X283">
        <v>16.2</v>
      </c>
      <c r="Y283">
        <v>20.5</v>
      </c>
      <c r="Z283">
        <v>10.5</v>
      </c>
      <c r="AA283">
        <v>18.600000000000001</v>
      </c>
      <c r="AB283">
        <f t="shared" si="8"/>
        <v>305.3</v>
      </c>
      <c r="AC283">
        <v>315.8</v>
      </c>
      <c r="AD283">
        <v>7</v>
      </c>
      <c r="AE283">
        <f t="shared" si="9"/>
        <v>14</v>
      </c>
      <c r="AF283">
        <v>11</v>
      </c>
      <c r="AG283">
        <v>6</v>
      </c>
      <c r="AH283">
        <v>3</v>
      </c>
      <c r="AI283">
        <v>1</v>
      </c>
      <c r="AJ283">
        <v>0.88235294117647056</v>
      </c>
      <c r="AK283">
        <v>0.6470588235294118</v>
      </c>
      <c r="AL283">
        <v>0.35294117647058826</v>
      </c>
      <c r="AM283">
        <v>0.17647058823529413</v>
      </c>
      <c r="AN283">
        <v>5.8823529411764705E-2</v>
      </c>
    </row>
    <row r="284" spans="1:40" x14ac:dyDescent="0.25">
      <c r="A284">
        <v>2025</v>
      </c>
      <c r="B284" t="s">
        <v>331</v>
      </c>
      <c r="C284" t="str">
        <f>IF(COUNTIF('Rookies 22-25'!$B$198:$B$349,E284)&gt;0,"(R)","No")</f>
        <v>No</v>
      </c>
      <c r="D284">
        <v>8</v>
      </c>
      <c r="E284" t="s">
        <v>339</v>
      </c>
      <c r="F284" t="s">
        <v>75</v>
      </c>
      <c r="G284">
        <f>VLOOKUP(E284,'25 Draft ADP'!$B$3:$D$505,3,FALSE)</f>
        <v>105</v>
      </c>
      <c r="H284">
        <v>17</v>
      </c>
      <c r="I284">
        <v>11.9</v>
      </c>
      <c r="J284">
        <v>34</v>
      </c>
      <c r="K284">
        <v>12.7</v>
      </c>
      <c r="L284">
        <v>13.7</v>
      </c>
      <c r="M284">
        <v>20.100000000000001</v>
      </c>
      <c r="N284">
        <v>16.8</v>
      </c>
      <c r="O284">
        <v>11.3</v>
      </c>
      <c r="P284" t="s">
        <v>22</v>
      </c>
      <c r="Q284">
        <v>19.399999999999999</v>
      </c>
      <c r="R284">
        <v>24.8</v>
      </c>
      <c r="S284">
        <v>13.1</v>
      </c>
      <c r="T284">
        <v>18.2</v>
      </c>
      <c r="U284">
        <v>20.6</v>
      </c>
      <c r="V284">
        <v>16.2</v>
      </c>
      <c r="W284">
        <v>25.5</v>
      </c>
      <c r="X284">
        <v>26.5</v>
      </c>
      <c r="Y284">
        <v>4.0999999999999996</v>
      </c>
      <c r="Z284">
        <v>16.2</v>
      </c>
      <c r="AA284">
        <v>17.899999999999999</v>
      </c>
      <c r="AB284">
        <f t="shared" si="8"/>
        <v>288.90000000000003</v>
      </c>
      <c r="AC284">
        <v>305.10000000000002</v>
      </c>
      <c r="AD284">
        <v>8</v>
      </c>
      <c r="AE284">
        <f t="shared" si="9"/>
        <v>15</v>
      </c>
      <c r="AF284">
        <v>11</v>
      </c>
      <c r="AG284">
        <v>6</v>
      </c>
      <c r="AH284">
        <v>3</v>
      </c>
      <c r="AI284">
        <v>1</v>
      </c>
      <c r="AJ284">
        <v>0.94117647058823528</v>
      </c>
      <c r="AK284">
        <v>0.6470588235294118</v>
      </c>
      <c r="AL284">
        <v>0.35294117647058826</v>
      </c>
      <c r="AM284">
        <v>0.17647058823529413</v>
      </c>
      <c r="AN284">
        <v>5.8823529411764705E-2</v>
      </c>
    </row>
    <row r="285" spans="1:40" x14ac:dyDescent="0.25">
      <c r="A285">
        <v>2025</v>
      </c>
      <c r="B285" t="s">
        <v>331</v>
      </c>
      <c r="C285" t="str">
        <f>IF(COUNTIF('Rookies 22-25'!$B$198:$B$349,E285)&gt;0,"(R)","No")</f>
        <v>No</v>
      </c>
      <c r="D285">
        <v>8</v>
      </c>
      <c r="E285" t="s">
        <v>340</v>
      </c>
      <c r="F285" t="s">
        <v>35</v>
      </c>
      <c r="G285">
        <f>VLOOKUP(E285,'25 Draft ADP'!$B$3:$D$505,3,FALSE)</f>
        <v>41</v>
      </c>
      <c r="H285">
        <v>16</v>
      </c>
      <c r="I285">
        <v>24.3</v>
      </c>
      <c r="J285">
        <v>11.5</v>
      </c>
      <c r="K285">
        <v>29</v>
      </c>
      <c r="L285">
        <v>19.399999999999999</v>
      </c>
      <c r="M285">
        <v>19.5</v>
      </c>
      <c r="N285">
        <v>21.6</v>
      </c>
      <c r="O285">
        <v>24</v>
      </c>
      <c r="P285">
        <v>25.4</v>
      </c>
      <c r="Q285" t="s">
        <v>22</v>
      </c>
      <c r="R285">
        <v>12</v>
      </c>
      <c r="S285">
        <v>14.5</v>
      </c>
      <c r="T285">
        <v>30.9</v>
      </c>
      <c r="U285">
        <v>17.3</v>
      </c>
      <c r="V285">
        <v>4.4000000000000004</v>
      </c>
      <c r="W285">
        <v>22.9</v>
      </c>
      <c r="X285">
        <v>19.399999999999999</v>
      </c>
      <c r="Y285">
        <v>8.9</v>
      </c>
      <c r="Z285">
        <v>0</v>
      </c>
      <c r="AA285">
        <v>19.100000000000001</v>
      </c>
      <c r="AB285">
        <f t="shared" si="8"/>
        <v>305.10000000000002</v>
      </c>
      <c r="AC285">
        <v>305.10000000000002</v>
      </c>
      <c r="AD285">
        <v>9</v>
      </c>
      <c r="AE285">
        <f t="shared" si="9"/>
        <v>14</v>
      </c>
      <c r="AF285">
        <v>11</v>
      </c>
      <c r="AG285">
        <v>7</v>
      </c>
      <c r="AH285">
        <v>3</v>
      </c>
      <c r="AI285">
        <v>1</v>
      </c>
      <c r="AJ285">
        <v>0.82352941176470584</v>
      </c>
      <c r="AK285">
        <v>0.6875</v>
      </c>
      <c r="AL285">
        <v>0.4375</v>
      </c>
      <c r="AM285">
        <v>0.1875</v>
      </c>
      <c r="AN285">
        <v>6.25E-2</v>
      </c>
    </row>
    <row r="286" spans="1:40" x14ac:dyDescent="0.25">
      <c r="A286">
        <v>2025</v>
      </c>
      <c r="B286" t="s">
        <v>331</v>
      </c>
      <c r="C286" t="str">
        <f>IF(COUNTIF('Rookies 22-25'!$B$198:$B$349,E286)&gt;0,"(R)","No")</f>
        <v>No</v>
      </c>
      <c r="D286">
        <v>10</v>
      </c>
      <c r="E286" t="s">
        <v>341</v>
      </c>
      <c r="F286" t="s">
        <v>51</v>
      </c>
      <c r="G286">
        <f>VLOOKUP(E286,'25 Draft ADP'!$B$3:$D$505,3,FALSE)</f>
        <v>115</v>
      </c>
      <c r="H286">
        <v>16</v>
      </c>
      <c r="I286">
        <v>27.9</v>
      </c>
      <c r="J286">
        <v>18.8</v>
      </c>
      <c r="K286">
        <v>15.6</v>
      </c>
      <c r="L286">
        <v>14.5</v>
      </c>
      <c r="M286">
        <v>15.6</v>
      </c>
      <c r="N286">
        <v>18.8</v>
      </c>
      <c r="O286">
        <v>29.9</v>
      </c>
      <c r="P286">
        <v>26.3</v>
      </c>
      <c r="Q286">
        <v>28.7</v>
      </c>
      <c r="R286">
        <v>14.7</v>
      </c>
      <c r="S286">
        <v>4.3</v>
      </c>
      <c r="T286" t="s">
        <v>22</v>
      </c>
      <c r="U286">
        <v>13.8</v>
      </c>
      <c r="V286">
        <v>13.2</v>
      </c>
      <c r="W286">
        <v>11.4</v>
      </c>
      <c r="X286">
        <v>30.2</v>
      </c>
      <c r="Y286">
        <v>16.100000000000001</v>
      </c>
      <c r="Z286">
        <v>0</v>
      </c>
      <c r="AA286">
        <v>18.7</v>
      </c>
      <c r="AB286">
        <f t="shared" si="8"/>
        <v>299.89999999999998</v>
      </c>
      <c r="AC286">
        <v>299.89999999999998</v>
      </c>
      <c r="AD286">
        <v>10</v>
      </c>
      <c r="AE286">
        <f t="shared" si="9"/>
        <v>15</v>
      </c>
      <c r="AF286">
        <v>10</v>
      </c>
      <c r="AG286">
        <v>5</v>
      </c>
      <c r="AH286">
        <v>5</v>
      </c>
      <c r="AI286">
        <v>1</v>
      </c>
      <c r="AJ286">
        <v>0.88235294117647056</v>
      </c>
      <c r="AK286">
        <v>0.625</v>
      </c>
      <c r="AL286">
        <v>0.3125</v>
      </c>
      <c r="AM286">
        <v>0.3125</v>
      </c>
      <c r="AN286">
        <v>6.25E-2</v>
      </c>
    </row>
    <row r="287" spans="1:40" x14ac:dyDescent="0.25">
      <c r="A287">
        <v>2025</v>
      </c>
      <c r="B287" t="s">
        <v>331</v>
      </c>
      <c r="C287" t="str">
        <f>IF(COUNTIF('Rookies 22-25'!$B$198:$B$349,E287)&gt;0,"(R)","No")</f>
        <v>No</v>
      </c>
      <c r="D287">
        <v>11</v>
      </c>
      <c r="E287" t="s">
        <v>342</v>
      </c>
      <c r="F287" t="s">
        <v>26</v>
      </c>
      <c r="G287">
        <f>VLOOKUP(E287,'25 Draft ADP'!$B$3:$D$505,3,FALSE)</f>
        <v>69</v>
      </c>
      <c r="H287">
        <v>14</v>
      </c>
      <c r="I287">
        <v>26</v>
      </c>
      <c r="J287">
        <v>23.1</v>
      </c>
      <c r="K287">
        <v>13.2</v>
      </c>
      <c r="L287">
        <v>27.3</v>
      </c>
      <c r="M287">
        <v>27.7</v>
      </c>
      <c r="N287">
        <v>31.5</v>
      </c>
      <c r="O287">
        <v>26.2</v>
      </c>
      <c r="P287">
        <v>25</v>
      </c>
      <c r="Q287">
        <v>11.5</v>
      </c>
      <c r="R287" t="s">
        <v>22</v>
      </c>
      <c r="S287">
        <v>14.3</v>
      </c>
      <c r="T287">
        <v>18.100000000000001</v>
      </c>
      <c r="U287">
        <v>29.4</v>
      </c>
      <c r="V287">
        <v>8.3000000000000007</v>
      </c>
      <c r="W287">
        <v>14.1</v>
      </c>
      <c r="X287" t="s">
        <v>33</v>
      </c>
      <c r="Y287" t="s">
        <v>33</v>
      </c>
      <c r="Z287">
        <v>0</v>
      </c>
      <c r="AA287">
        <v>21.1</v>
      </c>
      <c r="AB287">
        <f t="shared" si="8"/>
        <v>295.7</v>
      </c>
      <c r="AC287">
        <v>295.7</v>
      </c>
      <c r="AD287">
        <v>11</v>
      </c>
      <c r="AE287">
        <f t="shared" si="9"/>
        <v>13</v>
      </c>
      <c r="AF287">
        <v>9</v>
      </c>
      <c r="AG287">
        <v>8</v>
      </c>
      <c r="AH287">
        <v>6</v>
      </c>
      <c r="AI287">
        <v>1</v>
      </c>
      <c r="AJ287">
        <v>0.76470588235294112</v>
      </c>
      <c r="AK287">
        <v>0.6428571428571429</v>
      </c>
      <c r="AL287">
        <v>0.5714285714285714</v>
      </c>
      <c r="AM287">
        <v>0.42857142857142855</v>
      </c>
      <c r="AN287">
        <v>7.1428571428571425E-2</v>
      </c>
    </row>
    <row r="288" spans="1:40" x14ac:dyDescent="0.25">
      <c r="A288">
        <v>2025</v>
      </c>
      <c r="B288" t="s">
        <v>331</v>
      </c>
      <c r="C288" t="str">
        <f>IF(COUNTIF('Rookies 22-25'!$B$198:$B$349,E288)&gt;0,"(R)","No")</f>
        <v>No</v>
      </c>
      <c r="D288">
        <v>12</v>
      </c>
      <c r="E288" t="s">
        <v>343</v>
      </c>
      <c r="F288" t="s">
        <v>65</v>
      </c>
      <c r="G288">
        <f>VLOOKUP(E288,'25 Draft ADP'!$B$3:$D$505,3,FALSE)</f>
        <v>80</v>
      </c>
      <c r="H288">
        <v>17</v>
      </c>
      <c r="I288">
        <v>22.6</v>
      </c>
      <c r="J288">
        <v>19.899999999999999</v>
      </c>
      <c r="K288">
        <v>17.7</v>
      </c>
      <c r="L288">
        <v>19.899999999999999</v>
      </c>
      <c r="M288">
        <v>26.7</v>
      </c>
      <c r="N288">
        <v>19.600000000000001</v>
      </c>
      <c r="O288">
        <v>12.1</v>
      </c>
      <c r="P288">
        <v>4.0999999999999996</v>
      </c>
      <c r="Q288" t="s">
        <v>22</v>
      </c>
      <c r="R288">
        <v>22.9</v>
      </c>
      <c r="S288">
        <v>17.8</v>
      </c>
      <c r="T288">
        <v>5.5</v>
      </c>
      <c r="U288">
        <v>14.5</v>
      </c>
      <c r="V288">
        <v>12.1</v>
      </c>
      <c r="W288">
        <v>20.2</v>
      </c>
      <c r="X288">
        <v>13.7</v>
      </c>
      <c r="Y288">
        <v>19.399999999999999</v>
      </c>
      <c r="Z288">
        <v>14.2</v>
      </c>
      <c r="AA288">
        <v>16.600000000000001</v>
      </c>
      <c r="AB288">
        <f t="shared" si="8"/>
        <v>268.7</v>
      </c>
      <c r="AC288">
        <v>282.89999999999998</v>
      </c>
      <c r="AD288">
        <v>12</v>
      </c>
      <c r="AE288">
        <f t="shared" si="9"/>
        <v>14</v>
      </c>
      <c r="AF288">
        <v>10</v>
      </c>
      <c r="AG288">
        <v>4</v>
      </c>
      <c r="AH288">
        <v>1</v>
      </c>
      <c r="AI288">
        <v>0</v>
      </c>
      <c r="AJ288">
        <v>0.88235294117647056</v>
      </c>
      <c r="AK288">
        <v>0.58823529411764708</v>
      </c>
      <c r="AL288">
        <v>0.23529411764705882</v>
      </c>
      <c r="AM288">
        <v>5.8823529411764705E-2</v>
      </c>
      <c r="AN288">
        <v>0</v>
      </c>
    </row>
    <row r="289" spans="1:40" x14ac:dyDescent="0.25">
      <c r="A289">
        <v>2025</v>
      </c>
      <c r="B289" t="s">
        <v>331</v>
      </c>
      <c r="C289" t="str">
        <f>IF(COUNTIF('Rookies 22-25'!$B$198:$B$349,E289)&gt;0,"(R)","No")</f>
        <v>No</v>
      </c>
      <c r="D289">
        <v>13</v>
      </c>
      <c r="E289" t="s">
        <v>344</v>
      </c>
      <c r="F289" t="s">
        <v>49</v>
      </c>
      <c r="G289">
        <f>VLOOKUP(E289,'25 Draft ADP'!$B$3:$D$505,3,FALSE)</f>
        <v>166</v>
      </c>
      <c r="H289">
        <v>17</v>
      </c>
      <c r="I289">
        <v>5.4</v>
      </c>
      <c r="J289">
        <v>17.8</v>
      </c>
      <c r="K289">
        <v>16.7</v>
      </c>
      <c r="L289">
        <v>16.100000000000001</v>
      </c>
      <c r="M289">
        <v>28.6</v>
      </c>
      <c r="N289">
        <v>20</v>
      </c>
      <c r="O289">
        <v>9.6</v>
      </c>
      <c r="P289" t="s">
        <v>22</v>
      </c>
      <c r="Q289">
        <v>28.2</v>
      </c>
      <c r="R289">
        <v>5.9</v>
      </c>
      <c r="S289">
        <v>8.3000000000000007</v>
      </c>
      <c r="T289">
        <v>17.7</v>
      </c>
      <c r="U289">
        <v>3.1</v>
      </c>
      <c r="V289">
        <v>23.3</v>
      </c>
      <c r="W289">
        <v>11.3</v>
      </c>
      <c r="X289">
        <v>21.5</v>
      </c>
      <c r="Y289">
        <v>7.1</v>
      </c>
      <c r="Z289">
        <v>8.8000000000000007</v>
      </c>
      <c r="AA289">
        <v>14.7</v>
      </c>
      <c r="AB289">
        <f t="shared" si="8"/>
        <v>240.6</v>
      </c>
      <c r="AC289">
        <v>249.4</v>
      </c>
      <c r="AD289">
        <v>13</v>
      </c>
      <c r="AE289">
        <f t="shared" si="9"/>
        <v>10</v>
      </c>
      <c r="AF289">
        <v>9</v>
      </c>
      <c r="AG289">
        <v>4</v>
      </c>
      <c r="AH289">
        <v>2</v>
      </c>
      <c r="AI289">
        <v>0</v>
      </c>
      <c r="AJ289">
        <v>0.58823529411764708</v>
      </c>
      <c r="AK289">
        <v>0.52941176470588236</v>
      </c>
      <c r="AL289">
        <v>0.23529411764705882</v>
      </c>
      <c r="AM289">
        <v>0.11764705882352941</v>
      </c>
      <c r="AN289">
        <v>0</v>
      </c>
    </row>
    <row r="290" spans="1:40" x14ac:dyDescent="0.25">
      <c r="A290">
        <v>2025</v>
      </c>
      <c r="B290" t="s">
        <v>331</v>
      </c>
      <c r="C290" t="str">
        <f>IF(COUNTIF('Rookies 22-25'!$B$198:$B$349,E290)&gt;0,"(R)","No")</f>
        <v>(R)</v>
      </c>
      <c r="D290">
        <v>14</v>
      </c>
      <c r="E290" t="s">
        <v>345</v>
      </c>
      <c r="F290" t="s">
        <v>57</v>
      </c>
      <c r="G290">
        <f>VLOOKUP(E290,'25 Draft ADP'!$B$3:$D$505,3,FALSE)</f>
        <v>197</v>
      </c>
      <c r="H290">
        <v>14</v>
      </c>
      <c r="I290" t="s">
        <v>33</v>
      </c>
      <c r="J290">
        <v>-0.3</v>
      </c>
      <c r="K290">
        <v>0.3</v>
      </c>
      <c r="L290">
        <v>19.8</v>
      </c>
      <c r="M290">
        <v>17.600000000000001</v>
      </c>
      <c r="N290">
        <v>23.6</v>
      </c>
      <c r="O290">
        <v>29.4</v>
      </c>
      <c r="P290">
        <v>19.399999999999999</v>
      </c>
      <c r="Q290">
        <v>27.2</v>
      </c>
      <c r="R290">
        <v>26.3</v>
      </c>
      <c r="S290" t="s">
        <v>33</v>
      </c>
      <c r="T290" t="s">
        <v>33</v>
      </c>
      <c r="U290">
        <v>13.6</v>
      </c>
      <c r="V290" t="s">
        <v>22</v>
      </c>
      <c r="W290">
        <v>23.1</v>
      </c>
      <c r="X290">
        <v>1</v>
      </c>
      <c r="Y290">
        <v>25.1</v>
      </c>
      <c r="Z290">
        <v>20.399999999999999</v>
      </c>
      <c r="AA290">
        <v>17.600000000000001</v>
      </c>
      <c r="AB290">
        <f t="shared" si="8"/>
        <v>226.2</v>
      </c>
      <c r="AC290">
        <v>246.6</v>
      </c>
      <c r="AD290">
        <v>14</v>
      </c>
      <c r="AE290">
        <f t="shared" si="9"/>
        <v>10</v>
      </c>
      <c r="AF290">
        <v>10</v>
      </c>
      <c r="AG290">
        <v>7</v>
      </c>
      <c r="AH290">
        <v>4</v>
      </c>
      <c r="AI290">
        <v>0</v>
      </c>
      <c r="AJ290">
        <v>0.6470588235294118</v>
      </c>
      <c r="AK290">
        <v>0.7142857142857143</v>
      </c>
      <c r="AL290">
        <v>0.5</v>
      </c>
      <c r="AM290">
        <v>0.2857142857142857</v>
      </c>
      <c r="AN290">
        <v>0</v>
      </c>
    </row>
    <row r="291" spans="1:40" x14ac:dyDescent="0.25">
      <c r="A291">
        <v>2025</v>
      </c>
      <c r="B291" t="s">
        <v>331</v>
      </c>
      <c r="C291" t="str">
        <f>IF(COUNTIF('Rookies 22-25'!$B$198:$B$349,E291)&gt;0,"(R)","No")</f>
        <v>No</v>
      </c>
      <c r="D291">
        <v>15</v>
      </c>
      <c r="E291" t="s">
        <v>346</v>
      </c>
      <c r="F291" t="s">
        <v>69</v>
      </c>
      <c r="G291">
        <f>VLOOKUP(E291,'25 Draft ADP'!$B$3:$D$505,3,FALSE)</f>
        <v>126</v>
      </c>
      <c r="H291">
        <v>15</v>
      </c>
      <c r="I291">
        <v>15.9</v>
      </c>
      <c r="J291">
        <v>20.9</v>
      </c>
      <c r="K291">
        <v>12.1</v>
      </c>
      <c r="L291">
        <v>26.3</v>
      </c>
      <c r="M291" t="s">
        <v>22</v>
      </c>
      <c r="N291">
        <v>16</v>
      </c>
      <c r="O291">
        <v>13.4</v>
      </c>
      <c r="P291">
        <v>28.3</v>
      </c>
      <c r="Q291">
        <v>10</v>
      </c>
      <c r="R291">
        <v>7.8</v>
      </c>
      <c r="S291">
        <v>17.7</v>
      </c>
      <c r="T291">
        <v>7.1</v>
      </c>
      <c r="U291">
        <v>25.8</v>
      </c>
      <c r="V291">
        <v>20.3</v>
      </c>
      <c r="W291">
        <v>15.9</v>
      </c>
      <c r="X291">
        <v>3.8</v>
      </c>
      <c r="Y291" t="s">
        <v>33</v>
      </c>
      <c r="Z291">
        <v>0</v>
      </c>
      <c r="AA291">
        <v>16.100000000000001</v>
      </c>
      <c r="AB291">
        <f t="shared" si="8"/>
        <v>241.1</v>
      </c>
      <c r="AC291">
        <v>241.1</v>
      </c>
      <c r="AD291">
        <v>15</v>
      </c>
      <c r="AE291">
        <f t="shared" si="9"/>
        <v>11</v>
      </c>
      <c r="AF291">
        <v>9</v>
      </c>
      <c r="AG291">
        <v>5</v>
      </c>
      <c r="AH291">
        <v>3</v>
      </c>
      <c r="AI291">
        <v>0</v>
      </c>
      <c r="AJ291">
        <v>0.6470588235294118</v>
      </c>
      <c r="AK291">
        <v>0.6</v>
      </c>
      <c r="AL291">
        <v>0.33333333333333331</v>
      </c>
      <c r="AM291">
        <v>0.2</v>
      </c>
      <c r="AN291">
        <v>0</v>
      </c>
    </row>
    <row r="292" spans="1:40" x14ac:dyDescent="0.25">
      <c r="A292">
        <v>2025</v>
      </c>
      <c r="B292" t="s">
        <v>331</v>
      </c>
      <c r="C292" t="str">
        <f>IF(COUNTIF('Rookies 22-25'!$B$198:$B$349,E292)&gt;0,"(R)","No")</f>
        <v>No</v>
      </c>
      <c r="D292">
        <v>16</v>
      </c>
      <c r="E292" t="s">
        <v>347</v>
      </c>
      <c r="F292" t="s">
        <v>21</v>
      </c>
      <c r="G292">
        <f>VLOOKUP(E292,'25 Draft ADP'!$B$3:$D$505,3,FALSE)</f>
        <v>459</v>
      </c>
      <c r="H292">
        <v>14</v>
      </c>
      <c r="I292" t="s">
        <v>33</v>
      </c>
      <c r="J292">
        <v>0.2</v>
      </c>
      <c r="K292" t="s">
        <v>33</v>
      </c>
      <c r="L292" t="s">
        <v>33</v>
      </c>
      <c r="M292">
        <v>0</v>
      </c>
      <c r="N292">
        <v>21.7</v>
      </c>
      <c r="O292">
        <v>19.8</v>
      </c>
      <c r="P292" t="s">
        <v>22</v>
      </c>
      <c r="Q292">
        <v>24.8</v>
      </c>
      <c r="R292">
        <v>19.399999999999999</v>
      </c>
      <c r="S292">
        <v>23.9</v>
      </c>
      <c r="T292">
        <v>18.7</v>
      </c>
      <c r="U292">
        <v>20.6</v>
      </c>
      <c r="V292">
        <v>20</v>
      </c>
      <c r="W292">
        <v>21.6</v>
      </c>
      <c r="X292">
        <v>11.6</v>
      </c>
      <c r="Y292">
        <v>16.5</v>
      </c>
      <c r="Z292">
        <v>16.600000000000001</v>
      </c>
      <c r="AA292">
        <v>16.8</v>
      </c>
      <c r="AB292">
        <f t="shared" si="8"/>
        <v>218.8</v>
      </c>
      <c r="AC292">
        <v>235.4</v>
      </c>
      <c r="AD292">
        <v>16</v>
      </c>
      <c r="AE292">
        <f t="shared" si="9"/>
        <v>11</v>
      </c>
      <c r="AF292">
        <v>11</v>
      </c>
      <c r="AG292">
        <v>5</v>
      </c>
      <c r="AH292">
        <v>0</v>
      </c>
      <c r="AI292">
        <v>0</v>
      </c>
      <c r="AJ292">
        <v>0.70588235294117652</v>
      </c>
      <c r="AK292">
        <v>0.7857142857142857</v>
      </c>
      <c r="AL292">
        <v>0.35714285714285715</v>
      </c>
      <c r="AM292">
        <v>0</v>
      </c>
      <c r="AN292">
        <v>0</v>
      </c>
    </row>
    <row r="293" spans="1:40" x14ac:dyDescent="0.25">
      <c r="A293">
        <v>2025</v>
      </c>
      <c r="B293" t="s">
        <v>331</v>
      </c>
      <c r="C293" t="str">
        <f>IF(COUNTIF('Rookies 22-25'!$B$198:$B$349,E293)&gt;0,"(R)","No")</f>
        <v>No</v>
      </c>
      <c r="D293">
        <v>17</v>
      </c>
      <c r="E293" t="s">
        <v>348</v>
      </c>
      <c r="F293" t="s">
        <v>28</v>
      </c>
      <c r="G293">
        <f>VLOOKUP(E293,'25 Draft ADP'!$B$3:$D$505,3,FALSE)</f>
        <v>183</v>
      </c>
      <c r="H293">
        <v>13</v>
      </c>
      <c r="I293">
        <v>29.5</v>
      </c>
      <c r="J293">
        <v>22.8</v>
      </c>
      <c r="K293">
        <v>15.8</v>
      </c>
      <c r="L293">
        <v>12.4</v>
      </c>
      <c r="M293">
        <v>16.7</v>
      </c>
      <c r="N293">
        <v>23.5</v>
      </c>
      <c r="O293">
        <v>22.2</v>
      </c>
      <c r="P293">
        <v>23.2</v>
      </c>
      <c r="Q293">
        <v>17.100000000000001</v>
      </c>
      <c r="R293">
        <v>16.5</v>
      </c>
      <c r="S293" t="s">
        <v>22</v>
      </c>
      <c r="T293">
        <v>16.8</v>
      </c>
      <c r="U293">
        <v>16.100000000000001</v>
      </c>
      <c r="V293">
        <v>1.8</v>
      </c>
      <c r="W293" t="s">
        <v>33</v>
      </c>
      <c r="X293" t="s">
        <v>33</v>
      </c>
      <c r="Y293" t="s">
        <v>33</v>
      </c>
      <c r="Z293">
        <v>0</v>
      </c>
      <c r="AA293">
        <v>18</v>
      </c>
      <c r="AB293">
        <f t="shared" si="8"/>
        <v>234.4</v>
      </c>
      <c r="AC293">
        <v>234.4</v>
      </c>
      <c r="AD293">
        <v>17</v>
      </c>
      <c r="AE293">
        <f t="shared" si="9"/>
        <v>12</v>
      </c>
      <c r="AF293">
        <v>11</v>
      </c>
      <c r="AG293">
        <v>5</v>
      </c>
      <c r="AH293">
        <v>1</v>
      </c>
      <c r="AI293">
        <v>0</v>
      </c>
      <c r="AJ293">
        <v>0.70588235294117652</v>
      </c>
      <c r="AK293">
        <v>0.84615384615384615</v>
      </c>
      <c r="AL293">
        <v>0.38461538461538464</v>
      </c>
      <c r="AM293">
        <v>7.6923076923076927E-2</v>
      </c>
      <c r="AN293">
        <v>0</v>
      </c>
    </row>
    <row r="294" spans="1:40" x14ac:dyDescent="0.25">
      <c r="A294">
        <v>2025</v>
      </c>
      <c r="B294" t="s">
        <v>331</v>
      </c>
      <c r="C294" t="str">
        <f>IF(COUNTIF('Rookies 22-25'!$B$198:$B$349,E294)&gt;0,"(R)","No")</f>
        <v>No</v>
      </c>
      <c r="D294">
        <v>18</v>
      </c>
      <c r="E294" t="s">
        <v>349</v>
      </c>
      <c r="F294" t="s">
        <v>71</v>
      </c>
      <c r="G294">
        <f>VLOOKUP(E294,'25 Draft ADP'!$B$3:$D$505,3,FALSE)</f>
        <v>180</v>
      </c>
      <c r="H294">
        <v>16</v>
      </c>
      <c r="I294">
        <v>25.7</v>
      </c>
      <c r="J294">
        <v>12.4</v>
      </c>
      <c r="K294">
        <v>12.7</v>
      </c>
      <c r="L294">
        <v>12.8</v>
      </c>
      <c r="M294" t="s">
        <v>22</v>
      </c>
      <c r="N294">
        <v>17.5</v>
      </c>
      <c r="O294">
        <v>24.6</v>
      </c>
      <c r="P294">
        <v>16.8</v>
      </c>
      <c r="Q294">
        <v>12.1</v>
      </c>
      <c r="R294">
        <v>8.4</v>
      </c>
      <c r="S294">
        <v>9.4</v>
      </c>
      <c r="T294" t="s">
        <v>33</v>
      </c>
      <c r="U294">
        <v>2.7</v>
      </c>
      <c r="V294">
        <v>20.5</v>
      </c>
      <c r="W294">
        <v>17</v>
      </c>
      <c r="X294">
        <v>15.5</v>
      </c>
      <c r="Y294">
        <v>7.3</v>
      </c>
      <c r="Z294">
        <v>17.8</v>
      </c>
      <c r="AA294">
        <v>14.6</v>
      </c>
      <c r="AB294">
        <f t="shared" si="8"/>
        <v>215.29999999999998</v>
      </c>
      <c r="AC294">
        <v>233.1</v>
      </c>
      <c r="AD294">
        <v>18</v>
      </c>
      <c r="AE294">
        <f t="shared" si="9"/>
        <v>11</v>
      </c>
      <c r="AF294">
        <v>8</v>
      </c>
      <c r="AG294">
        <v>3</v>
      </c>
      <c r="AH294">
        <v>1</v>
      </c>
      <c r="AI294">
        <v>0</v>
      </c>
      <c r="AJ294">
        <v>0.70588235294117652</v>
      </c>
      <c r="AK294">
        <v>0.5</v>
      </c>
      <c r="AL294">
        <v>0.1875</v>
      </c>
      <c r="AM294">
        <v>6.25E-2</v>
      </c>
      <c r="AN294">
        <v>0</v>
      </c>
    </row>
    <row r="295" spans="1:40" x14ac:dyDescent="0.25">
      <c r="A295">
        <v>2025</v>
      </c>
      <c r="B295" t="s">
        <v>331</v>
      </c>
      <c r="C295" t="str">
        <f>IF(COUNTIF('Rookies 22-25'!$B$198:$B$349,E295)&gt;0,"(R)","No")</f>
        <v>No</v>
      </c>
      <c r="D295">
        <v>19</v>
      </c>
      <c r="E295" t="s">
        <v>350</v>
      </c>
      <c r="F295" t="s">
        <v>95</v>
      </c>
      <c r="G295">
        <f>VLOOKUP(E295,'25 Draft ADP'!$B$3:$D$505,3,FALSE)</f>
        <v>147</v>
      </c>
      <c r="H295">
        <v>16</v>
      </c>
      <c r="I295">
        <v>10.199999999999999</v>
      </c>
      <c r="J295">
        <v>22.3</v>
      </c>
      <c r="K295">
        <v>11.6</v>
      </c>
      <c r="L295">
        <v>10.3</v>
      </c>
      <c r="M295">
        <v>13</v>
      </c>
      <c r="N295">
        <v>19.5</v>
      </c>
      <c r="O295">
        <v>10.5</v>
      </c>
      <c r="P295" t="s">
        <v>33</v>
      </c>
      <c r="Q295">
        <v>4</v>
      </c>
      <c r="R295">
        <v>2.6</v>
      </c>
      <c r="S295">
        <v>31.8</v>
      </c>
      <c r="T295">
        <v>10.3</v>
      </c>
      <c r="U295">
        <v>22.5</v>
      </c>
      <c r="V295" t="s">
        <v>22</v>
      </c>
      <c r="W295">
        <v>15.4</v>
      </c>
      <c r="X295">
        <v>17.600000000000001</v>
      </c>
      <c r="Y295">
        <v>9.9</v>
      </c>
      <c r="Z295">
        <v>17.5</v>
      </c>
      <c r="AA295">
        <v>14.3</v>
      </c>
      <c r="AB295">
        <f t="shared" si="8"/>
        <v>211.5</v>
      </c>
      <c r="AC295">
        <v>229</v>
      </c>
      <c r="AD295">
        <v>19</v>
      </c>
      <c r="AE295">
        <f t="shared" si="9"/>
        <v>12</v>
      </c>
      <c r="AF295">
        <v>7</v>
      </c>
      <c r="AG295">
        <v>3</v>
      </c>
      <c r="AH295">
        <v>1</v>
      </c>
      <c r="AI295">
        <v>1</v>
      </c>
      <c r="AJ295">
        <v>0.76470588235294112</v>
      </c>
      <c r="AK295">
        <v>0.4375</v>
      </c>
      <c r="AL295">
        <v>0.1875</v>
      </c>
      <c r="AM295">
        <v>6.25E-2</v>
      </c>
      <c r="AN295">
        <v>6.25E-2</v>
      </c>
    </row>
    <row r="296" spans="1:40" x14ac:dyDescent="0.25">
      <c r="A296">
        <v>2025</v>
      </c>
      <c r="B296" t="s">
        <v>331</v>
      </c>
      <c r="C296" t="str">
        <f>IF(COUNTIF('Rookies 22-25'!$B$198:$B$349,E296)&gt;0,"(R)","No")</f>
        <v>No</v>
      </c>
      <c r="D296">
        <v>20</v>
      </c>
      <c r="E296" t="s">
        <v>351</v>
      </c>
      <c r="F296" t="s">
        <v>53</v>
      </c>
      <c r="G296">
        <f>VLOOKUP(E296,'25 Draft ADP'!$B$3:$D$505,3,FALSE)</f>
        <v>26</v>
      </c>
      <c r="H296">
        <v>13</v>
      </c>
      <c r="I296">
        <v>29.4</v>
      </c>
      <c r="J296">
        <v>26.3</v>
      </c>
      <c r="K296">
        <v>27</v>
      </c>
      <c r="L296">
        <v>11.7</v>
      </c>
      <c r="M296" t="s">
        <v>33</v>
      </c>
      <c r="N296" t="s">
        <v>33</v>
      </c>
      <c r="O296" t="s">
        <v>22</v>
      </c>
      <c r="P296" t="s">
        <v>33</v>
      </c>
      <c r="Q296">
        <v>25.6</v>
      </c>
      <c r="R296">
        <v>16.600000000000001</v>
      </c>
      <c r="S296">
        <v>6.7</v>
      </c>
      <c r="T296">
        <v>7.2</v>
      </c>
      <c r="U296">
        <v>7.5</v>
      </c>
      <c r="V296">
        <v>22.1</v>
      </c>
      <c r="W296">
        <v>15.6</v>
      </c>
      <c r="X296">
        <v>4.7</v>
      </c>
      <c r="Y296" t="s">
        <v>33</v>
      </c>
      <c r="Z296">
        <v>21.4</v>
      </c>
      <c r="AA296">
        <v>17.100000000000001</v>
      </c>
      <c r="AB296">
        <f t="shared" si="8"/>
        <v>200.5</v>
      </c>
      <c r="AC296">
        <v>221.9</v>
      </c>
      <c r="AD296">
        <v>20</v>
      </c>
      <c r="AE296">
        <f t="shared" si="9"/>
        <v>8</v>
      </c>
      <c r="AF296">
        <v>8</v>
      </c>
      <c r="AG296">
        <v>6</v>
      </c>
      <c r="AH296">
        <v>4</v>
      </c>
      <c r="AI296">
        <v>0</v>
      </c>
      <c r="AJ296">
        <v>0.52941176470588236</v>
      </c>
      <c r="AK296">
        <v>0.61538461538461542</v>
      </c>
      <c r="AL296">
        <v>0.46153846153846156</v>
      </c>
      <c r="AM296">
        <v>0.30769230769230771</v>
      </c>
      <c r="AN296">
        <v>0</v>
      </c>
    </row>
    <row r="297" spans="1:40" x14ac:dyDescent="0.25">
      <c r="A297">
        <v>2025</v>
      </c>
      <c r="B297" t="s">
        <v>331</v>
      </c>
      <c r="C297" t="str">
        <f>IF(COUNTIF('Rookies 22-25'!$B$198:$B$349,E297)&gt;0,"(R)","No")</f>
        <v>No</v>
      </c>
      <c r="D297">
        <v>21</v>
      </c>
      <c r="E297" t="s">
        <v>352</v>
      </c>
      <c r="F297" t="s">
        <v>41</v>
      </c>
      <c r="G297">
        <f>VLOOKUP(E297,'25 Draft ADP'!$B$3:$D$505,3,FALSE)</f>
        <v>124</v>
      </c>
      <c r="H297">
        <v>14</v>
      </c>
      <c r="I297">
        <v>9.6999999999999993</v>
      </c>
      <c r="J297">
        <v>15</v>
      </c>
      <c r="K297">
        <v>12.4</v>
      </c>
      <c r="L297">
        <v>18.399999999999999</v>
      </c>
      <c r="M297">
        <v>28.8</v>
      </c>
      <c r="N297" t="s">
        <v>22</v>
      </c>
      <c r="O297">
        <v>14.7</v>
      </c>
      <c r="P297">
        <v>22.7</v>
      </c>
      <c r="Q297">
        <v>4.4000000000000004</v>
      </c>
      <c r="R297" t="s">
        <v>33</v>
      </c>
      <c r="S297" t="s">
        <v>33</v>
      </c>
      <c r="T297" t="s">
        <v>33</v>
      </c>
      <c r="U297">
        <v>10</v>
      </c>
      <c r="V297">
        <v>12.6</v>
      </c>
      <c r="W297">
        <v>23.4</v>
      </c>
      <c r="X297">
        <v>11.5</v>
      </c>
      <c r="Y297">
        <v>15.8</v>
      </c>
      <c r="Z297">
        <v>17.3</v>
      </c>
      <c r="AA297">
        <v>15.5</v>
      </c>
      <c r="AB297">
        <f t="shared" si="8"/>
        <v>199.2</v>
      </c>
      <c r="AC297">
        <v>216.5</v>
      </c>
      <c r="AD297">
        <v>21</v>
      </c>
      <c r="AE297">
        <f t="shared" si="9"/>
        <v>10</v>
      </c>
      <c r="AF297">
        <v>6</v>
      </c>
      <c r="AG297">
        <v>3</v>
      </c>
      <c r="AH297">
        <v>1</v>
      </c>
      <c r="AI297">
        <v>0</v>
      </c>
      <c r="AJ297">
        <v>0.6470588235294118</v>
      </c>
      <c r="AK297">
        <v>0.42857142857142855</v>
      </c>
      <c r="AL297">
        <v>0.21428571428571427</v>
      </c>
      <c r="AM297">
        <v>7.1428571428571425E-2</v>
      </c>
      <c r="AN297">
        <v>0</v>
      </c>
    </row>
    <row r="298" spans="1:40" x14ac:dyDescent="0.25">
      <c r="A298">
        <v>2025</v>
      </c>
      <c r="B298" t="s">
        <v>331</v>
      </c>
      <c r="C298" t="str">
        <f>IF(COUNTIF('Rookies 22-25'!$B$198:$B$349,E298)&gt;0,"(R)","No")</f>
        <v>(R)</v>
      </c>
      <c r="D298">
        <v>22</v>
      </c>
      <c r="E298" t="s">
        <v>353</v>
      </c>
      <c r="F298" t="s">
        <v>63</v>
      </c>
      <c r="G298">
        <f>VLOOKUP(E298,'25 Draft ADP'!$B$3:$D$505,3,FALSE)</f>
        <v>152</v>
      </c>
      <c r="H298">
        <v>17</v>
      </c>
      <c r="I298">
        <v>2.5</v>
      </c>
      <c r="J298">
        <v>9.8000000000000007</v>
      </c>
      <c r="K298">
        <v>13</v>
      </c>
      <c r="L298">
        <v>5.5</v>
      </c>
      <c r="M298">
        <v>9</v>
      </c>
      <c r="N298">
        <v>7.9</v>
      </c>
      <c r="O298">
        <v>11.2</v>
      </c>
      <c r="P298">
        <v>13.8</v>
      </c>
      <c r="Q298">
        <v>6.4</v>
      </c>
      <c r="R298" t="s">
        <v>22</v>
      </c>
      <c r="S298">
        <v>13.1</v>
      </c>
      <c r="T298">
        <v>23.9</v>
      </c>
      <c r="U298">
        <v>6.3</v>
      </c>
      <c r="V298">
        <v>12.1</v>
      </c>
      <c r="W298">
        <v>15</v>
      </c>
      <c r="X298">
        <v>18</v>
      </c>
      <c r="Y298">
        <v>17</v>
      </c>
      <c r="Z298">
        <v>9.1999999999999993</v>
      </c>
      <c r="AA298">
        <v>11.4</v>
      </c>
      <c r="AB298">
        <f t="shared" si="8"/>
        <v>184.5</v>
      </c>
      <c r="AC298">
        <v>193.7</v>
      </c>
      <c r="AD298">
        <v>22</v>
      </c>
      <c r="AE298">
        <f t="shared" si="9"/>
        <v>9</v>
      </c>
      <c r="AF298">
        <v>3</v>
      </c>
      <c r="AG298">
        <v>1</v>
      </c>
      <c r="AH298">
        <v>0</v>
      </c>
      <c r="AI298">
        <v>0</v>
      </c>
      <c r="AJ298">
        <v>0.52941176470588236</v>
      </c>
      <c r="AK298">
        <v>0.17647058823529413</v>
      </c>
      <c r="AL298">
        <v>5.8823529411764705E-2</v>
      </c>
      <c r="AM298">
        <v>0</v>
      </c>
      <c r="AN298">
        <v>0</v>
      </c>
    </row>
    <row r="299" spans="1:40" x14ac:dyDescent="0.25">
      <c r="A299">
        <v>2025</v>
      </c>
      <c r="B299" t="s">
        <v>331</v>
      </c>
      <c r="C299" t="str">
        <f>IF(COUNTIF('Rookies 22-25'!$B$198:$B$349,E299)&gt;0,"(R)","No")</f>
        <v>No</v>
      </c>
      <c r="D299">
        <v>23</v>
      </c>
      <c r="E299" t="s">
        <v>354</v>
      </c>
      <c r="F299" t="s">
        <v>43</v>
      </c>
      <c r="G299">
        <f>VLOOKUP(E299,'25 Draft ADP'!$B$3:$D$505,3,FALSE)</f>
        <v>157</v>
      </c>
      <c r="H299">
        <v>15</v>
      </c>
      <c r="I299">
        <v>18.5</v>
      </c>
      <c r="J299">
        <v>6.2</v>
      </c>
      <c r="K299">
        <v>26.1</v>
      </c>
      <c r="L299">
        <v>12.8</v>
      </c>
      <c r="M299">
        <v>7.9</v>
      </c>
      <c r="N299">
        <v>9.6999999999999993</v>
      </c>
      <c r="O299">
        <v>2.8</v>
      </c>
      <c r="P299" t="s">
        <v>22</v>
      </c>
      <c r="Q299">
        <v>27.3</v>
      </c>
      <c r="R299">
        <v>5.4</v>
      </c>
      <c r="S299">
        <v>13.9</v>
      </c>
      <c r="T299">
        <v>14.2</v>
      </c>
      <c r="U299">
        <v>13</v>
      </c>
      <c r="V299">
        <v>9</v>
      </c>
      <c r="W299" t="s">
        <v>33</v>
      </c>
      <c r="X299">
        <v>15</v>
      </c>
      <c r="Y299">
        <v>9.1</v>
      </c>
      <c r="Z299">
        <v>0</v>
      </c>
      <c r="AA299">
        <v>12.7</v>
      </c>
      <c r="AB299">
        <f t="shared" si="8"/>
        <v>190.9</v>
      </c>
      <c r="AC299">
        <v>190.9</v>
      </c>
      <c r="AD299">
        <v>23</v>
      </c>
      <c r="AE299">
        <f t="shared" si="9"/>
        <v>8</v>
      </c>
      <c r="AF299">
        <v>3</v>
      </c>
      <c r="AG299">
        <v>2</v>
      </c>
      <c r="AH299">
        <v>2</v>
      </c>
      <c r="AI299">
        <v>0</v>
      </c>
      <c r="AJ299">
        <v>0.47058823529411764</v>
      </c>
      <c r="AK299">
        <v>0.2</v>
      </c>
      <c r="AL299">
        <v>0.13333333333333333</v>
      </c>
      <c r="AM299">
        <v>0.13333333333333333</v>
      </c>
      <c r="AN299">
        <v>0</v>
      </c>
    </row>
    <row r="300" spans="1:40" x14ac:dyDescent="0.25">
      <c r="A300">
        <v>2025</v>
      </c>
      <c r="B300" t="s">
        <v>331</v>
      </c>
      <c r="C300" t="str">
        <f>IF(COUNTIF('Rookies 22-25'!$B$198:$B$349,E300)&gt;0,"(R)","No")</f>
        <v>No</v>
      </c>
      <c r="D300">
        <v>24</v>
      </c>
      <c r="E300" t="s">
        <v>355</v>
      </c>
      <c r="F300" t="s">
        <v>47</v>
      </c>
      <c r="G300">
        <f>VLOOKUP(E300,'25 Draft ADP'!$B$3:$D$505,3,FALSE)</f>
        <v>101</v>
      </c>
      <c r="H300">
        <v>9</v>
      </c>
      <c r="I300">
        <v>18.8</v>
      </c>
      <c r="J300" t="s">
        <v>33</v>
      </c>
      <c r="K300" t="s">
        <v>33</v>
      </c>
      <c r="L300">
        <v>19.7</v>
      </c>
      <c r="M300" t="s">
        <v>33</v>
      </c>
      <c r="N300" t="s">
        <v>33</v>
      </c>
      <c r="O300" t="s">
        <v>33</v>
      </c>
      <c r="P300" t="s">
        <v>33</v>
      </c>
      <c r="Q300" t="s">
        <v>33</v>
      </c>
      <c r="R300" t="s">
        <v>33</v>
      </c>
      <c r="S300">
        <v>19.3</v>
      </c>
      <c r="T300">
        <v>10.3</v>
      </c>
      <c r="U300">
        <v>17.100000000000001</v>
      </c>
      <c r="V300" t="s">
        <v>22</v>
      </c>
      <c r="W300">
        <v>26.2</v>
      </c>
      <c r="X300">
        <v>31.9</v>
      </c>
      <c r="Y300">
        <v>37.9</v>
      </c>
      <c r="Z300">
        <v>6.2</v>
      </c>
      <c r="AA300">
        <v>20.8</v>
      </c>
      <c r="AB300">
        <f t="shared" si="8"/>
        <v>181.20000000000002</v>
      </c>
      <c r="AC300">
        <v>187.4</v>
      </c>
      <c r="AD300">
        <v>24</v>
      </c>
      <c r="AE300">
        <f t="shared" si="9"/>
        <v>8</v>
      </c>
      <c r="AF300">
        <v>7</v>
      </c>
      <c r="AG300">
        <v>3</v>
      </c>
      <c r="AH300">
        <v>3</v>
      </c>
      <c r="AI300">
        <v>2</v>
      </c>
      <c r="AJ300">
        <v>0.47058823529411764</v>
      </c>
      <c r="AK300">
        <v>0.77777777777777779</v>
      </c>
      <c r="AL300">
        <v>0.33333333333333331</v>
      </c>
      <c r="AM300">
        <v>0.33333333333333331</v>
      </c>
      <c r="AN300">
        <v>0.22222222222222221</v>
      </c>
    </row>
    <row r="301" spans="1:40" x14ac:dyDescent="0.25">
      <c r="A301">
        <v>2025</v>
      </c>
      <c r="B301" t="s">
        <v>331</v>
      </c>
      <c r="C301" t="str">
        <f>IF(COUNTIF('Rookies 22-25'!$B$198:$B$349,E301)&gt;0,"(R)","No")</f>
        <v>No</v>
      </c>
      <c r="D301">
        <v>25</v>
      </c>
      <c r="E301" t="s">
        <v>356</v>
      </c>
      <c r="F301" t="s">
        <v>84</v>
      </c>
      <c r="G301">
        <f>VLOOKUP(E301,'25 Draft ADP'!$B$3:$D$505,3,FALSE)</f>
        <v>146</v>
      </c>
      <c r="H301">
        <v>14</v>
      </c>
      <c r="I301">
        <v>7.3</v>
      </c>
      <c r="J301">
        <v>19.600000000000001</v>
      </c>
      <c r="K301">
        <v>13.8</v>
      </c>
      <c r="L301">
        <v>15.7</v>
      </c>
      <c r="M301">
        <v>22.7</v>
      </c>
      <c r="N301">
        <v>9.6</v>
      </c>
      <c r="O301">
        <v>1.6</v>
      </c>
      <c r="P301">
        <v>24.2</v>
      </c>
      <c r="Q301">
        <v>9.5</v>
      </c>
      <c r="R301">
        <v>12.8</v>
      </c>
      <c r="S301">
        <v>6.8</v>
      </c>
      <c r="T301" t="s">
        <v>22</v>
      </c>
      <c r="U301">
        <v>5.7</v>
      </c>
      <c r="V301">
        <v>9.1</v>
      </c>
      <c r="W301">
        <v>17.2</v>
      </c>
      <c r="X301" t="s">
        <v>33</v>
      </c>
      <c r="Y301" t="s">
        <v>33</v>
      </c>
      <c r="Z301">
        <v>0</v>
      </c>
      <c r="AA301">
        <v>12.6</v>
      </c>
      <c r="AB301">
        <f t="shared" si="8"/>
        <v>175.7</v>
      </c>
      <c r="AC301">
        <v>175.7</v>
      </c>
      <c r="AD301">
        <v>25</v>
      </c>
      <c r="AE301">
        <f t="shared" si="9"/>
        <v>7</v>
      </c>
      <c r="AF301">
        <v>5</v>
      </c>
      <c r="AG301">
        <v>2</v>
      </c>
      <c r="AH301">
        <v>0</v>
      </c>
      <c r="AI301">
        <v>0</v>
      </c>
      <c r="AJ301">
        <v>0.41176470588235292</v>
      </c>
      <c r="AK301">
        <v>0.35714285714285715</v>
      </c>
      <c r="AL301">
        <v>0.14285714285714285</v>
      </c>
      <c r="AM301">
        <v>0</v>
      </c>
      <c r="AN301">
        <v>0</v>
      </c>
    </row>
    <row r="302" spans="1:40" x14ac:dyDescent="0.25">
      <c r="A302">
        <v>2025</v>
      </c>
      <c r="B302" t="s">
        <v>331</v>
      </c>
      <c r="C302" t="str">
        <f>IF(COUNTIF('Rookies 22-25'!$B$198:$B$349,E302)&gt;0,"(R)","No")</f>
        <v>(R)</v>
      </c>
      <c r="D302">
        <v>26</v>
      </c>
      <c r="E302" t="s">
        <v>357</v>
      </c>
      <c r="F302" t="s">
        <v>37</v>
      </c>
      <c r="G302">
        <f>VLOOKUP(E302,'25 Draft ADP'!$B$3:$D$505,3,FALSE)</f>
        <v>241</v>
      </c>
      <c r="H302">
        <v>11</v>
      </c>
      <c r="I302" t="s">
        <v>33</v>
      </c>
      <c r="J302" t="s">
        <v>33</v>
      </c>
      <c r="K302">
        <v>0</v>
      </c>
      <c r="L302" t="s">
        <v>33</v>
      </c>
      <c r="M302" t="s">
        <v>33</v>
      </c>
      <c r="N302" t="s">
        <v>33</v>
      </c>
      <c r="O302" t="s">
        <v>33</v>
      </c>
      <c r="P302">
        <v>5.3</v>
      </c>
      <c r="Q302">
        <v>10.199999999999999</v>
      </c>
      <c r="R302">
        <v>19</v>
      </c>
      <c r="S302" t="s">
        <v>22</v>
      </c>
      <c r="T302">
        <v>8.9</v>
      </c>
      <c r="U302">
        <v>18.399999999999999</v>
      </c>
      <c r="V302">
        <v>22.3</v>
      </c>
      <c r="W302">
        <v>18.100000000000001</v>
      </c>
      <c r="X302">
        <v>17.100000000000001</v>
      </c>
      <c r="Y302">
        <v>21.9</v>
      </c>
      <c r="Z302">
        <v>22.8</v>
      </c>
      <c r="AA302">
        <v>14.9</v>
      </c>
      <c r="AB302">
        <f t="shared" si="8"/>
        <v>141.19999999999999</v>
      </c>
      <c r="AC302">
        <v>164</v>
      </c>
      <c r="AD302">
        <v>26</v>
      </c>
      <c r="AE302">
        <f t="shared" si="9"/>
        <v>7</v>
      </c>
      <c r="AF302">
        <v>7</v>
      </c>
      <c r="AG302">
        <v>3</v>
      </c>
      <c r="AH302">
        <v>0</v>
      </c>
      <c r="AI302">
        <v>0</v>
      </c>
      <c r="AJ302">
        <v>0.47058823529411764</v>
      </c>
      <c r="AK302">
        <v>0.63636363636363635</v>
      </c>
      <c r="AL302">
        <v>0.27272727272727271</v>
      </c>
      <c r="AM302">
        <v>0</v>
      </c>
      <c r="AN302">
        <v>0</v>
      </c>
    </row>
    <row r="303" spans="1:40" x14ac:dyDescent="0.25">
      <c r="A303">
        <v>2025</v>
      </c>
      <c r="B303" t="s">
        <v>331</v>
      </c>
      <c r="C303" t="str">
        <f>IF(COUNTIF('Rookies 22-25'!$B$198:$B$349,E303)&gt;0,"(R)","No")</f>
        <v>No</v>
      </c>
      <c r="D303">
        <v>27</v>
      </c>
      <c r="E303" t="s">
        <v>358</v>
      </c>
      <c r="F303" t="s">
        <v>89</v>
      </c>
      <c r="G303">
        <f>VLOOKUP(E303,'25 Draft ADP'!$B$3:$D$505,3,FALSE)</f>
        <v>210</v>
      </c>
      <c r="H303">
        <v>13</v>
      </c>
      <c r="I303">
        <v>14.2</v>
      </c>
      <c r="J303">
        <v>9.8000000000000007</v>
      </c>
      <c r="K303">
        <v>4.7</v>
      </c>
      <c r="L303">
        <v>3.3</v>
      </c>
      <c r="M303" t="s">
        <v>33</v>
      </c>
      <c r="N303">
        <v>18.8</v>
      </c>
      <c r="O303">
        <v>26</v>
      </c>
      <c r="P303">
        <v>24.3</v>
      </c>
      <c r="Q303">
        <v>32.700000000000003</v>
      </c>
      <c r="R303" t="s">
        <v>22</v>
      </c>
      <c r="S303">
        <v>10.9</v>
      </c>
      <c r="T303">
        <v>10.6</v>
      </c>
      <c r="U303" t="s">
        <v>33</v>
      </c>
      <c r="V303" t="s">
        <v>33</v>
      </c>
      <c r="W303" t="s">
        <v>33</v>
      </c>
      <c r="X303">
        <v>0.2</v>
      </c>
      <c r="Y303">
        <v>1.2</v>
      </c>
      <c r="Z303">
        <v>0.2</v>
      </c>
      <c r="AA303">
        <v>12.1</v>
      </c>
      <c r="AB303">
        <f t="shared" si="8"/>
        <v>156.5</v>
      </c>
      <c r="AC303">
        <v>156.69999999999999</v>
      </c>
      <c r="AD303">
        <v>27</v>
      </c>
      <c r="AE303">
        <f t="shared" si="9"/>
        <v>7</v>
      </c>
      <c r="AF303">
        <v>4</v>
      </c>
      <c r="AG303">
        <v>3</v>
      </c>
      <c r="AH303">
        <v>2</v>
      </c>
      <c r="AI303">
        <v>1</v>
      </c>
      <c r="AJ303">
        <v>0.41176470588235292</v>
      </c>
      <c r="AK303">
        <v>0.30769230769230771</v>
      </c>
      <c r="AL303">
        <v>0.23076923076923078</v>
      </c>
      <c r="AM303">
        <v>0.15384615384615385</v>
      </c>
      <c r="AN303">
        <v>7.6923076923076927E-2</v>
      </c>
    </row>
    <row r="304" spans="1:40" x14ac:dyDescent="0.25">
      <c r="A304">
        <v>2025</v>
      </c>
      <c r="B304" t="s">
        <v>331</v>
      </c>
      <c r="C304" t="str">
        <f>IF(COUNTIF('Rookies 22-25'!$B$198:$B$349,E304)&gt;0,"(R)","No")</f>
        <v>No</v>
      </c>
      <c r="D304">
        <v>28</v>
      </c>
      <c r="E304" t="s">
        <v>359</v>
      </c>
      <c r="F304" t="s">
        <v>82</v>
      </c>
      <c r="G304">
        <f>VLOOKUP(E304,'25 Draft ADP'!$B$3:$D$505,3,FALSE)</f>
        <v>104</v>
      </c>
      <c r="H304">
        <v>9</v>
      </c>
      <c r="I304">
        <v>29.5</v>
      </c>
      <c r="J304">
        <v>4</v>
      </c>
      <c r="K304" t="s">
        <v>33</v>
      </c>
      <c r="L304">
        <v>27.1</v>
      </c>
      <c r="M304">
        <v>25.9</v>
      </c>
      <c r="N304">
        <v>4.9000000000000004</v>
      </c>
      <c r="O304">
        <v>4</v>
      </c>
      <c r="P304">
        <v>20.9</v>
      </c>
      <c r="Q304" t="s">
        <v>22</v>
      </c>
      <c r="R304">
        <v>8</v>
      </c>
      <c r="S304">
        <v>19.3</v>
      </c>
      <c r="T304" t="s">
        <v>33</v>
      </c>
      <c r="U304" t="s">
        <v>33</v>
      </c>
      <c r="V304" t="s">
        <v>33</v>
      </c>
      <c r="W304" t="s">
        <v>33</v>
      </c>
      <c r="X304" t="s">
        <v>33</v>
      </c>
      <c r="Y304" t="s">
        <v>33</v>
      </c>
      <c r="Z304">
        <v>0</v>
      </c>
      <c r="AA304">
        <v>16</v>
      </c>
      <c r="AB304">
        <f t="shared" si="8"/>
        <v>143.69999999999999</v>
      </c>
      <c r="AC304">
        <v>143.69999999999999</v>
      </c>
      <c r="AD304">
        <v>28</v>
      </c>
      <c r="AE304">
        <f t="shared" si="9"/>
        <v>5</v>
      </c>
      <c r="AF304">
        <v>5</v>
      </c>
      <c r="AG304">
        <v>4</v>
      </c>
      <c r="AH304">
        <v>3</v>
      </c>
      <c r="AI304">
        <v>0</v>
      </c>
      <c r="AJ304">
        <v>0.29411764705882354</v>
      </c>
      <c r="AK304">
        <v>0.55555555555555558</v>
      </c>
      <c r="AL304">
        <v>0.44444444444444442</v>
      </c>
      <c r="AM304">
        <v>0.33333333333333331</v>
      </c>
      <c r="AN304">
        <v>0</v>
      </c>
    </row>
    <row r="305" spans="1:40" x14ac:dyDescent="0.25">
      <c r="A305">
        <v>2025</v>
      </c>
      <c r="B305" t="s">
        <v>331</v>
      </c>
      <c r="C305" t="str">
        <f>IF(COUNTIF('Rookies 22-25'!$B$198:$B$349,E305)&gt;0,"(R)","No")</f>
        <v>No</v>
      </c>
      <c r="D305">
        <v>29</v>
      </c>
      <c r="E305" t="s">
        <v>360</v>
      </c>
      <c r="F305" t="s">
        <v>89</v>
      </c>
      <c r="G305">
        <f>VLOOKUP(E305,'25 Draft ADP'!$B$3:$D$505,3,FALSE)</f>
        <v>45</v>
      </c>
      <c r="H305">
        <v>8</v>
      </c>
      <c r="I305">
        <v>8.8000000000000007</v>
      </c>
      <c r="J305">
        <v>7</v>
      </c>
      <c r="K305" t="s">
        <v>33</v>
      </c>
      <c r="L305" t="s">
        <v>33</v>
      </c>
      <c r="M305" t="s">
        <v>33</v>
      </c>
      <c r="N305" t="s">
        <v>33</v>
      </c>
      <c r="O305" t="s">
        <v>33</v>
      </c>
      <c r="P305" t="s">
        <v>33</v>
      </c>
      <c r="Q305" t="s">
        <v>33</v>
      </c>
      <c r="R305" t="s">
        <v>22</v>
      </c>
      <c r="S305" t="s">
        <v>33</v>
      </c>
      <c r="T305" t="s">
        <v>33</v>
      </c>
      <c r="U305">
        <v>19.2</v>
      </c>
      <c r="V305">
        <v>25.4</v>
      </c>
      <c r="W305">
        <v>7.5</v>
      </c>
      <c r="X305">
        <v>29</v>
      </c>
      <c r="Y305">
        <v>20.399999999999999</v>
      </c>
      <c r="Z305">
        <v>22.1</v>
      </c>
      <c r="AA305">
        <v>17.399999999999999</v>
      </c>
      <c r="AB305">
        <f t="shared" si="8"/>
        <v>117.4</v>
      </c>
      <c r="AC305">
        <v>139.5</v>
      </c>
      <c r="AD305">
        <v>29</v>
      </c>
      <c r="AE305">
        <f t="shared" si="9"/>
        <v>4</v>
      </c>
      <c r="AF305">
        <v>5</v>
      </c>
      <c r="AG305">
        <v>4</v>
      </c>
      <c r="AH305">
        <v>2</v>
      </c>
      <c r="AI305">
        <v>0</v>
      </c>
      <c r="AJ305">
        <v>0.29411764705882354</v>
      </c>
      <c r="AK305">
        <v>0.625</v>
      </c>
      <c r="AL305">
        <v>0.5</v>
      </c>
      <c r="AM305">
        <v>0.25</v>
      </c>
      <c r="AN305">
        <v>0</v>
      </c>
    </row>
    <row r="306" spans="1:40" x14ac:dyDescent="0.25">
      <c r="A306">
        <v>2025</v>
      </c>
      <c r="B306" t="s">
        <v>331</v>
      </c>
      <c r="C306" t="str">
        <f>IF(COUNTIF('Rookies 22-25'!$B$198:$B$349,E306)&gt;0,"(R)","No")</f>
        <v>No</v>
      </c>
      <c r="D306">
        <v>30</v>
      </c>
      <c r="E306" t="s">
        <v>361</v>
      </c>
      <c r="F306" t="s">
        <v>73</v>
      </c>
      <c r="G306">
        <f>VLOOKUP(E306,'25 Draft ADP'!$B$3:$D$505,3,FALSE)</f>
        <v>123</v>
      </c>
      <c r="H306">
        <v>10</v>
      </c>
      <c r="I306">
        <v>23.2</v>
      </c>
      <c r="J306">
        <v>4.8</v>
      </c>
      <c r="K306" t="s">
        <v>33</v>
      </c>
      <c r="L306" t="s">
        <v>33</v>
      </c>
      <c r="M306" t="s">
        <v>33</v>
      </c>
      <c r="N306" t="s">
        <v>22</v>
      </c>
      <c r="O306" t="s">
        <v>33</v>
      </c>
      <c r="P306" t="s">
        <v>33</v>
      </c>
      <c r="Q306">
        <v>19.899999999999999</v>
      </c>
      <c r="R306">
        <v>16.7</v>
      </c>
      <c r="S306">
        <v>8</v>
      </c>
      <c r="T306">
        <v>2.5</v>
      </c>
      <c r="U306" t="s">
        <v>33</v>
      </c>
      <c r="V306">
        <v>20.399999999999999</v>
      </c>
      <c r="W306">
        <v>24.5</v>
      </c>
      <c r="X306">
        <v>9.3000000000000007</v>
      </c>
      <c r="Y306" t="s">
        <v>33</v>
      </c>
      <c r="Z306">
        <v>8</v>
      </c>
      <c r="AA306">
        <v>13.7</v>
      </c>
      <c r="AB306">
        <f t="shared" si="8"/>
        <v>129.4</v>
      </c>
      <c r="AC306">
        <v>137.4</v>
      </c>
      <c r="AD306">
        <v>30</v>
      </c>
      <c r="AE306">
        <f t="shared" si="9"/>
        <v>5</v>
      </c>
      <c r="AF306">
        <v>5</v>
      </c>
      <c r="AG306">
        <v>3</v>
      </c>
      <c r="AH306">
        <v>0</v>
      </c>
      <c r="AI306">
        <v>0</v>
      </c>
      <c r="AJ306">
        <v>0.29411764705882354</v>
      </c>
      <c r="AK306">
        <v>0.5</v>
      </c>
      <c r="AL306">
        <v>0.3</v>
      </c>
      <c r="AM306">
        <v>0</v>
      </c>
      <c r="AN306">
        <v>0</v>
      </c>
    </row>
    <row r="307" spans="1:40" x14ac:dyDescent="0.25">
      <c r="A307">
        <v>2025</v>
      </c>
      <c r="B307" t="s">
        <v>331</v>
      </c>
      <c r="C307" t="str">
        <f>IF(COUNTIF('Rookies 22-25'!$B$198:$B$349,E307)&gt;0,"(R)","No")</f>
        <v>No</v>
      </c>
      <c r="D307">
        <v>31</v>
      </c>
      <c r="E307" t="s">
        <v>362</v>
      </c>
      <c r="F307" t="s">
        <v>47</v>
      </c>
      <c r="G307">
        <f>VLOOKUP(E307,'25 Draft ADP'!$B$3:$D$505,3,FALSE)</f>
        <v>401</v>
      </c>
      <c r="H307">
        <v>11</v>
      </c>
      <c r="I307" t="s">
        <v>33</v>
      </c>
      <c r="J307">
        <v>21.8</v>
      </c>
      <c r="K307">
        <v>14.3</v>
      </c>
      <c r="L307" t="s">
        <v>33</v>
      </c>
      <c r="M307">
        <v>22.2</v>
      </c>
      <c r="N307">
        <v>13.2</v>
      </c>
      <c r="O307">
        <v>6.2</v>
      </c>
      <c r="P307">
        <v>19</v>
      </c>
      <c r="Q307">
        <v>15.8</v>
      </c>
      <c r="R307">
        <v>24.1</v>
      </c>
      <c r="S307">
        <v>-0.3</v>
      </c>
      <c r="T307" t="s">
        <v>33</v>
      </c>
      <c r="U307">
        <v>0.2</v>
      </c>
      <c r="V307" t="s">
        <v>22</v>
      </c>
      <c r="W307" t="s">
        <v>33</v>
      </c>
      <c r="X307">
        <v>-0.3</v>
      </c>
      <c r="Y307" t="s">
        <v>33</v>
      </c>
      <c r="Z307">
        <v>0</v>
      </c>
      <c r="AA307">
        <v>12.4</v>
      </c>
      <c r="AB307">
        <f t="shared" si="8"/>
        <v>136</v>
      </c>
      <c r="AC307">
        <v>136</v>
      </c>
      <c r="AD307">
        <v>31</v>
      </c>
      <c r="AE307">
        <f t="shared" si="9"/>
        <v>7</v>
      </c>
      <c r="AF307">
        <v>5</v>
      </c>
      <c r="AG307">
        <v>3</v>
      </c>
      <c r="AH307">
        <v>0</v>
      </c>
      <c r="AI307">
        <v>0</v>
      </c>
      <c r="AJ307">
        <v>0.41176470588235292</v>
      </c>
      <c r="AK307">
        <v>0.45454545454545453</v>
      </c>
      <c r="AL307">
        <v>0.27272727272727271</v>
      </c>
      <c r="AM307">
        <v>0</v>
      </c>
      <c r="AN307">
        <v>0</v>
      </c>
    </row>
    <row r="308" spans="1:40" x14ac:dyDescent="0.25">
      <c r="A308">
        <v>2025</v>
      </c>
      <c r="B308" t="s">
        <v>331</v>
      </c>
      <c r="C308" t="str">
        <f>IF(COUNTIF('Rookies 22-25'!$B$198:$B$349,E308)&gt;0,"(R)","No")</f>
        <v>No</v>
      </c>
      <c r="D308">
        <v>32</v>
      </c>
      <c r="E308" t="s">
        <v>363</v>
      </c>
      <c r="F308" t="s">
        <v>59</v>
      </c>
      <c r="G308">
        <f>VLOOKUP(E308,'25 Draft ADP'!$B$3:$D$505,3,FALSE)</f>
        <v>421</v>
      </c>
      <c r="H308">
        <v>12</v>
      </c>
      <c r="I308">
        <v>0</v>
      </c>
      <c r="J308" t="s">
        <v>33</v>
      </c>
      <c r="K308">
        <v>20.3</v>
      </c>
      <c r="L308">
        <v>17.2</v>
      </c>
      <c r="M308" t="s">
        <v>33</v>
      </c>
      <c r="N308" t="s">
        <v>33</v>
      </c>
      <c r="O308">
        <v>4.9000000000000004</v>
      </c>
      <c r="P308">
        <v>13.3</v>
      </c>
      <c r="Q308">
        <v>0</v>
      </c>
      <c r="R308">
        <v>18.7</v>
      </c>
      <c r="S308">
        <v>16.399999999999999</v>
      </c>
      <c r="T308" t="s">
        <v>22</v>
      </c>
      <c r="U308">
        <v>24.3</v>
      </c>
      <c r="V308">
        <v>-1.1000000000000001</v>
      </c>
      <c r="W308">
        <v>14.7</v>
      </c>
      <c r="X308">
        <v>3.7</v>
      </c>
      <c r="Y308" t="s">
        <v>33</v>
      </c>
      <c r="Z308">
        <v>0</v>
      </c>
      <c r="AA308">
        <v>11</v>
      </c>
      <c r="AB308">
        <f t="shared" si="8"/>
        <v>132.5</v>
      </c>
      <c r="AC308">
        <v>132.5</v>
      </c>
      <c r="AD308">
        <v>32</v>
      </c>
      <c r="AE308">
        <f t="shared" si="9"/>
        <v>7</v>
      </c>
      <c r="AF308">
        <v>5</v>
      </c>
      <c r="AG308">
        <v>2</v>
      </c>
      <c r="AH308">
        <v>0</v>
      </c>
      <c r="AI308">
        <v>0</v>
      </c>
      <c r="AJ308">
        <v>0.41176470588235292</v>
      </c>
      <c r="AK308">
        <v>0.41666666666666669</v>
      </c>
      <c r="AL308">
        <v>0.16666666666666666</v>
      </c>
      <c r="AM308">
        <v>0</v>
      </c>
      <c r="AN308">
        <v>0</v>
      </c>
    </row>
    <row r="309" spans="1:40" x14ac:dyDescent="0.25">
      <c r="A309">
        <v>2025</v>
      </c>
      <c r="B309" t="s">
        <v>331</v>
      </c>
      <c r="C309" t="str">
        <f>IF(COUNTIF('Rookies 22-25'!$B$198:$B$349,E309)&gt;0,"(R)","No")</f>
        <v>No</v>
      </c>
      <c r="D309">
        <v>33</v>
      </c>
      <c r="E309" t="s">
        <v>364</v>
      </c>
      <c r="F309" t="s">
        <v>24</v>
      </c>
      <c r="G309">
        <f>VLOOKUP(E309,'25 Draft ADP'!$B$3:$D$505,3,FALSE)</f>
        <v>141</v>
      </c>
      <c r="H309">
        <v>9</v>
      </c>
      <c r="I309">
        <v>24</v>
      </c>
      <c r="J309">
        <v>5.3</v>
      </c>
      <c r="K309">
        <v>5.8</v>
      </c>
      <c r="L309">
        <v>19.7</v>
      </c>
      <c r="M309" t="s">
        <v>22</v>
      </c>
      <c r="N309">
        <v>14.6</v>
      </c>
      <c r="O309">
        <v>12.2</v>
      </c>
      <c r="P309" t="s">
        <v>33</v>
      </c>
      <c r="Q309">
        <v>22.7</v>
      </c>
      <c r="R309">
        <v>11</v>
      </c>
      <c r="S309">
        <v>7.9</v>
      </c>
      <c r="T309" t="s">
        <v>33</v>
      </c>
      <c r="U309" t="s">
        <v>33</v>
      </c>
      <c r="V309" t="s">
        <v>33</v>
      </c>
      <c r="W309" t="s">
        <v>33</v>
      </c>
      <c r="X309" t="s">
        <v>33</v>
      </c>
      <c r="Y309" t="s">
        <v>33</v>
      </c>
      <c r="Z309">
        <v>0</v>
      </c>
      <c r="AA309">
        <v>13.7</v>
      </c>
      <c r="AB309">
        <f t="shared" si="8"/>
        <v>123.3</v>
      </c>
      <c r="AC309">
        <v>123.3</v>
      </c>
      <c r="AD309">
        <v>33</v>
      </c>
      <c r="AE309">
        <f t="shared" si="9"/>
        <v>6</v>
      </c>
      <c r="AF309">
        <v>3</v>
      </c>
      <c r="AG309">
        <v>2</v>
      </c>
      <c r="AH309">
        <v>0</v>
      </c>
      <c r="AI309">
        <v>0</v>
      </c>
      <c r="AJ309">
        <v>0.35294117647058826</v>
      </c>
      <c r="AK309">
        <v>0.33333333333333331</v>
      </c>
      <c r="AL309">
        <v>0.22222222222222221</v>
      </c>
      <c r="AM309">
        <v>0</v>
      </c>
      <c r="AN309">
        <v>0</v>
      </c>
    </row>
    <row r="310" spans="1:40" x14ac:dyDescent="0.25">
      <c r="A310">
        <v>2025</v>
      </c>
      <c r="B310" t="s">
        <v>331</v>
      </c>
      <c r="C310" t="str">
        <f>IF(COUNTIF('Rookies 22-25'!$B$198:$B$349,E310)&gt;0,"(R)","No")</f>
        <v>No</v>
      </c>
      <c r="D310">
        <v>34</v>
      </c>
      <c r="E310" t="s">
        <v>365</v>
      </c>
      <c r="F310" t="s">
        <v>59</v>
      </c>
      <c r="G310">
        <f>VLOOKUP(E310,'25 Draft ADP'!$B$3:$D$505,3,FALSE)</f>
        <v>32</v>
      </c>
      <c r="H310">
        <v>7</v>
      </c>
      <c r="I310">
        <v>20.100000000000001</v>
      </c>
      <c r="J310">
        <v>19.7</v>
      </c>
      <c r="K310" t="s">
        <v>33</v>
      </c>
      <c r="L310" t="s">
        <v>33</v>
      </c>
      <c r="M310">
        <v>17.100000000000001</v>
      </c>
      <c r="N310">
        <v>22.6</v>
      </c>
      <c r="O310">
        <v>17.7</v>
      </c>
      <c r="P310" t="s">
        <v>33</v>
      </c>
      <c r="Q310">
        <v>16.2</v>
      </c>
      <c r="R310" t="s">
        <v>33</v>
      </c>
      <c r="S310" t="s">
        <v>33</v>
      </c>
      <c r="T310" t="s">
        <v>22</v>
      </c>
      <c r="U310" t="s">
        <v>33</v>
      </c>
      <c r="V310">
        <v>3.7</v>
      </c>
      <c r="W310" t="s">
        <v>33</v>
      </c>
      <c r="X310" t="s">
        <v>33</v>
      </c>
      <c r="Y310" t="s">
        <v>33</v>
      </c>
      <c r="Z310">
        <v>0</v>
      </c>
      <c r="AA310">
        <v>16.8</v>
      </c>
      <c r="AB310">
        <f t="shared" si="8"/>
        <v>117.3</v>
      </c>
      <c r="AC310">
        <v>117.3</v>
      </c>
      <c r="AD310">
        <v>34</v>
      </c>
      <c r="AE310">
        <f t="shared" si="9"/>
        <v>6</v>
      </c>
      <c r="AF310">
        <v>6</v>
      </c>
      <c r="AG310">
        <v>2</v>
      </c>
      <c r="AH310">
        <v>0</v>
      </c>
      <c r="AI310">
        <v>0</v>
      </c>
      <c r="AJ310">
        <v>0.35294117647058826</v>
      </c>
      <c r="AK310">
        <v>0.8571428571428571</v>
      </c>
      <c r="AL310">
        <v>0.2857142857142857</v>
      </c>
      <c r="AM310">
        <v>0</v>
      </c>
      <c r="AN310">
        <v>0</v>
      </c>
    </row>
    <row r="311" spans="1:40" x14ac:dyDescent="0.25">
      <c r="A311">
        <v>2025</v>
      </c>
      <c r="B311" t="s">
        <v>331</v>
      </c>
      <c r="C311" t="str">
        <f>IF(COUNTIF('Rookies 22-25'!$B$198:$B$349,E311)&gt;0,"(R)","No")</f>
        <v>No</v>
      </c>
      <c r="D311">
        <v>35</v>
      </c>
      <c r="E311" t="s">
        <v>366</v>
      </c>
      <c r="F311" t="s">
        <v>24</v>
      </c>
      <c r="G311">
        <f>VLOOKUP(E311,'25 Draft ADP'!$B$3:$D$505,3,FALSE)</f>
        <v>270</v>
      </c>
      <c r="H311">
        <v>10</v>
      </c>
      <c r="I311" t="s">
        <v>33</v>
      </c>
      <c r="J311" t="s">
        <v>33</v>
      </c>
      <c r="K311">
        <v>1.2</v>
      </c>
      <c r="L311" t="s">
        <v>33</v>
      </c>
      <c r="M311" t="s">
        <v>22</v>
      </c>
      <c r="N311" t="s">
        <v>33</v>
      </c>
      <c r="O311" t="s">
        <v>33</v>
      </c>
      <c r="P311">
        <v>7.1</v>
      </c>
      <c r="Q311" t="s">
        <v>33</v>
      </c>
      <c r="R311" t="s">
        <v>33</v>
      </c>
      <c r="S311">
        <v>2.1</v>
      </c>
      <c r="T311">
        <v>15.5</v>
      </c>
      <c r="U311">
        <v>13.4</v>
      </c>
      <c r="V311">
        <v>4.5</v>
      </c>
      <c r="W311">
        <v>26.9</v>
      </c>
      <c r="X311">
        <v>18.600000000000001</v>
      </c>
      <c r="Y311">
        <v>9.1</v>
      </c>
      <c r="Z311">
        <v>10.199999999999999</v>
      </c>
      <c r="AA311">
        <v>10.9</v>
      </c>
      <c r="AB311">
        <f t="shared" si="8"/>
        <v>98.3</v>
      </c>
      <c r="AC311">
        <v>108.5</v>
      </c>
      <c r="AD311">
        <v>35</v>
      </c>
      <c r="AE311">
        <f t="shared" si="9"/>
        <v>4</v>
      </c>
      <c r="AF311">
        <v>3</v>
      </c>
      <c r="AG311">
        <v>1</v>
      </c>
      <c r="AH311">
        <v>1</v>
      </c>
      <c r="AI311">
        <v>0</v>
      </c>
      <c r="AJ311">
        <v>0.29411764705882354</v>
      </c>
      <c r="AK311">
        <v>0.3</v>
      </c>
      <c r="AL311">
        <v>0.1</v>
      </c>
      <c r="AM311">
        <v>0.1</v>
      </c>
      <c r="AN311">
        <v>0</v>
      </c>
    </row>
    <row r="312" spans="1:40" x14ac:dyDescent="0.25">
      <c r="A312">
        <v>2025</v>
      </c>
      <c r="B312" t="s">
        <v>331</v>
      </c>
      <c r="C312" t="str">
        <f>IF(COUNTIF('Rookies 22-25'!$B$198:$B$349,E312)&gt;0,"(R)","No")</f>
        <v>No</v>
      </c>
      <c r="D312">
        <v>36</v>
      </c>
      <c r="E312" t="s">
        <v>367</v>
      </c>
      <c r="F312" t="s">
        <v>37</v>
      </c>
      <c r="G312">
        <f>VLOOKUP(E312,'25 Draft ADP'!$B$3:$D$505,3,FALSE)</f>
        <v>239</v>
      </c>
      <c r="H312">
        <v>9</v>
      </c>
      <c r="I312">
        <v>11.5</v>
      </c>
      <c r="J312">
        <v>21.7</v>
      </c>
      <c r="K312">
        <v>12.7</v>
      </c>
      <c r="L312">
        <v>13.9</v>
      </c>
      <c r="M312">
        <v>15.1</v>
      </c>
      <c r="N312">
        <v>11.1</v>
      </c>
      <c r="O312">
        <v>13.5</v>
      </c>
      <c r="P312">
        <v>3.6</v>
      </c>
      <c r="Q312" t="s">
        <v>33</v>
      </c>
      <c r="R312" t="s">
        <v>33</v>
      </c>
      <c r="S312" t="s">
        <v>22</v>
      </c>
      <c r="T312" t="s">
        <v>33</v>
      </c>
      <c r="U312" t="s">
        <v>33</v>
      </c>
      <c r="V312" t="s">
        <v>33</v>
      </c>
      <c r="W312">
        <v>0</v>
      </c>
      <c r="X312" t="s">
        <v>33</v>
      </c>
      <c r="Y312" t="s">
        <v>33</v>
      </c>
      <c r="Z312">
        <v>0</v>
      </c>
      <c r="AA312">
        <v>11.5</v>
      </c>
      <c r="AB312">
        <f t="shared" si="8"/>
        <v>103.1</v>
      </c>
      <c r="AC312">
        <v>103.1</v>
      </c>
      <c r="AD312">
        <v>36</v>
      </c>
      <c r="AE312">
        <f t="shared" si="9"/>
        <v>7</v>
      </c>
      <c r="AF312">
        <v>2</v>
      </c>
      <c r="AG312">
        <v>1</v>
      </c>
      <c r="AH312">
        <v>0</v>
      </c>
      <c r="AI312">
        <v>0</v>
      </c>
      <c r="AJ312">
        <v>0.41176470588235292</v>
      </c>
      <c r="AK312">
        <v>0.22222222222222221</v>
      </c>
      <c r="AL312">
        <v>0.1111111111111111</v>
      </c>
      <c r="AM312">
        <v>0</v>
      </c>
      <c r="AN312">
        <v>0</v>
      </c>
    </row>
    <row r="313" spans="1:40" x14ac:dyDescent="0.25">
      <c r="A313">
        <v>2025</v>
      </c>
      <c r="B313" t="s">
        <v>331</v>
      </c>
      <c r="C313" t="str">
        <f>IF(COUNTIF('Rookies 22-25'!$B$198:$B$349,E313)&gt;0,"(R)","No")</f>
        <v>(R)</v>
      </c>
      <c r="D313">
        <v>37</v>
      </c>
      <c r="E313" t="s">
        <v>368</v>
      </c>
      <c r="F313" t="s">
        <v>32</v>
      </c>
      <c r="G313">
        <f>VLOOKUP(E313,'25 Draft ADP'!$B$3:$D$505,3,FALSE)</f>
        <v>253</v>
      </c>
      <c r="H313">
        <v>8</v>
      </c>
      <c r="I313" t="s">
        <v>33</v>
      </c>
      <c r="J313" t="s">
        <v>33</v>
      </c>
      <c r="K313" t="s">
        <v>33</v>
      </c>
      <c r="L313" t="s">
        <v>33</v>
      </c>
      <c r="M313" t="s">
        <v>33</v>
      </c>
      <c r="N313" t="s">
        <v>33</v>
      </c>
      <c r="O313" t="s">
        <v>33</v>
      </c>
      <c r="P313" t="s">
        <v>33</v>
      </c>
      <c r="Q313" t="s">
        <v>22</v>
      </c>
      <c r="R313" t="s">
        <v>33</v>
      </c>
      <c r="S313">
        <v>2.5</v>
      </c>
      <c r="T313">
        <v>11.3</v>
      </c>
      <c r="U313">
        <v>10.6</v>
      </c>
      <c r="V313">
        <v>34.5</v>
      </c>
      <c r="W313">
        <v>6.5</v>
      </c>
      <c r="X313">
        <v>13.2</v>
      </c>
      <c r="Y313">
        <v>11.4</v>
      </c>
      <c r="Z313">
        <v>5</v>
      </c>
      <c r="AA313">
        <v>11.9</v>
      </c>
      <c r="AB313">
        <f t="shared" si="8"/>
        <v>89.9</v>
      </c>
      <c r="AC313">
        <v>94.9</v>
      </c>
      <c r="AD313">
        <v>37</v>
      </c>
      <c r="AE313">
        <f t="shared" si="9"/>
        <v>5</v>
      </c>
      <c r="AF313">
        <v>1</v>
      </c>
      <c r="AG313">
        <v>1</v>
      </c>
      <c r="AH313">
        <v>1</v>
      </c>
      <c r="AI313">
        <v>1</v>
      </c>
      <c r="AJ313">
        <v>0.29411764705882354</v>
      </c>
      <c r="AK313">
        <v>0.125</v>
      </c>
      <c r="AL313">
        <v>0.125</v>
      </c>
      <c r="AM313">
        <v>0.125</v>
      </c>
      <c r="AN313">
        <v>0.125</v>
      </c>
    </row>
    <row r="314" spans="1:40" x14ac:dyDescent="0.25">
      <c r="A314">
        <v>2025</v>
      </c>
      <c r="B314" t="s">
        <v>331</v>
      </c>
      <c r="C314" t="str">
        <f>IF(COUNTIF('Rookies 22-25'!$B$198:$B$349,E314)&gt;0,"(R)","No")</f>
        <v>No</v>
      </c>
      <c r="D314">
        <v>38</v>
      </c>
      <c r="E314" t="s">
        <v>369</v>
      </c>
      <c r="F314" t="s">
        <v>21</v>
      </c>
      <c r="G314">
        <f>VLOOKUP(E314,'25 Draft ADP'!$B$3:$D$505,3,FALSE)</f>
        <v>95</v>
      </c>
      <c r="H314">
        <v>5</v>
      </c>
      <c r="I314">
        <v>18.3</v>
      </c>
      <c r="J314">
        <v>15</v>
      </c>
      <c r="K314">
        <v>14.1</v>
      </c>
      <c r="L314">
        <v>18.100000000000001</v>
      </c>
      <c r="M314">
        <v>15.3</v>
      </c>
      <c r="N314" t="s">
        <v>33</v>
      </c>
      <c r="O314" t="s">
        <v>33</v>
      </c>
      <c r="P314" t="s">
        <v>22</v>
      </c>
      <c r="Q314" t="s">
        <v>33</v>
      </c>
      <c r="R314" t="s">
        <v>33</v>
      </c>
      <c r="S314" t="s">
        <v>33</v>
      </c>
      <c r="T314" t="s">
        <v>33</v>
      </c>
      <c r="U314" t="s">
        <v>33</v>
      </c>
      <c r="V314" t="s">
        <v>33</v>
      </c>
      <c r="W314" t="s">
        <v>33</v>
      </c>
      <c r="X314" t="s">
        <v>33</v>
      </c>
      <c r="Y314" t="s">
        <v>33</v>
      </c>
      <c r="Z314">
        <v>0</v>
      </c>
      <c r="AA314">
        <v>16.2</v>
      </c>
      <c r="AB314">
        <f t="shared" si="8"/>
        <v>80.8</v>
      </c>
      <c r="AC314">
        <v>80.8</v>
      </c>
      <c r="AD314">
        <v>38</v>
      </c>
      <c r="AE314">
        <f t="shared" si="9"/>
        <v>5</v>
      </c>
      <c r="AF314">
        <v>3</v>
      </c>
      <c r="AG314">
        <v>0</v>
      </c>
      <c r="AH314">
        <v>0</v>
      </c>
      <c r="AI314">
        <v>0</v>
      </c>
      <c r="AJ314">
        <v>0.29411764705882354</v>
      </c>
      <c r="AK314">
        <v>0.6</v>
      </c>
      <c r="AL314">
        <v>0</v>
      </c>
      <c r="AM314">
        <v>0</v>
      </c>
      <c r="AN314">
        <v>0</v>
      </c>
    </row>
    <row r="315" spans="1:40" x14ac:dyDescent="0.25">
      <c r="A315">
        <v>2025</v>
      </c>
      <c r="B315" t="s">
        <v>331</v>
      </c>
      <c r="C315" t="str">
        <f>IF(COUNTIF('Rookies 22-25'!$B$198:$B$349,E315)&gt;0,"(R)","No")</f>
        <v>No</v>
      </c>
      <c r="D315">
        <v>39</v>
      </c>
      <c r="E315" t="s">
        <v>370</v>
      </c>
      <c r="F315" t="s">
        <v>73</v>
      </c>
      <c r="G315">
        <f>VLOOKUP(E315,'25 Draft ADP'!$B$3:$D$505,3,FALSE)</f>
        <v>464</v>
      </c>
      <c r="H315">
        <v>5</v>
      </c>
      <c r="I315" t="s">
        <v>33</v>
      </c>
      <c r="J315" t="s">
        <v>33</v>
      </c>
      <c r="K315">
        <v>15.3</v>
      </c>
      <c r="L315">
        <v>23.2</v>
      </c>
      <c r="M315">
        <v>14.7</v>
      </c>
      <c r="N315" t="s">
        <v>22</v>
      </c>
      <c r="O315">
        <v>13.3</v>
      </c>
      <c r="P315">
        <v>8.8000000000000007</v>
      </c>
      <c r="Q315" t="s">
        <v>33</v>
      </c>
      <c r="R315" t="s">
        <v>33</v>
      </c>
      <c r="S315" t="s">
        <v>33</v>
      </c>
      <c r="T315" t="s">
        <v>33</v>
      </c>
      <c r="U315" t="s">
        <v>33</v>
      </c>
      <c r="V315" t="s">
        <v>33</v>
      </c>
      <c r="W315" t="s">
        <v>33</v>
      </c>
      <c r="X315" t="s">
        <v>33</v>
      </c>
      <c r="Y315" t="s">
        <v>33</v>
      </c>
      <c r="Z315">
        <v>0</v>
      </c>
      <c r="AA315">
        <v>15.1</v>
      </c>
      <c r="AB315">
        <f t="shared" si="8"/>
        <v>75.3</v>
      </c>
      <c r="AC315">
        <v>75.3</v>
      </c>
      <c r="AD315">
        <v>39</v>
      </c>
      <c r="AE315">
        <f t="shared" si="9"/>
        <v>4</v>
      </c>
      <c r="AF315">
        <v>2</v>
      </c>
      <c r="AG315">
        <v>1</v>
      </c>
      <c r="AH315">
        <v>0</v>
      </c>
      <c r="AI315">
        <v>0</v>
      </c>
      <c r="AJ315">
        <v>0.23529411764705882</v>
      </c>
      <c r="AK315">
        <v>0.4</v>
      </c>
      <c r="AL315">
        <v>0.2</v>
      </c>
      <c r="AM315">
        <v>0</v>
      </c>
      <c r="AN315">
        <v>0</v>
      </c>
    </row>
    <row r="316" spans="1:40" x14ac:dyDescent="0.25">
      <c r="A316">
        <v>2025</v>
      </c>
      <c r="B316" t="s">
        <v>331</v>
      </c>
      <c r="C316" t="str">
        <f>IF(COUNTIF('Rookies 22-25'!$B$198:$B$349,E316)&gt;0,"(R)","No")</f>
        <v>(R)</v>
      </c>
      <c r="D316">
        <v>40</v>
      </c>
      <c r="E316" t="s">
        <v>371</v>
      </c>
      <c r="F316" t="s">
        <v>32</v>
      </c>
      <c r="G316">
        <f>VLOOKUP(E316,'25 Draft ADP'!$B$3:$D$505,3,FALSE)</f>
        <v>303</v>
      </c>
      <c r="H316">
        <v>10</v>
      </c>
      <c r="I316" t="s">
        <v>33</v>
      </c>
      <c r="J316">
        <v>4.8</v>
      </c>
      <c r="K316" t="s">
        <v>33</v>
      </c>
      <c r="L316">
        <v>0</v>
      </c>
      <c r="M316">
        <v>16.100000000000001</v>
      </c>
      <c r="N316">
        <v>8.8000000000000007</v>
      </c>
      <c r="O316">
        <v>5.8</v>
      </c>
      <c r="P316">
        <v>13.5</v>
      </c>
      <c r="Q316" t="s">
        <v>22</v>
      </c>
      <c r="R316">
        <v>20.100000000000001</v>
      </c>
      <c r="S316">
        <v>2.9</v>
      </c>
      <c r="T316" t="s">
        <v>33</v>
      </c>
      <c r="U316">
        <v>0</v>
      </c>
      <c r="V316" t="s">
        <v>33</v>
      </c>
      <c r="W316" t="s">
        <v>33</v>
      </c>
      <c r="X316">
        <v>0</v>
      </c>
      <c r="Y316" t="s">
        <v>33</v>
      </c>
      <c r="Z316">
        <v>0</v>
      </c>
      <c r="AA316">
        <v>7.2</v>
      </c>
      <c r="AB316">
        <f t="shared" si="8"/>
        <v>72.099999999999994</v>
      </c>
      <c r="AC316">
        <v>72.099999999999994</v>
      </c>
      <c r="AD316">
        <v>40</v>
      </c>
      <c r="AE316">
        <f t="shared" si="9"/>
        <v>3</v>
      </c>
      <c r="AF316">
        <v>2</v>
      </c>
      <c r="AG316">
        <v>1</v>
      </c>
      <c r="AH316">
        <v>0</v>
      </c>
      <c r="AI316">
        <v>0</v>
      </c>
      <c r="AJ316">
        <v>0.17647058823529413</v>
      </c>
      <c r="AK316">
        <v>0.2</v>
      </c>
      <c r="AL316">
        <v>0.1</v>
      </c>
      <c r="AM316">
        <v>0</v>
      </c>
      <c r="AN316">
        <v>0</v>
      </c>
    </row>
    <row r="317" spans="1:40" x14ac:dyDescent="0.25">
      <c r="A317">
        <v>2025</v>
      </c>
      <c r="B317" t="s">
        <v>331</v>
      </c>
      <c r="C317" t="str">
        <f>IF(COUNTIF('Rookies 22-25'!$B$198:$B$349,E317)&gt;0,"(R)","No")</f>
        <v>No</v>
      </c>
      <c r="D317">
        <v>41</v>
      </c>
      <c r="E317" t="s">
        <v>372</v>
      </c>
      <c r="F317" t="s">
        <v>41</v>
      </c>
      <c r="G317">
        <f>VLOOKUP(E317,'25 Draft ADP'!$B$3:$D$505,3,FALSE)</f>
        <v>479</v>
      </c>
      <c r="H317">
        <v>6</v>
      </c>
      <c r="I317" t="s">
        <v>33</v>
      </c>
      <c r="J317" t="s">
        <v>33</v>
      </c>
      <c r="K317" t="s">
        <v>33</v>
      </c>
      <c r="L317" t="s">
        <v>33</v>
      </c>
      <c r="M317">
        <v>1.2</v>
      </c>
      <c r="N317" t="s">
        <v>22</v>
      </c>
      <c r="O317" t="s">
        <v>33</v>
      </c>
      <c r="P317" t="s">
        <v>33</v>
      </c>
      <c r="Q317">
        <v>6.2</v>
      </c>
      <c r="R317">
        <v>28.7</v>
      </c>
      <c r="S317">
        <v>16.399999999999999</v>
      </c>
      <c r="T317">
        <v>14.5</v>
      </c>
      <c r="U317" t="s">
        <v>33</v>
      </c>
      <c r="V317" t="s">
        <v>33</v>
      </c>
      <c r="W317" t="s">
        <v>33</v>
      </c>
      <c r="X317" t="s">
        <v>33</v>
      </c>
      <c r="Y317" t="s">
        <v>33</v>
      </c>
      <c r="Z317">
        <v>2.6</v>
      </c>
      <c r="AA317">
        <v>11.6</v>
      </c>
      <c r="AB317">
        <f t="shared" si="8"/>
        <v>67</v>
      </c>
      <c r="AC317">
        <v>69.599999999999994</v>
      </c>
      <c r="AD317">
        <v>41</v>
      </c>
      <c r="AE317">
        <f t="shared" si="9"/>
        <v>3</v>
      </c>
      <c r="AF317">
        <v>2</v>
      </c>
      <c r="AG317">
        <v>1</v>
      </c>
      <c r="AH317">
        <v>1</v>
      </c>
      <c r="AI317">
        <v>0</v>
      </c>
      <c r="AJ317">
        <v>0.17647058823529413</v>
      </c>
      <c r="AK317">
        <v>0.33333333333333331</v>
      </c>
      <c r="AL317">
        <v>0.16666666666666666</v>
      </c>
      <c r="AM317">
        <v>0.16666666666666666</v>
      </c>
      <c r="AN317">
        <v>0</v>
      </c>
    </row>
    <row r="318" spans="1:40" x14ac:dyDescent="0.25">
      <c r="A318">
        <v>2025</v>
      </c>
      <c r="B318" t="s">
        <v>331</v>
      </c>
      <c r="C318" t="str">
        <f>IF(COUNTIF('Rookies 22-25'!$B$198:$B$349,E318)&gt;0,"(R)","No")</f>
        <v>No</v>
      </c>
      <c r="D318">
        <v>42</v>
      </c>
      <c r="E318" t="s">
        <v>373</v>
      </c>
      <c r="F318" t="s">
        <v>82</v>
      </c>
      <c r="G318">
        <f>VLOOKUP(E318,'25 Draft ADP'!$B$3:$D$505,3,FALSE)</f>
        <v>438</v>
      </c>
      <c r="H318">
        <v>6</v>
      </c>
      <c r="I318" t="s">
        <v>33</v>
      </c>
      <c r="J318">
        <v>8.3000000000000007</v>
      </c>
      <c r="K318">
        <v>17.7</v>
      </c>
      <c r="L318" t="s">
        <v>33</v>
      </c>
      <c r="M318" t="s">
        <v>33</v>
      </c>
      <c r="N318" t="s">
        <v>33</v>
      </c>
      <c r="O318">
        <v>4.0999999999999996</v>
      </c>
      <c r="P318" t="s">
        <v>33</v>
      </c>
      <c r="Q318" t="s">
        <v>22</v>
      </c>
      <c r="R318" t="s">
        <v>33</v>
      </c>
      <c r="S318" t="s">
        <v>33</v>
      </c>
      <c r="T318">
        <v>13.8</v>
      </c>
      <c r="U318">
        <v>21.3</v>
      </c>
      <c r="V318">
        <v>-0.8</v>
      </c>
      <c r="W318" t="s">
        <v>33</v>
      </c>
      <c r="X318" t="s">
        <v>33</v>
      </c>
      <c r="Y318" t="s">
        <v>33</v>
      </c>
      <c r="Z318">
        <v>0</v>
      </c>
      <c r="AA318">
        <v>10.7</v>
      </c>
      <c r="AB318">
        <f t="shared" si="8"/>
        <v>64.5</v>
      </c>
      <c r="AC318">
        <v>64.5</v>
      </c>
      <c r="AD318">
        <v>42</v>
      </c>
      <c r="AE318">
        <f t="shared" si="9"/>
        <v>3</v>
      </c>
      <c r="AF318">
        <v>2</v>
      </c>
      <c r="AG318">
        <v>1</v>
      </c>
      <c r="AH318">
        <v>0</v>
      </c>
      <c r="AI318">
        <v>0</v>
      </c>
      <c r="AJ318">
        <v>0.17647058823529413</v>
      </c>
      <c r="AK318">
        <v>0.33333333333333331</v>
      </c>
      <c r="AL318">
        <v>0.16666666666666666</v>
      </c>
      <c r="AM318">
        <v>0</v>
      </c>
      <c r="AN318">
        <v>0</v>
      </c>
    </row>
    <row r="319" spans="1:40" x14ac:dyDescent="0.25">
      <c r="A319">
        <v>2025</v>
      </c>
      <c r="B319" t="s">
        <v>331</v>
      </c>
      <c r="C319" t="str">
        <f>IF(COUNTIF('Rookies 22-25'!$B$198:$B$349,E319)&gt;0,"(R)","No")</f>
        <v>No</v>
      </c>
      <c r="D319">
        <v>43</v>
      </c>
      <c r="E319" t="s">
        <v>374</v>
      </c>
      <c r="F319" t="s">
        <v>89</v>
      </c>
      <c r="G319">
        <f>VLOOKUP(E319,'25 Draft ADP'!$B$3:$D$505,3,FALSE)</f>
        <v>376</v>
      </c>
      <c r="H319">
        <v>5</v>
      </c>
      <c r="I319" t="s">
        <v>33</v>
      </c>
      <c r="J319">
        <v>20.7</v>
      </c>
      <c r="K319">
        <v>7.9</v>
      </c>
      <c r="L319">
        <v>5.4</v>
      </c>
      <c r="M319">
        <v>22.1</v>
      </c>
      <c r="N319" t="s">
        <v>33</v>
      </c>
      <c r="O319" t="s">
        <v>33</v>
      </c>
      <c r="P319" t="s">
        <v>33</v>
      </c>
      <c r="Q319" t="s">
        <v>33</v>
      </c>
      <c r="R319" t="s">
        <v>22</v>
      </c>
      <c r="S319" t="s">
        <v>33</v>
      </c>
      <c r="T319">
        <v>0.6</v>
      </c>
      <c r="U319" t="s">
        <v>33</v>
      </c>
      <c r="V319" t="s">
        <v>33</v>
      </c>
      <c r="W319" t="s">
        <v>33</v>
      </c>
      <c r="X319" t="s">
        <v>33</v>
      </c>
      <c r="Y319" t="s">
        <v>33</v>
      </c>
      <c r="Z319">
        <v>0</v>
      </c>
      <c r="AA319">
        <v>11.3</v>
      </c>
      <c r="AB319">
        <f t="shared" si="8"/>
        <v>56.7</v>
      </c>
      <c r="AC319">
        <v>56.7</v>
      </c>
      <c r="AD319">
        <v>43</v>
      </c>
      <c r="AE319">
        <f t="shared" si="9"/>
        <v>2</v>
      </c>
      <c r="AF319">
        <v>2</v>
      </c>
      <c r="AG319">
        <v>2</v>
      </c>
      <c r="AH319">
        <v>0</v>
      </c>
      <c r="AI319">
        <v>0</v>
      </c>
      <c r="AJ319">
        <v>0.11764705882352941</v>
      </c>
      <c r="AK319">
        <v>0.4</v>
      </c>
      <c r="AL319">
        <v>0.4</v>
      </c>
      <c r="AM319">
        <v>0</v>
      </c>
      <c r="AN319">
        <v>0</v>
      </c>
    </row>
    <row r="320" spans="1:40" x14ac:dyDescent="0.25">
      <c r="A320">
        <v>2025</v>
      </c>
      <c r="B320" t="s">
        <v>331</v>
      </c>
      <c r="C320" t="str">
        <f>IF(COUNTIF('Rookies 22-25'!$B$198:$B$349,E320)&gt;0,"(R)","No")</f>
        <v>No</v>
      </c>
      <c r="D320">
        <v>44</v>
      </c>
      <c r="E320" t="s">
        <v>375</v>
      </c>
      <c r="F320" t="s">
        <v>57</v>
      </c>
      <c r="G320">
        <f>VLOOKUP(E320,'25 Draft ADP'!$B$3:$D$505,3,FALSE)</f>
        <v>203</v>
      </c>
      <c r="H320">
        <v>6</v>
      </c>
      <c r="I320">
        <v>11.1</v>
      </c>
      <c r="J320">
        <v>31.3</v>
      </c>
      <c r="K320">
        <v>7.1</v>
      </c>
      <c r="L320">
        <v>0.3</v>
      </c>
      <c r="M320" t="s">
        <v>33</v>
      </c>
      <c r="N320">
        <v>0</v>
      </c>
      <c r="O320" t="s">
        <v>33</v>
      </c>
      <c r="P320" t="s">
        <v>33</v>
      </c>
      <c r="Q320" t="s">
        <v>33</v>
      </c>
      <c r="R320">
        <v>3</v>
      </c>
      <c r="S320" t="s">
        <v>33</v>
      </c>
      <c r="T320" t="s">
        <v>33</v>
      </c>
      <c r="U320" t="s">
        <v>33</v>
      </c>
      <c r="V320" t="s">
        <v>22</v>
      </c>
      <c r="W320" t="s">
        <v>33</v>
      </c>
      <c r="X320" t="s">
        <v>33</v>
      </c>
      <c r="Y320" t="s">
        <v>33</v>
      </c>
      <c r="Z320">
        <v>0</v>
      </c>
      <c r="AA320">
        <v>8.8000000000000007</v>
      </c>
      <c r="AB320">
        <f t="shared" si="8"/>
        <v>52.8</v>
      </c>
      <c r="AC320">
        <v>52.8</v>
      </c>
      <c r="AD320">
        <v>44</v>
      </c>
      <c r="AE320">
        <f t="shared" si="9"/>
        <v>2</v>
      </c>
      <c r="AF320">
        <v>1</v>
      </c>
      <c r="AG320">
        <v>1</v>
      </c>
      <c r="AH320">
        <v>1</v>
      </c>
      <c r="AI320">
        <v>1</v>
      </c>
      <c r="AJ320">
        <v>0.11764705882352941</v>
      </c>
      <c r="AK320">
        <v>0.16666666666666666</v>
      </c>
      <c r="AL320">
        <v>0.16666666666666666</v>
      </c>
      <c r="AM320">
        <v>0.16666666666666666</v>
      </c>
      <c r="AN320">
        <v>0.16666666666666666</v>
      </c>
    </row>
    <row r="321" spans="1:40" x14ac:dyDescent="0.25">
      <c r="A321">
        <v>2025</v>
      </c>
      <c r="B321" t="s">
        <v>331</v>
      </c>
      <c r="C321" t="str">
        <f>IF(COUNTIF('Rookies 22-25'!$B$198:$B$349,E321)&gt;0,"(R)","No")</f>
        <v>No</v>
      </c>
      <c r="D321">
        <v>45</v>
      </c>
      <c r="E321" t="s">
        <v>376</v>
      </c>
      <c r="F321" t="s">
        <v>69</v>
      </c>
      <c r="G321">
        <f>VLOOKUP(E321,'25 Draft ADP'!$B$3:$D$505,3,FALSE)</f>
        <v>319</v>
      </c>
      <c r="H321">
        <v>4</v>
      </c>
      <c r="I321" t="s">
        <v>33</v>
      </c>
      <c r="J321" t="s">
        <v>33</v>
      </c>
      <c r="K321" t="s">
        <v>33</v>
      </c>
      <c r="L321" t="s">
        <v>33</v>
      </c>
      <c r="M321" t="s">
        <v>22</v>
      </c>
      <c r="N321" t="s">
        <v>33</v>
      </c>
      <c r="O321" t="s">
        <v>33</v>
      </c>
      <c r="P321" t="s">
        <v>33</v>
      </c>
      <c r="Q321" t="s">
        <v>33</v>
      </c>
      <c r="R321" t="s">
        <v>33</v>
      </c>
      <c r="S321">
        <v>5.8</v>
      </c>
      <c r="T321">
        <v>0.6</v>
      </c>
      <c r="U321" t="s">
        <v>33</v>
      </c>
      <c r="V321" t="s">
        <v>33</v>
      </c>
      <c r="W321" t="s">
        <v>33</v>
      </c>
      <c r="X321">
        <v>13.2</v>
      </c>
      <c r="Y321">
        <v>31.5</v>
      </c>
      <c r="Z321">
        <v>0</v>
      </c>
      <c r="AA321">
        <v>12.8</v>
      </c>
      <c r="AB321">
        <f t="shared" si="8"/>
        <v>51.2</v>
      </c>
      <c r="AC321">
        <v>51.2</v>
      </c>
      <c r="AD321">
        <v>45</v>
      </c>
      <c r="AE321">
        <f t="shared" si="9"/>
        <v>2</v>
      </c>
      <c r="AF321">
        <v>1</v>
      </c>
      <c r="AG321">
        <v>1</v>
      </c>
      <c r="AH321">
        <v>1</v>
      </c>
      <c r="AI321">
        <v>1</v>
      </c>
      <c r="AJ321">
        <v>0.11764705882352941</v>
      </c>
      <c r="AK321">
        <v>0.25</v>
      </c>
      <c r="AL321">
        <v>0.25</v>
      </c>
      <c r="AM321">
        <v>0.25</v>
      </c>
      <c r="AN321">
        <v>0.25</v>
      </c>
    </row>
    <row r="322" spans="1:40" x14ac:dyDescent="0.25">
      <c r="A322">
        <v>2024</v>
      </c>
      <c r="B322" t="s">
        <v>331</v>
      </c>
      <c r="C322" t="str">
        <f>IF(COUNTIF('Rookies 22-25'!$B$126:$B$197,E322)&gt;0,"(R)","No")</f>
        <v>No</v>
      </c>
      <c r="D322">
        <v>1</v>
      </c>
      <c r="E322" t="s">
        <v>351</v>
      </c>
      <c r="F322" t="s">
        <v>53</v>
      </c>
      <c r="G322">
        <f>VLOOKUP(E322,'24 Draft ADP'!$B$3:$D$436,3,FALSE)</f>
        <v>43</v>
      </c>
      <c r="H322">
        <v>17</v>
      </c>
      <c r="I322">
        <v>25.1</v>
      </c>
      <c r="J322">
        <v>17.399999999999999</v>
      </c>
      <c r="K322">
        <v>26</v>
      </c>
      <c r="L322">
        <v>23.6</v>
      </c>
      <c r="M322">
        <v>33.4</v>
      </c>
      <c r="N322">
        <v>19.899999999999999</v>
      </c>
      <c r="O322">
        <v>34.4</v>
      </c>
      <c r="P322">
        <v>24.2</v>
      </c>
      <c r="Q322">
        <v>23.6</v>
      </c>
      <c r="R322">
        <v>32.9</v>
      </c>
      <c r="S322">
        <v>15.9</v>
      </c>
      <c r="T322">
        <v>22.6</v>
      </c>
      <c r="U322">
        <v>25.4</v>
      </c>
      <c r="V322" t="s">
        <v>22</v>
      </c>
      <c r="W322">
        <v>36.1</v>
      </c>
      <c r="X322">
        <v>21.5</v>
      </c>
      <c r="Y322">
        <v>29.4</v>
      </c>
      <c r="Z322">
        <v>23</v>
      </c>
      <c r="AA322">
        <v>25.6</v>
      </c>
      <c r="AB322">
        <f t="shared" si="8"/>
        <v>411.4</v>
      </c>
      <c r="AC322">
        <v>434.4</v>
      </c>
      <c r="AD322">
        <v>1</v>
      </c>
      <c r="AE322">
        <f t="shared" si="9"/>
        <v>16</v>
      </c>
      <c r="AF322">
        <v>17</v>
      </c>
      <c r="AG322">
        <v>14</v>
      </c>
      <c r="AH322">
        <v>8</v>
      </c>
      <c r="AI322">
        <v>4</v>
      </c>
      <c r="AJ322">
        <v>1</v>
      </c>
      <c r="AK322">
        <v>1</v>
      </c>
      <c r="AL322">
        <v>0.82352941176470584</v>
      </c>
      <c r="AM322">
        <v>0.47058823529411764</v>
      </c>
      <c r="AN322">
        <v>0.23529411764705882</v>
      </c>
    </row>
    <row r="323" spans="1:40" x14ac:dyDescent="0.25">
      <c r="A323">
        <v>2024</v>
      </c>
      <c r="B323" t="s">
        <v>331</v>
      </c>
      <c r="C323" t="str">
        <f>IF(COUNTIF('Rookies 22-25'!$B$126:$B$197,E323)&gt;0,"(R)","No")</f>
        <v>No</v>
      </c>
      <c r="D323">
        <v>2</v>
      </c>
      <c r="E323" t="s">
        <v>332</v>
      </c>
      <c r="F323" t="s">
        <v>61</v>
      </c>
      <c r="G323">
        <f>VLOOKUP(E323,'24 Draft ADP'!$B$3:$D$436,3,FALSE)</f>
        <v>28</v>
      </c>
      <c r="H323">
        <v>17</v>
      </c>
      <c r="I323">
        <v>31.2</v>
      </c>
      <c r="J323">
        <v>9.8000000000000007</v>
      </c>
      <c r="K323">
        <v>30.9</v>
      </c>
      <c r="L323">
        <v>7.3</v>
      </c>
      <c r="M323">
        <v>14.6</v>
      </c>
      <c r="N323">
        <v>24.4</v>
      </c>
      <c r="O323">
        <v>21</v>
      </c>
      <c r="P323">
        <v>20.8</v>
      </c>
      <c r="Q323">
        <v>23.1</v>
      </c>
      <c r="R323">
        <v>20.2</v>
      </c>
      <c r="S323">
        <v>25</v>
      </c>
      <c r="T323" t="s">
        <v>22</v>
      </c>
      <c r="U323">
        <v>28.4</v>
      </c>
      <c r="V323">
        <v>51.9</v>
      </c>
      <c r="W323">
        <v>41.3</v>
      </c>
      <c r="X323">
        <v>12.2</v>
      </c>
      <c r="Y323">
        <v>23</v>
      </c>
      <c r="Z323">
        <v>0</v>
      </c>
      <c r="AA323">
        <v>22.6</v>
      </c>
      <c r="AB323">
        <f t="shared" ref="AB323:AB386" si="10">AC323-Z323</f>
        <v>385</v>
      </c>
      <c r="AC323">
        <v>385</v>
      </c>
      <c r="AD323">
        <v>2</v>
      </c>
      <c r="AE323">
        <f t="shared" ref="AE323:AE386" si="11">COUNTIF(I323:Y323,"&gt;10")</f>
        <v>14</v>
      </c>
      <c r="AF323">
        <v>12</v>
      </c>
      <c r="AG323">
        <v>12</v>
      </c>
      <c r="AH323">
        <v>5</v>
      </c>
      <c r="AI323">
        <v>4</v>
      </c>
      <c r="AJ323">
        <v>0.82352941176470584</v>
      </c>
      <c r="AK323">
        <v>0.70588235294117652</v>
      </c>
      <c r="AL323">
        <v>0.70588235294117652</v>
      </c>
      <c r="AM323">
        <v>0.29411764705882354</v>
      </c>
      <c r="AN323">
        <v>0.23529411764705882</v>
      </c>
    </row>
    <row r="324" spans="1:40" x14ac:dyDescent="0.25">
      <c r="A324">
        <v>2024</v>
      </c>
      <c r="B324" t="s">
        <v>331</v>
      </c>
      <c r="C324" t="str">
        <f>IF(COUNTIF('Rookies 22-25'!$B$126:$B$197,E324)&gt;0,"(R)","No")</f>
        <v>No</v>
      </c>
      <c r="D324">
        <v>3</v>
      </c>
      <c r="E324" t="s">
        <v>360</v>
      </c>
      <c r="F324" t="s">
        <v>89</v>
      </c>
      <c r="G324">
        <f>VLOOKUP(E324,'24 Draft ADP'!$B$3:$D$436,3,FALSE)</f>
        <v>77</v>
      </c>
      <c r="H324">
        <v>17</v>
      </c>
      <c r="I324">
        <v>8.1</v>
      </c>
      <c r="J324">
        <v>17.2</v>
      </c>
      <c r="K324">
        <v>25.4</v>
      </c>
      <c r="L324">
        <v>17.3</v>
      </c>
      <c r="M324">
        <v>34.799999999999997</v>
      </c>
      <c r="N324">
        <v>19.8</v>
      </c>
      <c r="O324">
        <v>14.9</v>
      </c>
      <c r="P324">
        <v>13.9</v>
      </c>
      <c r="Q324">
        <v>30.1</v>
      </c>
      <c r="R324">
        <v>33.700000000000003</v>
      </c>
      <c r="S324">
        <v>29</v>
      </c>
      <c r="T324" t="s">
        <v>22</v>
      </c>
      <c r="U324">
        <v>20.3</v>
      </c>
      <c r="V324">
        <v>25.6</v>
      </c>
      <c r="W324">
        <v>18.8</v>
      </c>
      <c r="X324">
        <v>22</v>
      </c>
      <c r="Y324">
        <v>37</v>
      </c>
      <c r="Z324">
        <v>14</v>
      </c>
      <c r="AA324">
        <v>22.5</v>
      </c>
      <c r="AB324">
        <f t="shared" si="10"/>
        <v>367.8</v>
      </c>
      <c r="AC324">
        <v>381.8</v>
      </c>
      <c r="AD324">
        <v>3</v>
      </c>
      <c r="AE324">
        <f t="shared" si="11"/>
        <v>15</v>
      </c>
      <c r="AF324">
        <v>13</v>
      </c>
      <c r="AG324">
        <v>9</v>
      </c>
      <c r="AH324">
        <v>7</v>
      </c>
      <c r="AI324">
        <v>4</v>
      </c>
      <c r="AJ324">
        <v>0.94117647058823528</v>
      </c>
      <c r="AK324">
        <v>0.76470588235294112</v>
      </c>
      <c r="AL324">
        <v>0.52941176470588236</v>
      </c>
      <c r="AM324">
        <v>0.41176470588235292</v>
      </c>
      <c r="AN324">
        <v>0.23529411764705882</v>
      </c>
    </row>
    <row r="325" spans="1:40" x14ac:dyDescent="0.25">
      <c r="A325">
        <v>2024</v>
      </c>
      <c r="B325" t="s">
        <v>331</v>
      </c>
      <c r="C325" t="str">
        <f>IF(COUNTIF('Rookies 22-25'!$B$126:$B$197,E325)&gt;0,"(R)","No")</f>
        <v>No</v>
      </c>
      <c r="D325">
        <v>3</v>
      </c>
      <c r="E325" t="s">
        <v>343</v>
      </c>
      <c r="F325" t="s">
        <v>65</v>
      </c>
      <c r="G325">
        <f>VLOOKUP(E325,'24 Draft ADP'!$B$3:$D$436,3,FALSE)</f>
        <v>149</v>
      </c>
      <c r="H325">
        <v>17</v>
      </c>
      <c r="I325">
        <v>29.7</v>
      </c>
      <c r="J325">
        <v>19.8</v>
      </c>
      <c r="K325">
        <v>9.5</v>
      </c>
      <c r="L325">
        <v>28.9</v>
      </c>
      <c r="M325">
        <v>23.4</v>
      </c>
      <c r="N325">
        <v>28.9</v>
      </c>
      <c r="O325">
        <v>29</v>
      </c>
      <c r="P325">
        <v>24.3</v>
      </c>
      <c r="Q325">
        <v>18</v>
      </c>
      <c r="R325">
        <v>8.9</v>
      </c>
      <c r="S325" t="s">
        <v>22</v>
      </c>
      <c r="T325">
        <v>18.7</v>
      </c>
      <c r="U325">
        <v>12.2</v>
      </c>
      <c r="V325">
        <v>21</v>
      </c>
      <c r="W325">
        <v>29</v>
      </c>
      <c r="X325">
        <v>23.3</v>
      </c>
      <c r="Y325">
        <v>34.6</v>
      </c>
      <c r="Z325">
        <v>22.6</v>
      </c>
      <c r="AA325">
        <v>22.5</v>
      </c>
      <c r="AB325">
        <f t="shared" si="10"/>
        <v>359.2</v>
      </c>
      <c r="AC325">
        <v>381.8</v>
      </c>
      <c r="AD325">
        <v>3</v>
      </c>
      <c r="AE325">
        <f t="shared" si="11"/>
        <v>14</v>
      </c>
      <c r="AF325">
        <v>14</v>
      </c>
      <c r="AG325">
        <v>11</v>
      </c>
      <c r="AH325">
        <v>6</v>
      </c>
      <c r="AI325">
        <v>1</v>
      </c>
      <c r="AJ325">
        <v>0.88235294117647056</v>
      </c>
      <c r="AK325">
        <v>0.82352941176470584</v>
      </c>
      <c r="AL325">
        <v>0.6470588235294118</v>
      </c>
      <c r="AM325">
        <v>0.35294117647058826</v>
      </c>
      <c r="AN325">
        <v>5.8823529411764705E-2</v>
      </c>
    </row>
    <row r="326" spans="1:40" x14ac:dyDescent="0.25">
      <c r="A326">
        <v>2024</v>
      </c>
      <c r="B326" t="s">
        <v>331</v>
      </c>
      <c r="C326" t="str">
        <f>IF(COUNTIF('Rookies 22-25'!$B$126:$B$197,E326)&gt;0,"(R)","No")</f>
        <v>(R)</v>
      </c>
      <c r="D326">
        <v>5</v>
      </c>
      <c r="E326" t="s">
        <v>365</v>
      </c>
      <c r="F326" t="s">
        <v>59</v>
      </c>
      <c r="G326">
        <f>VLOOKUP(E326,'24 Draft ADP'!$B$3:$D$436,3,FALSE)</f>
        <v>88</v>
      </c>
      <c r="H326">
        <v>17</v>
      </c>
      <c r="I326">
        <v>28.2</v>
      </c>
      <c r="J326">
        <v>13.4</v>
      </c>
      <c r="K326">
        <v>28.1</v>
      </c>
      <c r="L326">
        <v>25</v>
      </c>
      <c r="M326">
        <v>20.7</v>
      </c>
      <c r="N326">
        <v>21</v>
      </c>
      <c r="O326">
        <v>5.2</v>
      </c>
      <c r="P326">
        <v>22.2</v>
      </c>
      <c r="Q326">
        <v>19.899999999999999</v>
      </c>
      <c r="R326">
        <v>8.6</v>
      </c>
      <c r="S326">
        <v>14.4</v>
      </c>
      <c r="T326">
        <v>32.4</v>
      </c>
      <c r="U326">
        <v>28.6</v>
      </c>
      <c r="V326" t="s">
        <v>22</v>
      </c>
      <c r="W326">
        <v>23.6</v>
      </c>
      <c r="X326">
        <v>36.4</v>
      </c>
      <c r="Y326">
        <v>32.799999999999997</v>
      </c>
      <c r="Z326">
        <v>4.2</v>
      </c>
      <c r="AA326">
        <v>21.5</v>
      </c>
      <c r="AB326">
        <f t="shared" si="10"/>
        <v>360.6</v>
      </c>
      <c r="AC326">
        <v>364.8</v>
      </c>
      <c r="AD326">
        <v>5</v>
      </c>
      <c r="AE326">
        <f t="shared" si="11"/>
        <v>14</v>
      </c>
      <c r="AF326">
        <v>12</v>
      </c>
      <c r="AG326">
        <v>11</v>
      </c>
      <c r="AH326">
        <v>6</v>
      </c>
      <c r="AI326">
        <v>3</v>
      </c>
      <c r="AJ326">
        <v>0.82352941176470584</v>
      </c>
      <c r="AK326">
        <v>0.70588235294117652</v>
      </c>
      <c r="AL326">
        <v>0.6470588235294118</v>
      </c>
      <c r="AM326">
        <v>0.35294117647058826</v>
      </c>
      <c r="AN326">
        <v>0.17647058823529413</v>
      </c>
    </row>
    <row r="327" spans="1:40" x14ac:dyDescent="0.25">
      <c r="A327">
        <v>2024</v>
      </c>
      <c r="B327" t="s">
        <v>331</v>
      </c>
      <c r="C327" t="str">
        <f>IF(COUNTIF('Rookies 22-25'!$B$126:$B$197,E327)&gt;0,"(R)","No")</f>
        <v>No</v>
      </c>
      <c r="D327">
        <v>6</v>
      </c>
      <c r="E327" t="s">
        <v>339</v>
      </c>
      <c r="F327" t="s">
        <v>75</v>
      </c>
      <c r="G327">
        <f>VLOOKUP(E327,'24 Draft ADP'!$B$3:$D$436,3,FALSE)</f>
        <v>109</v>
      </c>
      <c r="H327">
        <v>17</v>
      </c>
      <c r="I327">
        <v>12.4</v>
      </c>
      <c r="J327">
        <v>10.8</v>
      </c>
      <c r="K327">
        <v>15.6</v>
      </c>
      <c r="L327">
        <v>26.2</v>
      </c>
      <c r="M327" t="s">
        <v>22</v>
      </c>
      <c r="N327">
        <v>25.1</v>
      </c>
      <c r="O327">
        <v>18.8</v>
      </c>
      <c r="P327">
        <v>15.5</v>
      </c>
      <c r="Q327">
        <v>9.6</v>
      </c>
      <c r="R327">
        <v>12.8</v>
      </c>
      <c r="S327">
        <v>34.6</v>
      </c>
      <c r="T327">
        <v>10.8</v>
      </c>
      <c r="U327">
        <v>16.899999999999999</v>
      </c>
      <c r="V327">
        <v>23</v>
      </c>
      <c r="W327">
        <v>41.1</v>
      </c>
      <c r="X327">
        <v>25.3</v>
      </c>
      <c r="Y327">
        <v>25.8</v>
      </c>
      <c r="Z327">
        <v>11.2</v>
      </c>
      <c r="AA327">
        <v>19.7</v>
      </c>
      <c r="AB327">
        <f t="shared" si="10"/>
        <v>324.3</v>
      </c>
      <c r="AC327">
        <v>335.5</v>
      </c>
      <c r="AD327">
        <v>6</v>
      </c>
      <c r="AE327">
        <f t="shared" si="11"/>
        <v>15</v>
      </c>
      <c r="AF327">
        <v>11</v>
      </c>
      <c r="AG327">
        <v>7</v>
      </c>
      <c r="AH327">
        <v>6</v>
      </c>
      <c r="AI327">
        <v>2</v>
      </c>
      <c r="AJ327">
        <v>0.94117647058823528</v>
      </c>
      <c r="AK327">
        <v>0.6470588235294118</v>
      </c>
      <c r="AL327">
        <v>0.41176470588235292</v>
      </c>
      <c r="AM327">
        <v>0.35294117647058826</v>
      </c>
      <c r="AN327">
        <v>0.11764705882352941</v>
      </c>
    </row>
    <row r="328" spans="1:40" x14ac:dyDescent="0.25">
      <c r="A328">
        <v>2024</v>
      </c>
      <c r="B328" t="s">
        <v>331</v>
      </c>
      <c r="C328" t="str">
        <f>IF(COUNTIF('Rookies 22-25'!$B$126:$B$197,E328)&gt;0,"(R)","No")</f>
        <v>(R)</v>
      </c>
      <c r="D328">
        <v>7</v>
      </c>
      <c r="E328" t="s">
        <v>338</v>
      </c>
      <c r="F328" t="s">
        <v>78</v>
      </c>
      <c r="G328">
        <f>VLOOKUP(E328,'24 Draft ADP'!$B$3:$D$436,3,FALSE)</f>
        <v>172</v>
      </c>
      <c r="H328">
        <v>17</v>
      </c>
      <c r="I328">
        <v>13</v>
      </c>
      <c r="J328">
        <v>10.3</v>
      </c>
      <c r="K328">
        <v>19.3</v>
      </c>
      <c r="L328">
        <v>6.7</v>
      </c>
      <c r="M328">
        <v>23.1</v>
      </c>
      <c r="N328">
        <v>21.7</v>
      </c>
      <c r="O328">
        <v>14.1</v>
      </c>
      <c r="P328">
        <v>29.8</v>
      </c>
      <c r="Q328">
        <v>17.7</v>
      </c>
      <c r="R328">
        <v>16.100000000000001</v>
      </c>
      <c r="S328">
        <v>28.8</v>
      </c>
      <c r="T328">
        <v>19.399999999999999</v>
      </c>
      <c r="U328">
        <v>14.2</v>
      </c>
      <c r="V328" t="s">
        <v>22</v>
      </c>
      <c r="W328">
        <v>16.5</v>
      </c>
      <c r="X328">
        <v>21</v>
      </c>
      <c r="Y328">
        <v>22.9</v>
      </c>
      <c r="Z328">
        <v>33.5</v>
      </c>
      <c r="AA328">
        <v>19.3</v>
      </c>
      <c r="AB328">
        <f t="shared" si="10"/>
        <v>294.7</v>
      </c>
      <c r="AC328">
        <v>328.2</v>
      </c>
      <c r="AD328">
        <v>7</v>
      </c>
      <c r="AE328">
        <f t="shared" si="11"/>
        <v>15</v>
      </c>
      <c r="AF328">
        <v>12</v>
      </c>
      <c r="AG328">
        <v>7</v>
      </c>
      <c r="AH328">
        <v>3</v>
      </c>
      <c r="AI328">
        <v>1</v>
      </c>
      <c r="AJ328">
        <v>0.94117647058823528</v>
      </c>
      <c r="AK328">
        <v>0.70588235294117652</v>
      </c>
      <c r="AL328">
        <v>0.41176470588235292</v>
      </c>
      <c r="AM328">
        <v>0.17647058823529413</v>
      </c>
      <c r="AN328">
        <v>5.8823529411764705E-2</v>
      </c>
    </row>
    <row r="329" spans="1:40" x14ac:dyDescent="0.25">
      <c r="A329">
        <v>2024</v>
      </c>
      <c r="B329" t="s">
        <v>331</v>
      </c>
      <c r="C329" t="str">
        <f>IF(COUNTIF('Rookies 22-25'!$B$126:$B$197,E329)&gt;0,"(R)","No")</f>
        <v>No</v>
      </c>
      <c r="D329">
        <v>8</v>
      </c>
      <c r="E329" t="s">
        <v>340</v>
      </c>
      <c r="F329" t="s">
        <v>35</v>
      </c>
      <c r="G329">
        <f>VLOOKUP(E329,'24 Draft ADP'!$B$3:$D$436,3,FALSE)</f>
        <v>37</v>
      </c>
      <c r="H329">
        <v>15</v>
      </c>
      <c r="I329">
        <v>18.399999999999999</v>
      </c>
      <c r="J329">
        <v>24.8</v>
      </c>
      <c r="K329">
        <v>11.9</v>
      </c>
      <c r="L329">
        <v>16.3</v>
      </c>
      <c r="M329" t="s">
        <v>22</v>
      </c>
      <c r="N329">
        <v>21.9</v>
      </c>
      <c r="O329">
        <v>22.8</v>
      </c>
      <c r="P329">
        <v>35.1</v>
      </c>
      <c r="Q329">
        <v>29.9</v>
      </c>
      <c r="R329">
        <v>30.7</v>
      </c>
      <c r="S329">
        <v>18.7</v>
      </c>
      <c r="T329">
        <v>15.1</v>
      </c>
      <c r="U329">
        <v>17.600000000000001</v>
      </c>
      <c r="V329">
        <v>24.2</v>
      </c>
      <c r="W329">
        <v>28.1</v>
      </c>
      <c r="X329">
        <v>4.5</v>
      </c>
      <c r="Y329" t="s">
        <v>33</v>
      </c>
      <c r="Z329">
        <v>0</v>
      </c>
      <c r="AA329">
        <v>21.3</v>
      </c>
      <c r="AB329">
        <f t="shared" si="10"/>
        <v>320.10000000000002</v>
      </c>
      <c r="AC329">
        <v>320.10000000000002</v>
      </c>
      <c r="AD329">
        <v>8</v>
      </c>
      <c r="AE329">
        <f t="shared" si="11"/>
        <v>14</v>
      </c>
      <c r="AF329">
        <v>13</v>
      </c>
      <c r="AG329">
        <v>8</v>
      </c>
      <c r="AH329">
        <v>4</v>
      </c>
      <c r="AI329">
        <v>2</v>
      </c>
      <c r="AJ329">
        <v>0.82352941176470584</v>
      </c>
      <c r="AK329">
        <v>0.8666666666666667</v>
      </c>
      <c r="AL329">
        <v>0.53333333333333333</v>
      </c>
      <c r="AM329">
        <v>0.26666666666666666</v>
      </c>
      <c r="AN329">
        <v>0.13333333333333333</v>
      </c>
    </row>
    <row r="330" spans="1:40" x14ac:dyDescent="0.25">
      <c r="A330">
        <v>2024</v>
      </c>
      <c r="B330" t="s">
        <v>331</v>
      </c>
      <c r="C330" t="str">
        <f>IF(COUNTIF('Rookies 22-25'!$B$126:$B$197,E330)&gt;0,"(R)","No")</f>
        <v>No</v>
      </c>
      <c r="D330">
        <v>9</v>
      </c>
      <c r="E330" t="s">
        <v>344</v>
      </c>
      <c r="F330" t="s">
        <v>73</v>
      </c>
      <c r="G330">
        <f>VLOOKUP(E330,'24 Draft ADP'!$B$3:$D$436,3,FALSE)</f>
        <v>177</v>
      </c>
      <c r="H330">
        <v>17</v>
      </c>
      <c r="I330">
        <v>15.6</v>
      </c>
      <c r="J330">
        <v>20.9</v>
      </c>
      <c r="K330">
        <v>23.2</v>
      </c>
      <c r="L330">
        <v>21.5</v>
      </c>
      <c r="M330">
        <v>5.3</v>
      </c>
      <c r="N330" t="s">
        <v>22</v>
      </c>
      <c r="O330">
        <v>17.3</v>
      </c>
      <c r="P330">
        <v>18.2</v>
      </c>
      <c r="Q330">
        <v>21</v>
      </c>
      <c r="R330">
        <v>9.4</v>
      </c>
      <c r="S330">
        <v>23.6</v>
      </c>
      <c r="T330">
        <v>21.1</v>
      </c>
      <c r="U330">
        <v>19.600000000000001</v>
      </c>
      <c r="V330">
        <v>34.6</v>
      </c>
      <c r="W330">
        <v>12.2</v>
      </c>
      <c r="X330">
        <v>22.9</v>
      </c>
      <c r="Y330">
        <v>25.8</v>
      </c>
      <c r="Z330">
        <v>7.6</v>
      </c>
      <c r="AA330">
        <v>18.8</v>
      </c>
      <c r="AB330">
        <f t="shared" si="10"/>
        <v>312.39999999999998</v>
      </c>
      <c r="AC330">
        <v>320</v>
      </c>
      <c r="AD330">
        <v>9</v>
      </c>
      <c r="AE330">
        <f t="shared" si="11"/>
        <v>14</v>
      </c>
      <c r="AF330">
        <v>13</v>
      </c>
      <c r="AG330">
        <v>9</v>
      </c>
      <c r="AH330">
        <v>2</v>
      </c>
      <c r="AI330">
        <v>1</v>
      </c>
      <c r="AJ330">
        <v>0.82352941176470584</v>
      </c>
      <c r="AK330">
        <v>0.76470588235294112</v>
      </c>
      <c r="AL330">
        <v>0.52941176470588236</v>
      </c>
      <c r="AM330">
        <v>0.11764705882352941</v>
      </c>
      <c r="AN330">
        <v>5.8823529411764705E-2</v>
      </c>
    </row>
    <row r="331" spans="1:40" x14ac:dyDescent="0.25">
      <c r="A331">
        <v>2024</v>
      </c>
      <c r="B331" t="s">
        <v>331</v>
      </c>
      <c r="C331" t="str">
        <f>IF(COUNTIF('Rookies 22-25'!$B$126:$B$197,E331)&gt;0,"(R)","No")</f>
        <v>No</v>
      </c>
      <c r="D331">
        <v>10</v>
      </c>
      <c r="E331" t="s">
        <v>369</v>
      </c>
      <c r="F331" t="s">
        <v>21</v>
      </c>
      <c r="G331">
        <f>VLOOKUP(E331,'24 Draft ADP'!$B$3:$D$436,3,FALSE)</f>
        <v>62</v>
      </c>
      <c r="H331">
        <v>17</v>
      </c>
      <c r="I331">
        <v>14.2</v>
      </c>
      <c r="J331">
        <v>28.5</v>
      </c>
      <c r="K331">
        <v>15.8</v>
      </c>
      <c r="L331">
        <v>10</v>
      </c>
      <c r="M331">
        <v>25.1</v>
      </c>
      <c r="N331">
        <v>12</v>
      </c>
      <c r="O331">
        <v>21.2</v>
      </c>
      <c r="P331">
        <v>22.2</v>
      </c>
      <c r="Q331">
        <v>4.8</v>
      </c>
      <c r="R331">
        <v>28.7</v>
      </c>
      <c r="S331" t="s">
        <v>22</v>
      </c>
      <c r="T331">
        <v>11.3</v>
      </c>
      <c r="U331">
        <v>17.2</v>
      </c>
      <c r="V331">
        <v>20</v>
      </c>
      <c r="W331">
        <v>10.1</v>
      </c>
      <c r="X331">
        <v>21.4</v>
      </c>
      <c r="Y331">
        <v>18</v>
      </c>
      <c r="Z331">
        <v>27.9</v>
      </c>
      <c r="AA331">
        <v>18.100000000000001</v>
      </c>
      <c r="AB331">
        <f t="shared" si="10"/>
        <v>280.3</v>
      </c>
      <c r="AC331">
        <v>308.2</v>
      </c>
      <c r="AD331">
        <v>10</v>
      </c>
      <c r="AE331">
        <f t="shared" si="11"/>
        <v>14</v>
      </c>
      <c r="AF331">
        <v>11</v>
      </c>
      <c r="AG331">
        <v>7</v>
      </c>
      <c r="AH331">
        <v>4</v>
      </c>
      <c r="AI331">
        <v>0</v>
      </c>
      <c r="AJ331">
        <v>0.88235294117647056</v>
      </c>
      <c r="AK331">
        <v>0.6470588235294118</v>
      </c>
      <c r="AL331">
        <v>0.41176470588235292</v>
      </c>
      <c r="AM331">
        <v>0.23529411764705882</v>
      </c>
      <c r="AN331">
        <v>0</v>
      </c>
    </row>
    <row r="332" spans="1:40" x14ac:dyDescent="0.25">
      <c r="A332">
        <v>2024</v>
      </c>
      <c r="B332" t="s">
        <v>331</v>
      </c>
      <c r="C332" t="str">
        <f>IF(COUNTIF('Rookies 22-25'!$B$126:$B$197,E332)&gt;0,"(R)","No")</f>
        <v>No</v>
      </c>
      <c r="D332">
        <v>11</v>
      </c>
      <c r="E332" t="s">
        <v>342</v>
      </c>
      <c r="F332" t="s">
        <v>26</v>
      </c>
      <c r="G332">
        <f>VLOOKUP(E332,'24 Draft ADP'!$B$3:$D$436,3,FALSE)</f>
        <v>39</v>
      </c>
      <c r="H332">
        <v>16</v>
      </c>
      <c r="I332">
        <v>15.1</v>
      </c>
      <c r="J332">
        <v>14.9</v>
      </c>
      <c r="K332">
        <v>17.399999999999999</v>
      </c>
      <c r="L332">
        <v>14</v>
      </c>
      <c r="M332">
        <v>14.4</v>
      </c>
      <c r="N332" t="s">
        <v>22</v>
      </c>
      <c r="O332">
        <v>14.1</v>
      </c>
      <c r="P332">
        <v>19.2</v>
      </c>
      <c r="Q332">
        <v>24.5</v>
      </c>
      <c r="R332">
        <v>16.5</v>
      </c>
      <c r="S332">
        <v>17.8</v>
      </c>
      <c r="T332">
        <v>28.8</v>
      </c>
      <c r="U332">
        <v>16.600000000000001</v>
      </c>
      <c r="V332">
        <v>14.1</v>
      </c>
      <c r="W332">
        <v>15.8</v>
      </c>
      <c r="X332">
        <v>23.7</v>
      </c>
      <c r="Y332">
        <v>26</v>
      </c>
      <c r="Z332">
        <v>0</v>
      </c>
      <c r="AA332">
        <v>18.3</v>
      </c>
      <c r="AB332">
        <f t="shared" si="10"/>
        <v>293</v>
      </c>
      <c r="AC332">
        <v>293</v>
      </c>
      <c r="AD332">
        <v>11</v>
      </c>
      <c r="AE332">
        <f t="shared" si="11"/>
        <v>16</v>
      </c>
      <c r="AF332">
        <v>11</v>
      </c>
      <c r="AG332">
        <v>4</v>
      </c>
      <c r="AH332">
        <v>2</v>
      </c>
      <c r="AI332">
        <v>0</v>
      </c>
      <c r="AJ332">
        <v>0.94117647058823528</v>
      </c>
      <c r="AK332">
        <v>0.6875</v>
      </c>
      <c r="AL332">
        <v>0.25</v>
      </c>
      <c r="AM332">
        <v>0.125</v>
      </c>
      <c r="AN332">
        <v>0</v>
      </c>
    </row>
    <row r="333" spans="1:40" x14ac:dyDescent="0.25">
      <c r="A333">
        <v>2024</v>
      </c>
      <c r="B333" t="s">
        <v>331</v>
      </c>
      <c r="C333" t="str">
        <f>IF(COUNTIF('Rookies 22-25'!$B$126:$B$197,E333)&gt;0,"(R)","No")</f>
        <v>No</v>
      </c>
      <c r="D333">
        <v>12</v>
      </c>
      <c r="E333" t="s">
        <v>341</v>
      </c>
      <c r="F333" t="s">
        <v>51</v>
      </c>
      <c r="G333">
        <f>VLOOKUP(E333,'24 Draft ADP'!$B$3:$D$436,3,FALSE)</f>
        <v>125</v>
      </c>
      <c r="H333">
        <v>17</v>
      </c>
      <c r="I333">
        <v>10.4</v>
      </c>
      <c r="J333">
        <v>12</v>
      </c>
      <c r="K333">
        <v>9</v>
      </c>
      <c r="L333">
        <v>11.2</v>
      </c>
      <c r="M333" t="s">
        <v>22</v>
      </c>
      <c r="N333">
        <v>13.7</v>
      </c>
      <c r="O333">
        <v>14.8</v>
      </c>
      <c r="P333">
        <v>24.1</v>
      </c>
      <c r="Q333">
        <v>19.5</v>
      </c>
      <c r="R333">
        <v>19.8</v>
      </c>
      <c r="S333">
        <v>24.4</v>
      </c>
      <c r="T333">
        <v>17.600000000000001</v>
      </c>
      <c r="U333">
        <v>8</v>
      </c>
      <c r="V333">
        <v>13.7</v>
      </c>
      <c r="W333">
        <v>14.8</v>
      </c>
      <c r="X333">
        <v>23.2</v>
      </c>
      <c r="Y333">
        <v>24.4</v>
      </c>
      <c r="Z333">
        <v>28</v>
      </c>
      <c r="AA333">
        <v>17</v>
      </c>
      <c r="AB333">
        <f t="shared" si="10"/>
        <v>260.39999999999998</v>
      </c>
      <c r="AC333">
        <v>288.39999999999998</v>
      </c>
      <c r="AD333">
        <v>12</v>
      </c>
      <c r="AE333">
        <f t="shared" si="11"/>
        <v>14</v>
      </c>
      <c r="AF333">
        <v>8</v>
      </c>
      <c r="AG333">
        <v>5</v>
      </c>
      <c r="AH333">
        <v>1</v>
      </c>
      <c r="AI333">
        <v>0</v>
      </c>
      <c r="AJ333">
        <v>0.88235294117647056</v>
      </c>
      <c r="AK333">
        <v>0.47058823529411764</v>
      </c>
      <c r="AL333">
        <v>0.29411764705882354</v>
      </c>
      <c r="AM333">
        <v>5.8823529411764705E-2</v>
      </c>
      <c r="AN333">
        <v>0</v>
      </c>
    </row>
    <row r="334" spans="1:40" x14ac:dyDescent="0.25">
      <c r="A334">
        <v>2024</v>
      </c>
      <c r="B334" t="s">
        <v>331</v>
      </c>
      <c r="C334" t="str">
        <f>IF(COUNTIF('Rookies 22-25'!$B$126:$B$197,E334)&gt;0,"(R)","No")</f>
        <v>No</v>
      </c>
      <c r="D334">
        <v>13</v>
      </c>
      <c r="E334" t="s">
        <v>354</v>
      </c>
      <c r="F334" t="s">
        <v>49</v>
      </c>
      <c r="G334">
        <f>VLOOKUP(E334,'24 Draft ADP'!$B$3:$D$436,3,FALSE)</f>
        <v>153</v>
      </c>
      <c r="H334">
        <v>17</v>
      </c>
      <c r="I334">
        <v>18.8</v>
      </c>
      <c r="J334">
        <v>17.899999999999999</v>
      </c>
      <c r="K334">
        <v>13.4</v>
      </c>
      <c r="L334">
        <v>22.6</v>
      </c>
      <c r="M334">
        <v>22.6</v>
      </c>
      <c r="N334">
        <v>14.5</v>
      </c>
      <c r="O334">
        <v>17.8</v>
      </c>
      <c r="P334">
        <v>9.1</v>
      </c>
      <c r="Q334">
        <v>25.1</v>
      </c>
      <c r="R334" t="s">
        <v>22</v>
      </c>
      <c r="S334">
        <v>16.7</v>
      </c>
      <c r="T334">
        <v>13.4</v>
      </c>
      <c r="U334">
        <v>12.4</v>
      </c>
      <c r="V334">
        <v>13.3</v>
      </c>
      <c r="W334">
        <v>5.5</v>
      </c>
      <c r="X334">
        <v>23.4</v>
      </c>
      <c r="Y334">
        <v>8.3000000000000007</v>
      </c>
      <c r="Z334">
        <v>26.3</v>
      </c>
      <c r="AA334">
        <v>16.5</v>
      </c>
      <c r="AB334">
        <f t="shared" si="10"/>
        <v>254.7</v>
      </c>
      <c r="AC334">
        <v>281</v>
      </c>
      <c r="AD334">
        <v>13</v>
      </c>
      <c r="AE334">
        <f t="shared" si="11"/>
        <v>13</v>
      </c>
      <c r="AF334">
        <v>9</v>
      </c>
      <c r="AG334">
        <v>5</v>
      </c>
      <c r="AH334">
        <v>2</v>
      </c>
      <c r="AI334">
        <v>0</v>
      </c>
      <c r="AJ334">
        <v>0.82352941176470584</v>
      </c>
      <c r="AK334">
        <v>0.52941176470588236</v>
      </c>
      <c r="AL334">
        <v>0.29411764705882354</v>
      </c>
      <c r="AM334">
        <v>0.11764705882352941</v>
      </c>
      <c r="AN334">
        <v>0</v>
      </c>
    </row>
    <row r="335" spans="1:40" x14ac:dyDescent="0.25">
      <c r="A335">
        <v>2024</v>
      </c>
      <c r="B335" t="s">
        <v>331</v>
      </c>
      <c r="C335" t="str">
        <f>IF(COUNTIF('Rookies 22-25'!$B$126:$B$197,E335)&gt;0,"(R)","No")</f>
        <v>No</v>
      </c>
      <c r="D335">
        <v>14</v>
      </c>
      <c r="E335" t="s">
        <v>355</v>
      </c>
      <c r="F335" t="s">
        <v>47</v>
      </c>
      <c r="G335">
        <f>VLOOKUP(E335,'24 Draft ADP'!$B$3:$D$436,3,FALSE)</f>
        <v>102</v>
      </c>
      <c r="H335">
        <v>15</v>
      </c>
      <c r="I335">
        <v>10.3</v>
      </c>
      <c r="J335">
        <v>15</v>
      </c>
      <c r="K335">
        <v>25.8</v>
      </c>
      <c r="L335">
        <v>15.6</v>
      </c>
      <c r="M335">
        <v>15.1</v>
      </c>
      <c r="N335">
        <v>24.1</v>
      </c>
      <c r="O335">
        <v>20.2</v>
      </c>
      <c r="P335">
        <v>26</v>
      </c>
      <c r="Q335" t="s">
        <v>22</v>
      </c>
      <c r="R335">
        <v>23.8</v>
      </c>
      <c r="S335">
        <v>19.399999999999999</v>
      </c>
      <c r="T335" t="s">
        <v>33</v>
      </c>
      <c r="U335">
        <v>2.2000000000000002</v>
      </c>
      <c r="V335">
        <v>22.1</v>
      </c>
      <c r="W335">
        <v>5</v>
      </c>
      <c r="X335">
        <v>22.1</v>
      </c>
      <c r="Y335">
        <v>32.299999999999997</v>
      </c>
      <c r="Z335">
        <v>0</v>
      </c>
      <c r="AA335">
        <v>18.600000000000001</v>
      </c>
      <c r="AB335">
        <f t="shared" si="10"/>
        <v>278.89999999999998</v>
      </c>
      <c r="AC335">
        <v>278.89999999999998</v>
      </c>
      <c r="AD335">
        <v>14</v>
      </c>
      <c r="AE335">
        <f t="shared" si="11"/>
        <v>13</v>
      </c>
      <c r="AF335">
        <v>11</v>
      </c>
      <c r="AG335">
        <v>8</v>
      </c>
      <c r="AH335">
        <v>3</v>
      </c>
      <c r="AI335">
        <v>1</v>
      </c>
      <c r="AJ335">
        <v>0.76470588235294112</v>
      </c>
      <c r="AK335">
        <v>0.73333333333333328</v>
      </c>
      <c r="AL335">
        <v>0.53333333333333333</v>
      </c>
      <c r="AM335">
        <v>0.2</v>
      </c>
      <c r="AN335">
        <v>6.6666666666666666E-2</v>
      </c>
    </row>
    <row r="336" spans="1:40" x14ac:dyDescent="0.25">
      <c r="A336">
        <v>2024</v>
      </c>
      <c r="B336" t="s">
        <v>331</v>
      </c>
      <c r="C336" t="str">
        <f>IF(COUNTIF('Rookies 22-25'!$B$126:$B$197,E336)&gt;0,"(R)","No")</f>
        <v>No</v>
      </c>
      <c r="D336">
        <v>15</v>
      </c>
      <c r="E336" t="s">
        <v>349</v>
      </c>
      <c r="F336" t="s">
        <v>82</v>
      </c>
      <c r="G336">
        <f>VLOOKUP(E336,'24 Draft ADP'!$B$3:$D$436,3,FALSE)</f>
        <v>137</v>
      </c>
      <c r="H336">
        <v>17</v>
      </c>
      <c r="I336">
        <v>9.6</v>
      </c>
      <c r="J336">
        <v>15.1</v>
      </c>
      <c r="K336">
        <v>21</v>
      </c>
      <c r="L336">
        <v>11.6</v>
      </c>
      <c r="M336">
        <v>14.8</v>
      </c>
      <c r="N336">
        <v>18.8</v>
      </c>
      <c r="O336">
        <v>15</v>
      </c>
      <c r="P336">
        <v>17.3</v>
      </c>
      <c r="Q336">
        <v>20.3</v>
      </c>
      <c r="R336">
        <v>4</v>
      </c>
      <c r="S336">
        <v>16.100000000000001</v>
      </c>
      <c r="T336" t="s">
        <v>22</v>
      </c>
      <c r="U336">
        <v>15</v>
      </c>
      <c r="V336">
        <v>17.600000000000001</v>
      </c>
      <c r="W336">
        <v>30.1</v>
      </c>
      <c r="X336">
        <v>12.8</v>
      </c>
      <c r="Y336">
        <v>2.5</v>
      </c>
      <c r="Z336">
        <v>26</v>
      </c>
      <c r="AA336">
        <v>15.7</v>
      </c>
      <c r="AB336">
        <f t="shared" si="10"/>
        <v>241.60000000000002</v>
      </c>
      <c r="AC336">
        <v>267.60000000000002</v>
      </c>
      <c r="AD336">
        <v>15</v>
      </c>
      <c r="AE336">
        <f t="shared" si="11"/>
        <v>13</v>
      </c>
      <c r="AF336">
        <v>9</v>
      </c>
      <c r="AG336">
        <v>4</v>
      </c>
      <c r="AH336">
        <v>2</v>
      </c>
      <c r="AI336">
        <v>1</v>
      </c>
      <c r="AJ336">
        <v>0.82352941176470584</v>
      </c>
      <c r="AK336">
        <v>0.52941176470588236</v>
      </c>
      <c r="AL336">
        <v>0.23529411764705882</v>
      </c>
      <c r="AM336">
        <v>0.11764705882352941</v>
      </c>
      <c r="AN336">
        <v>5.8823529411764705E-2</v>
      </c>
    </row>
    <row r="337" spans="1:40" x14ac:dyDescent="0.25">
      <c r="A337">
        <v>2024</v>
      </c>
      <c r="B337" t="s">
        <v>331</v>
      </c>
      <c r="C337" t="str">
        <f>IF(COUNTIF('Rookies 22-25'!$B$126:$B$197,E337)&gt;0,"(R)","No")</f>
        <v>(R)</v>
      </c>
      <c r="D337">
        <v>16</v>
      </c>
      <c r="E337" t="s">
        <v>337</v>
      </c>
      <c r="F337" t="s">
        <v>45</v>
      </c>
      <c r="G337">
        <f>VLOOKUP(E337,'24 Draft ADP'!$B$3:$D$436,3,FALSE)</f>
        <v>97</v>
      </c>
      <c r="H337">
        <v>17</v>
      </c>
      <c r="I337">
        <v>7.2</v>
      </c>
      <c r="J337">
        <v>9.4</v>
      </c>
      <c r="K337">
        <v>19.3</v>
      </c>
      <c r="L337">
        <v>11.5</v>
      </c>
      <c r="M337">
        <v>23.6</v>
      </c>
      <c r="N337">
        <v>29.6</v>
      </c>
      <c r="O337" t="s">
        <v>22</v>
      </c>
      <c r="P337">
        <v>9.9</v>
      </c>
      <c r="Q337">
        <v>9.1999999999999993</v>
      </c>
      <c r="R337">
        <v>6.3</v>
      </c>
      <c r="S337">
        <v>16.2</v>
      </c>
      <c r="T337">
        <v>26.9</v>
      </c>
      <c r="U337">
        <v>26.1</v>
      </c>
      <c r="V337">
        <v>14.1</v>
      </c>
      <c r="W337">
        <v>9.9</v>
      </c>
      <c r="X337">
        <v>22.8</v>
      </c>
      <c r="Y337">
        <v>7.6</v>
      </c>
      <c r="Z337">
        <v>10.9</v>
      </c>
      <c r="AA337">
        <v>15.3</v>
      </c>
      <c r="AB337">
        <f t="shared" si="10"/>
        <v>249.6</v>
      </c>
      <c r="AC337">
        <v>260.5</v>
      </c>
      <c r="AD337">
        <v>16</v>
      </c>
      <c r="AE337">
        <f t="shared" si="11"/>
        <v>9</v>
      </c>
      <c r="AF337">
        <v>7</v>
      </c>
      <c r="AG337">
        <v>5</v>
      </c>
      <c r="AH337">
        <v>3</v>
      </c>
      <c r="AI337">
        <v>0</v>
      </c>
      <c r="AJ337">
        <v>0.58823529411764708</v>
      </c>
      <c r="AK337">
        <v>0.41176470588235292</v>
      </c>
      <c r="AL337">
        <v>0.29411764705882354</v>
      </c>
      <c r="AM337">
        <v>0.17647058823529413</v>
      </c>
      <c r="AN337">
        <v>0</v>
      </c>
    </row>
    <row r="338" spans="1:40" x14ac:dyDescent="0.25">
      <c r="A338">
        <v>2024</v>
      </c>
      <c r="B338" t="s">
        <v>331</v>
      </c>
      <c r="C338" t="str">
        <f>IF(COUNTIF('Rookies 22-25'!$B$126:$B$197,E338)&gt;0,"(R)","No")</f>
        <v>No</v>
      </c>
      <c r="D338">
        <v>17</v>
      </c>
      <c r="E338" t="s">
        <v>346</v>
      </c>
      <c r="F338" t="s">
        <v>69</v>
      </c>
      <c r="G338">
        <f>VLOOKUP(E338,'24 Draft ADP'!$B$3:$D$436,3,FALSE)</f>
        <v>78</v>
      </c>
      <c r="H338">
        <v>15</v>
      </c>
      <c r="I338">
        <v>17.399999999999999</v>
      </c>
      <c r="J338" t="s">
        <v>33</v>
      </c>
      <c r="K338" t="s">
        <v>33</v>
      </c>
      <c r="L338">
        <v>31.2</v>
      </c>
      <c r="M338">
        <v>17</v>
      </c>
      <c r="N338">
        <v>26.6</v>
      </c>
      <c r="O338">
        <v>18.8</v>
      </c>
      <c r="P338">
        <v>6.7</v>
      </c>
      <c r="Q338">
        <v>11.9</v>
      </c>
      <c r="R338" t="s">
        <v>22</v>
      </c>
      <c r="S338">
        <v>21.2</v>
      </c>
      <c r="T338">
        <v>14.7</v>
      </c>
      <c r="U338">
        <v>19</v>
      </c>
      <c r="V338">
        <v>14.5</v>
      </c>
      <c r="W338">
        <v>17.600000000000001</v>
      </c>
      <c r="X338">
        <v>11.5</v>
      </c>
      <c r="Y338">
        <v>14</v>
      </c>
      <c r="Z338">
        <v>2.8</v>
      </c>
      <c r="AA338">
        <v>16.3</v>
      </c>
      <c r="AB338">
        <f t="shared" si="10"/>
        <v>242.1</v>
      </c>
      <c r="AC338">
        <v>244.9</v>
      </c>
      <c r="AD338">
        <v>17</v>
      </c>
      <c r="AE338">
        <f t="shared" si="11"/>
        <v>13</v>
      </c>
      <c r="AF338">
        <v>8</v>
      </c>
      <c r="AG338">
        <v>3</v>
      </c>
      <c r="AH338">
        <v>2</v>
      </c>
      <c r="AI338">
        <v>1</v>
      </c>
      <c r="AJ338">
        <v>0.76470588235294112</v>
      </c>
      <c r="AK338">
        <v>0.53333333333333333</v>
      </c>
      <c r="AL338">
        <v>0.2</v>
      </c>
      <c r="AM338">
        <v>0.13333333333333333</v>
      </c>
      <c r="AN338">
        <v>6.6666666666666666E-2</v>
      </c>
    </row>
    <row r="339" spans="1:40" x14ac:dyDescent="0.25">
      <c r="A339">
        <v>2024</v>
      </c>
      <c r="B339" t="s">
        <v>331</v>
      </c>
      <c r="C339" t="str">
        <f>IF(COUNTIF('Rookies 22-25'!$B$126:$B$197,E339)&gt;0,"(R)","No")</f>
        <v>No</v>
      </c>
      <c r="D339">
        <v>18</v>
      </c>
      <c r="E339" t="s">
        <v>352</v>
      </c>
      <c r="F339" t="s">
        <v>41</v>
      </c>
      <c r="G339">
        <f>VLOOKUP(E339,'24 Draft ADP'!$B$3:$D$436,3,FALSE)</f>
        <v>60</v>
      </c>
      <c r="H339">
        <v>17</v>
      </c>
      <c r="I339">
        <v>18.7</v>
      </c>
      <c r="J339">
        <v>14.3</v>
      </c>
      <c r="K339">
        <v>11.8</v>
      </c>
      <c r="L339">
        <v>23.5</v>
      </c>
      <c r="M339">
        <v>16.899999999999999</v>
      </c>
      <c r="N339">
        <v>19.399999999999999</v>
      </c>
      <c r="O339">
        <v>5.3</v>
      </c>
      <c r="P339">
        <v>12.4</v>
      </c>
      <c r="Q339">
        <v>11.5</v>
      </c>
      <c r="R339">
        <v>11.8</v>
      </c>
      <c r="S339">
        <v>11.9</v>
      </c>
      <c r="T339">
        <v>17.7</v>
      </c>
      <c r="U339">
        <v>14.4</v>
      </c>
      <c r="V339" t="s">
        <v>22</v>
      </c>
      <c r="W339">
        <v>11.6</v>
      </c>
      <c r="X339">
        <v>18.100000000000001</v>
      </c>
      <c r="Y339">
        <v>7.1</v>
      </c>
      <c r="Z339">
        <v>6</v>
      </c>
      <c r="AA339">
        <v>13.7</v>
      </c>
      <c r="AB339">
        <f t="shared" si="10"/>
        <v>226.4</v>
      </c>
      <c r="AC339">
        <v>232.4</v>
      </c>
      <c r="AD339">
        <v>18</v>
      </c>
      <c r="AE339">
        <f t="shared" si="11"/>
        <v>14</v>
      </c>
      <c r="AF339">
        <v>6</v>
      </c>
      <c r="AG339">
        <v>1</v>
      </c>
      <c r="AH339">
        <v>0</v>
      </c>
      <c r="AI339">
        <v>0</v>
      </c>
      <c r="AJ339">
        <v>0.82352941176470584</v>
      </c>
      <c r="AK339">
        <v>0.35294117647058826</v>
      </c>
      <c r="AL339">
        <v>5.8823529411764705E-2</v>
      </c>
      <c r="AM339">
        <v>0</v>
      </c>
      <c r="AN339">
        <v>0</v>
      </c>
    </row>
    <row r="340" spans="1:40" x14ac:dyDescent="0.25">
      <c r="A340">
        <v>2024</v>
      </c>
      <c r="B340" t="s">
        <v>331</v>
      </c>
      <c r="C340" t="str">
        <f>IF(COUNTIF('Rookies 22-25'!$B$126:$B$197,E340)&gt;0,"(R)","No")</f>
        <v>No</v>
      </c>
      <c r="D340">
        <v>19</v>
      </c>
      <c r="E340" t="s">
        <v>334</v>
      </c>
      <c r="F340" t="s">
        <v>55</v>
      </c>
      <c r="G340">
        <f>VLOOKUP(E340,'24 Draft ADP'!$B$3:$D$436,3,FALSE)</f>
        <v>132</v>
      </c>
      <c r="H340">
        <v>16</v>
      </c>
      <c r="I340">
        <v>15.7</v>
      </c>
      <c r="J340">
        <v>6.6</v>
      </c>
      <c r="K340">
        <v>12.8</v>
      </c>
      <c r="L340">
        <v>5.9</v>
      </c>
      <c r="M340">
        <v>13.4</v>
      </c>
      <c r="N340" t="s">
        <v>22</v>
      </c>
      <c r="O340">
        <v>5</v>
      </c>
      <c r="P340">
        <v>25.8</v>
      </c>
      <c r="Q340">
        <v>18.899999999999999</v>
      </c>
      <c r="R340">
        <v>10.7</v>
      </c>
      <c r="S340">
        <v>27.8</v>
      </c>
      <c r="T340">
        <v>19.2</v>
      </c>
      <c r="U340">
        <v>15.6</v>
      </c>
      <c r="V340">
        <v>20.8</v>
      </c>
      <c r="W340">
        <v>8.1999999999999993</v>
      </c>
      <c r="X340">
        <v>7</v>
      </c>
      <c r="Y340">
        <v>9.1999999999999993</v>
      </c>
      <c r="Z340">
        <v>0</v>
      </c>
      <c r="AA340">
        <v>13.9</v>
      </c>
      <c r="AB340">
        <f t="shared" si="10"/>
        <v>222.6</v>
      </c>
      <c r="AC340">
        <v>222.6</v>
      </c>
      <c r="AD340">
        <v>19</v>
      </c>
      <c r="AE340">
        <f t="shared" si="11"/>
        <v>10</v>
      </c>
      <c r="AF340">
        <v>7</v>
      </c>
      <c r="AG340">
        <v>3</v>
      </c>
      <c r="AH340">
        <v>2</v>
      </c>
      <c r="AI340">
        <v>0</v>
      </c>
      <c r="AJ340">
        <v>0.58823529411764708</v>
      </c>
      <c r="AK340">
        <v>0.4375</v>
      </c>
      <c r="AL340">
        <v>0.1875</v>
      </c>
      <c r="AM340">
        <v>0.125</v>
      </c>
      <c r="AN340">
        <v>0</v>
      </c>
    </row>
    <row r="341" spans="1:40" x14ac:dyDescent="0.25">
      <c r="A341">
        <v>2024</v>
      </c>
      <c r="B341" t="s">
        <v>331</v>
      </c>
      <c r="C341" t="str">
        <f>IF(COUNTIF('Rookies 22-25'!$B$126:$B$197,E341)&gt;0,"(R)","No")</f>
        <v>No</v>
      </c>
      <c r="D341">
        <v>20</v>
      </c>
      <c r="E341" t="s">
        <v>350</v>
      </c>
      <c r="F341" t="s">
        <v>95</v>
      </c>
      <c r="G341">
        <f>VLOOKUP(E341,'24 Draft ADP'!$B$3:$D$436,3,FALSE)</f>
        <v>174</v>
      </c>
      <c r="H341">
        <v>14</v>
      </c>
      <c r="I341">
        <v>11.6</v>
      </c>
      <c r="J341">
        <v>3</v>
      </c>
      <c r="K341" t="s">
        <v>33</v>
      </c>
      <c r="L341" t="s">
        <v>33</v>
      </c>
      <c r="M341">
        <v>3.1</v>
      </c>
      <c r="N341" t="s">
        <v>33</v>
      </c>
      <c r="O341">
        <v>-0.2</v>
      </c>
      <c r="P341">
        <v>15.6</v>
      </c>
      <c r="Q341">
        <v>10.7</v>
      </c>
      <c r="R341">
        <v>12</v>
      </c>
      <c r="S341" t="s">
        <v>22</v>
      </c>
      <c r="T341">
        <v>16.5</v>
      </c>
      <c r="U341">
        <v>23.6</v>
      </c>
      <c r="V341">
        <v>13.5</v>
      </c>
      <c r="W341">
        <v>14</v>
      </c>
      <c r="X341">
        <v>27.1</v>
      </c>
      <c r="Y341">
        <v>16.899999999999999</v>
      </c>
      <c r="Z341">
        <v>36.4</v>
      </c>
      <c r="AA341">
        <v>14.6</v>
      </c>
      <c r="AB341">
        <f t="shared" si="10"/>
        <v>167.6</v>
      </c>
      <c r="AC341">
        <v>204</v>
      </c>
      <c r="AD341">
        <v>20</v>
      </c>
      <c r="AE341">
        <f t="shared" si="11"/>
        <v>10</v>
      </c>
      <c r="AF341">
        <v>6</v>
      </c>
      <c r="AG341">
        <v>3</v>
      </c>
      <c r="AH341">
        <v>2</v>
      </c>
      <c r="AI341">
        <v>1</v>
      </c>
      <c r="AJ341">
        <v>0.6470588235294118</v>
      </c>
      <c r="AK341">
        <v>0.42857142857142855</v>
      </c>
      <c r="AL341">
        <v>0.21428571428571427</v>
      </c>
      <c r="AM341">
        <v>0.14285714285714285</v>
      </c>
      <c r="AN341">
        <v>7.1428571428571425E-2</v>
      </c>
    </row>
    <row r="342" spans="1:40" x14ac:dyDescent="0.25">
      <c r="A342">
        <v>2024</v>
      </c>
      <c r="B342" t="s">
        <v>331</v>
      </c>
      <c r="C342" t="str">
        <f>IF(COUNTIF('Rookies 22-25'!$B$126:$B$197,E342)&gt;0,"(R)","No")</f>
        <v>No</v>
      </c>
      <c r="D342">
        <v>21</v>
      </c>
      <c r="E342" t="s">
        <v>366</v>
      </c>
      <c r="F342" t="s">
        <v>24</v>
      </c>
      <c r="G342">
        <f>VLOOKUP(E342,'24 Draft ADP'!$B$3:$D$436,3,FALSE)</f>
        <v>123</v>
      </c>
      <c r="H342">
        <v>14</v>
      </c>
      <c r="I342">
        <v>8.1999999999999993</v>
      </c>
      <c r="J342">
        <v>17.5</v>
      </c>
      <c r="K342">
        <v>12.1</v>
      </c>
      <c r="L342">
        <v>8.5</v>
      </c>
      <c r="M342">
        <v>35.4</v>
      </c>
      <c r="N342">
        <v>12.5</v>
      </c>
      <c r="O342">
        <v>9.1999999999999993</v>
      </c>
      <c r="P342">
        <v>28.6</v>
      </c>
      <c r="Q342">
        <v>17.8</v>
      </c>
      <c r="R342">
        <v>11.2</v>
      </c>
      <c r="S342">
        <v>5.9</v>
      </c>
      <c r="T342" t="s">
        <v>22</v>
      </c>
      <c r="U342">
        <v>6.1</v>
      </c>
      <c r="V342">
        <v>11.8</v>
      </c>
      <c r="W342">
        <v>7.5</v>
      </c>
      <c r="X342" t="s">
        <v>33</v>
      </c>
      <c r="Y342" t="s">
        <v>33</v>
      </c>
      <c r="Z342">
        <v>0</v>
      </c>
      <c r="AA342">
        <v>13.7</v>
      </c>
      <c r="AB342">
        <f t="shared" si="10"/>
        <v>192.3</v>
      </c>
      <c r="AC342">
        <v>192.3</v>
      </c>
      <c r="AD342">
        <v>21</v>
      </c>
      <c r="AE342">
        <f t="shared" si="11"/>
        <v>8</v>
      </c>
      <c r="AF342">
        <v>4</v>
      </c>
      <c r="AG342">
        <v>2</v>
      </c>
      <c r="AH342">
        <v>2</v>
      </c>
      <c r="AI342">
        <v>1</v>
      </c>
      <c r="AJ342">
        <v>0.47058823529411764</v>
      </c>
      <c r="AK342">
        <v>0.2857142857142857</v>
      </c>
      <c r="AL342">
        <v>0.14285714285714285</v>
      </c>
      <c r="AM342">
        <v>0.14285714285714285</v>
      </c>
      <c r="AN342">
        <v>7.1428571428571425E-2</v>
      </c>
    </row>
    <row r="343" spans="1:40" x14ac:dyDescent="0.25">
      <c r="A343">
        <v>2024</v>
      </c>
      <c r="B343" t="s">
        <v>331</v>
      </c>
      <c r="C343" t="str">
        <f>IF(COUNTIF('Rookies 22-25'!$B$126:$B$197,E343)&gt;0,"(R)","No")</f>
        <v>No</v>
      </c>
      <c r="D343">
        <v>22</v>
      </c>
      <c r="E343" t="s">
        <v>356</v>
      </c>
      <c r="F343" t="s">
        <v>84</v>
      </c>
      <c r="G343">
        <f>VLOOKUP(E343,'24 Draft ADP'!$B$3:$D$436,3,FALSE)</f>
        <v>110</v>
      </c>
      <c r="H343">
        <v>11</v>
      </c>
      <c r="I343">
        <v>18.600000000000001</v>
      </c>
      <c r="J343">
        <v>8.5</v>
      </c>
      <c r="K343" t="s">
        <v>33</v>
      </c>
      <c r="L343" t="s">
        <v>33</v>
      </c>
      <c r="M343" t="s">
        <v>33</v>
      </c>
      <c r="N343" t="s">
        <v>22</v>
      </c>
      <c r="O343" t="s">
        <v>33</v>
      </c>
      <c r="P343">
        <v>14.7</v>
      </c>
      <c r="Q343">
        <v>17.5</v>
      </c>
      <c r="R343">
        <v>9.1999999999999993</v>
      </c>
      <c r="S343">
        <v>23.5</v>
      </c>
      <c r="T343">
        <v>28.5</v>
      </c>
      <c r="U343">
        <v>25.2</v>
      </c>
      <c r="V343">
        <v>23.5</v>
      </c>
      <c r="W343">
        <v>6.8</v>
      </c>
      <c r="X343">
        <v>12.5</v>
      </c>
      <c r="Y343" t="s">
        <v>33</v>
      </c>
      <c r="Z343">
        <v>0</v>
      </c>
      <c r="AA343">
        <v>17.100000000000001</v>
      </c>
      <c r="AB343">
        <f t="shared" si="10"/>
        <v>188.6</v>
      </c>
      <c r="AC343">
        <v>188.6</v>
      </c>
      <c r="AD343">
        <v>22</v>
      </c>
      <c r="AE343">
        <f t="shared" si="11"/>
        <v>8</v>
      </c>
      <c r="AF343">
        <v>6</v>
      </c>
      <c r="AG343">
        <v>4</v>
      </c>
      <c r="AH343">
        <v>2</v>
      </c>
      <c r="AI343">
        <v>0</v>
      </c>
      <c r="AJ343">
        <v>0.47058823529411764</v>
      </c>
      <c r="AK343">
        <v>0.54545454545454541</v>
      </c>
      <c r="AL343">
        <v>0.36363636363636365</v>
      </c>
      <c r="AM343">
        <v>0.18181818181818182</v>
      </c>
      <c r="AN343">
        <v>0</v>
      </c>
    </row>
    <row r="344" spans="1:40" x14ac:dyDescent="0.25">
      <c r="A344">
        <v>2024</v>
      </c>
      <c r="B344" t="s">
        <v>331</v>
      </c>
      <c r="C344" t="str">
        <f>IF(COUNTIF('Rookies 22-25'!$B$126:$B$197,E344)&gt;0,"(R)","No")</f>
        <v>(R)</v>
      </c>
      <c r="D344">
        <v>23</v>
      </c>
      <c r="E344" t="s">
        <v>333</v>
      </c>
      <c r="F344" t="s">
        <v>39</v>
      </c>
      <c r="G344">
        <f>VLOOKUP(E344,'24 Draft ADP'!$B$3:$D$436,3,FALSE)</f>
        <v>197</v>
      </c>
      <c r="H344">
        <v>14</v>
      </c>
      <c r="I344" t="s">
        <v>33</v>
      </c>
      <c r="J344" t="s">
        <v>33</v>
      </c>
      <c r="K344">
        <v>2.1</v>
      </c>
      <c r="L344" t="s">
        <v>33</v>
      </c>
      <c r="M344">
        <v>0</v>
      </c>
      <c r="N344">
        <v>21.5</v>
      </c>
      <c r="O344">
        <v>20.8</v>
      </c>
      <c r="P344">
        <v>11.5</v>
      </c>
      <c r="Q344">
        <v>17.7</v>
      </c>
      <c r="R344">
        <v>12.8</v>
      </c>
      <c r="S344">
        <v>19</v>
      </c>
      <c r="T344">
        <v>14.5</v>
      </c>
      <c r="U344">
        <v>20.399999999999999</v>
      </c>
      <c r="V344" t="s">
        <v>22</v>
      </c>
      <c r="W344">
        <v>18.5</v>
      </c>
      <c r="X344">
        <v>18.399999999999999</v>
      </c>
      <c r="Y344">
        <v>9.9</v>
      </c>
      <c r="Z344">
        <v>0</v>
      </c>
      <c r="AA344">
        <v>13.4</v>
      </c>
      <c r="AB344">
        <f t="shared" si="10"/>
        <v>187.1</v>
      </c>
      <c r="AC344">
        <v>187.1</v>
      </c>
      <c r="AD344">
        <v>23</v>
      </c>
      <c r="AE344">
        <f t="shared" si="11"/>
        <v>10</v>
      </c>
      <c r="AF344">
        <v>7</v>
      </c>
      <c r="AG344">
        <v>3</v>
      </c>
      <c r="AH344">
        <v>0</v>
      </c>
      <c r="AI344">
        <v>0</v>
      </c>
      <c r="AJ344">
        <v>0.58823529411764708</v>
      </c>
      <c r="AK344">
        <v>0.5</v>
      </c>
      <c r="AL344">
        <v>0.21428571428571427</v>
      </c>
      <c r="AM344">
        <v>0</v>
      </c>
      <c r="AN344">
        <v>0</v>
      </c>
    </row>
    <row r="345" spans="1:40" x14ac:dyDescent="0.25">
      <c r="A345">
        <v>2024</v>
      </c>
      <c r="B345" t="s">
        <v>331</v>
      </c>
      <c r="C345" t="str">
        <f>IF(COUNTIF('Rookies 22-25'!$B$126:$B$197,E345)&gt;0,"(R)","No")</f>
        <v>No</v>
      </c>
      <c r="D345">
        <v>24</v>
      </c>
      <c r="E345" t="s">
        <v>375</v>
      </c>
      <c r="F345" t="s">
        <v>71</v>
      </c>
      <c r="G345">
        <f>VLOOKUP(E345,'24 Draft ADP'!$B$3:$D$436,3,FALSE)</f>
        <v>204</v>
      </c>
      <c r="H345">
        <v>11</v>
      </c>
      <c r="I345" t="s">
        <v>33</v>
      </c>
      <c r="J345" t="s">
        <v>33</v>
      </c>
      <c r="K345" t="s">
        <v>33</v>
      </c>
      <c r="L345" t="s">
        <v>33</v>
      </c>
      <c r="M345" t="s">
        <v>33</v>
      </c>
      <c r="N345" t="s">
        <v>33</v>
      </c>
      <c r="O345">
        <v>24.9</v>
      </c>
      <c r="P345">
        <v>13.8</v>
      </c>
      <c r="Q345" t="s">
        <v>22</v>
      </c>
      <c r="R345">
        <v>19.100000000000001</v>
      </c>
      <c r="S345">
        <v>7.3</v>
      </c>
      <c r="T345">
        <v>13.8</v>
      </c>
      <c r="U345">
        <v>27.9</v>
      </c>
      <c r="V345">
        <v>16</v>
      </c>
      <c r="W345">
        <v>8.4</v>
      </c>
      <c r="X345">
        <v>16.399999999999999</v>
      </c>
      <c r="Y345">
        <v>18.7</v>
      </c>
      <c r="Z345">
        <v>11.5</v>
      </c>
      <c r="AA345">
        <v>16.2</v>
      </c>
      <c r="AB345">
        <f t="shared" si="10"/>
        <v>166.3</v>
      </c>
      <c r="AC345">
        <v>177.8</v>
      </c>
      <c r="AD345">
        <v>24</v>
      </c>
      <c r="AE345">
        <f t="shared" si="11"/>
        <v>8</v>
      </c>
      <c r="AF345">
        <v>6</v>
      </c>
      <c r="AG345">
        <v>2</v>
      </c>
      <c r="AH345">
        <v>1</v>
      </c>
      <c r="AI345">
        <v>0</v>
      </c>
      <c r="AJ345">
        <v>0.52941176470588236</v>
      </c>
      <c r="AK345">
        <v>0.54545454545454541</v>
      </c>
      <c r="AL345">
        <v>0.18181818181818182</v>
      </c>
      <c r="AM345">
        <v>9.0909090909090912E-2</v>
      </c>
      <c r="AN345">
        <v>0</v>
      </c>
    </row>
    <row r="346" spans="1:40" x14ac:dyDescent="0.25">
      <c r="A346">
        <v>2024</v>
      </c>
      <c r="B346" t="s">
        <v>331</v>
      </c>
      <c r="C346" t="str">
        <f>IF(COUNTIF('Rookies 22-25'!$B$126:$B$197,E346)&gt;0,"(R)","No")</f>
        <v>No</v>
      </c>
      <c r="D346">
        <v>25</v>
      </c>
      <c r="E346" t="s">
        <v>377</v>
      </c>
      <c r="F346" t="s">
        <v>28</v>
      </c>
      <c r="G346">
        <f>VLOOKUP(E346,'24 Draft ADP'!$B$3:$D$436,3,FALSE)</f>
        <v>58</v>
      </c>
      <c r="H346">
        <v>11</v>
      </c>
      <c r="I346">
        <v>27.1</v>
      </c>
      <c r="J346">
        <v>12.9</v>
      </c>
      <c r="K346">
        <v>7.1</v>
      </c>
      <c r="L346">
        <v>5.2</v>
      </c>
      <c r="M346" t="s">
        <v>33</v>
      </c>
      <c r="N346" t="s">
        <v>33</v>
      </c>
      <c r="O346">
        <v>8.8000000000000007</v>
      </c>
      <c r="P346">
        <v>12.5</v>
      </c>
      <c r="Q346" t="s">
        <v>33</v>
      </c>
      <c r="R346" t="s">
        <v>33</v>
      </c>
      <c r="S346">
        <v>28.1</v>
      </c>
      <c r="T346">
        <v>13</v>
      </c>
      <c r="U346">
        <v>23.2</v>
      </c>
      <c r="V346" t="s">
        <v>22</v>
      </c>
      <c r="W346">
        <v>15.4</v>
      </c>
      <c r="X346">
        <v>21.2</v>
      </c>
      <c r="Y346" t="s">
        <v>33</v>
      </c>
      <c r="Z346">
        <v>0</v>
      </c>
      <c r="AA346">
        <v>15.9</v>
      </c>
      <c r="AB346">
        <f t="shared" si="10"/>
        <v>174.4</v>
      </c>
      <c r="AC346">
        <v>174.4</v>
      </c>
      <c r="AD346">
        <v>25</v>
      </c>
      <c r="AE346">
        <f t="shared" si="11"/>
        <v>8</v>
      </c>
      <c r="AF346">
        <v>5</v>
      </c>
      <c r="AG346">
        <v>4</v>
      </c>
      <c r="AH346">
        <v>2</v>
      </c>
      <c r="AI346">
        <v>0</v>
      </c>
      <c r="AJ346">
        <v>0.47058823529411764</v>
      </c>
      <c r="AK346">
        <v>0.45454545454545453</v>
      </c>
      <c r="AL346">
        <v>0.36363636363636365</v>
      </c>
      <c r="AM346">
        <v>0.18181818181818182</v>
      </c>
      <c r="AN346">
        <v>0</v>
      </c>
    </row>
    <row r="347" spans="1:40" x14ac:dyDescent="0.25">
      <c r="A347">
        <v>2024</v>
      </c>
      <c r="B347" t="s">
        <v>331</v>
      </c>
      <c r="C347" t="str">
        <f>IF(COUNTIF('Rookies 22-25'!$B$126:$B$197,E347)&gt;0,"(R)","No")</f>
        <v>No</v>
      </c>
      <c r="D347">
        <v>26</v>
      </c>
      <c r="E347" t="s">
        <v>378</v>
      </c>
      <c r="F347" t="s">
        <v>37</v>
      </c>
      <c r="G347">
        <f>VLOOKUP(E347,'24 Draft ADP'!$B$3:$D$436,3,FALSE)</f>
        <v>175</v>
      </c>
      <c r="H347">
        <v>10</v>
      </c>
      <c r="I347">
        <v>21.3</v>
      </c>
      <c r="J347">
        <v>22.8</v>
      </c>
      <c r="K347">
        <v>9</v>
      </c>
      <c r="L347">
        <v>9.1</v>
      </c>
      <c r="M347">
        <v>13.6</v>
      </c>
      <c r="N347" t="s">
        <v>33</v>
      </c>
      <c r="O347" t="s">
        <v>33</v>
      </c>
      <c r="P347" t="s">
        <v>33</v>
      </c>
      <c r="Q347">
        <v>13.4</v>
      </c>
      <c r="R347">
        <v>20.5</v>
      </c>
      <c r="S347">
        <v>18.7</v>
      </c>
      <c r="T347" t="s">
        <v>22</v>
      </c>
      <c r="U347">
        <v>14.6</v>
      </c>
      <c r="V347">
        <v>13</v>
      </c>
      <c r="W347" t="s">
        <v>33</v>
      </c>
      <c r="X347" t="s">
        <v>33</v>
      </c>
      <c r="Y347" t="s">
        <v>33</v>
      </c>
      <c r="Z347">
        <v>0</v>
      </c>
      <c r="AA347">
        <v>15.6</v>
      </c>
      <c r="AB347">
        <f t="shared" si="10"/>
        <v>155.9</v>
      </c>
      <c r="AC347">
        <v>155.9</v>
      </c>
      <c r="AD347">
        <v>26</v>
      </c>
      <c r="AE347">
        <f t="shared" si="11"/>
        <v>8</v>
      </c>
      <c r="AF347">
        <v>4</v>
      </c>
      <c r="AG347">
        <v>3</v>
      </c>
      <c r="AH347">
        <v>0</v>
      </c>
      <c r="AI347">
        <v>0</v>
      </c>
      <c r="AJ347">
        <v>0.47058823529411764</v>
      </c>
      <c r="AK347">
        <v>0.4</v>
      </c>
      <c r="AL347">
        <v>0.3</v>
      </c>
      <c r="AM347">
        <v>0</v>
      </c>
      <c r="AN347">
        <v>0</v>
      </c>
    </row>
    <row r="348" spans="1:40" x14ac:dyDescent="0.25">
      <c r="A348">
        <v>2024</v>
      </c>
      <c r="B348" t="s">
        <v>331</v>
      </c>
      <c r="C348" t="str">
        <f>IF(COUNTIF('Rookies 22-25'!$B$126:$B$197,E348)&gt;0,"(R)","No")</f>
        <v>No</v>
      </c>
      <c r="D348">
        <v>27</v>
      </c>
      <c r="E348" t="s">
        <v>335</v>
      </c>
      <c r="F348" t="s">
        <v>67</v>
      </c>
      <c r="G348">
        <f>VLOOKUP(E348,'24 Draft ADP'!$B$3:$D$436,3,FALSE)</f>
        <v>113</v>
      </c>
      <c r="H348">
        <v>10</v>
      </c>
      <c r="I348">
        <v>11.3</v>
      </c>
      <c r="J348">
        <v>13.3</v>
      </c>
      <c r="K348">
        <v>10.4</v>
      </c>
      <c r="L348">
        <v>14.8</v>
      </c>
      <c r="M348">
        <v>22.2</v>
      </c>
      <c r="N348">
        <v>18.100000000000001</v>
      </c>
      <c r="O348">
        <v>15</v>
      </c>
      <c r="P348">
        <v>24.3</v>
      </c>
      <c r="Q348">
        <v>21.6</v>
      </c>
      <c r="R348" t="s">
        <v>33</v>
      </c>
      <c r="S348" t="s">
        <v>33</v>
      </c>
      <c r="T348" t="s">
        <v>22</v>
      </c>
      <c r="U348">
        <v>1.2</v>
      </c>
      <c r="V348" t="s">
        <v>33</v>
      </c>
      <c r="W348" t="s">
        <v>33</v>
      </c>
      <c r="X348" t="s">
        <v>33</v>
      </c>
      <c r="Y348" t="s">
        <v>33</v>
      </c>
      <c r="Z348">
        <v>0</v>
      </c>
      <c r="AA348">
        <v>15.2</v>
      </c>
      <c r="AB348">
        <f t="shared" si="10"/>
        <v>152.19999999999999</v>
      </c>
      <c r="AC348">
        <v>152.19999999999999</v>
      </c>
      <c r="AD348">
        <v>27</v>
      </c>
      <c r="AE348">
        <f t="shared" si="11"/>
        <v>9</v>
      </c>
      <c r="AF348">
        <v>4</v>
      </c>
      <c r="AG348">
        <v>3</v>
      </c>
      <c r="AH348">
        <v>0</v>
      </c>
      <c r="AI348">
        <v>0</v>
      </c>
      <c r="AJ348">
        <v>0.52941176470588236</v>
      </c>
      <c r="AK348">
        <v>0.4</v>
      </c>
      <c r="AL348">
        <v>0.3</v>
      </c>
      <c r="AM348">
        <v>0</v>
      </c>
      <c r="AN348">
        <v>0</v>
      </c>
    </row>
    <row r="349" spans="1:40" x14ac:dyDescent="0.25">
      <c r="A349">
        <v>2024</v>
      </c>
      <c r="B349" t="s">
        <v>331</v>
      </c>
      <c r="C349" t="str">
        <f>IF(COUNTIF('Rookies 22-25'!$B$126:$B$197,E349)&gt;0,"(R)","No")</f>
        <v>No</v>
      </c>
      <c r="D349">
        <v>28</v>
      </c>
      <c r="E349" t="s">
        <v>379</v>
      </c>
      <c r="F349" t="s">
        <v>32</v>
      </c>
      <c r="G349">
        <f>VLOOKUP(E349,'24 Draft ADP'!$B$3:$D$436,3,FALSE)</f>
        <v>292</v>
      </c>
      <c r="H349">
        <v>12</v>
      </c>
      <c r="I349" t="s">
        <v>33</v>
      </c>
      <c r="J349">
        <v>0.4</v>
      </c>
      <c r="K349">
        <v>0.1</v>
      </c>
      <c r="L349" t="s">
        <v>33</v>
      </c>
      <c r="M349">
        <v>0.3</v>
      </c>
      <c r="N349">
        <v>0</v>
      </c>
      <c r="O349">
        <v>8.6999999999999993</v>
      </c>
      <c r="P349">
        <v>23.6</v>
      </c>
      <c r="Q349">
        <v>13.1</v>
      </c>
      <c r="R349" t="s">
        <v>22</v>
      </c>
      <c r="S349">
        <v>26.6</v>
      </c>
      <c r="T349">
        <v>14.5</v>
      </c>
      <c r="U349">
        <v>36</v>
      </c>
      <c r="V349">
        <v>17.3</v>
      </c>
      <c r="W349">
        <v>2.6</v>
      </c>
      <c r="X349" t="s">
        <v>33</v>
      </c>
      <c r="Y349" t="s">
        <v>33</v>
      </c>
      <c r="Z349">
        <v>0</v>
      </c>
      <c r="AA349">
        <v>11.9</v>
      </c>
      <c r="AB349">
        <f t="shared" si="10"/>
        <v>143.1</v>
      </c>
      <c r="AC349">
        <v>143.1</v>
      </c>
      <c r="AD349">
        <v>28</v>
      </c>
      <c r="AE349">
        <f t="shared" si="11"/>
        <v>6</v>
      </c>
      <c r="AF349">
        <v>4</v>
      </c>
      <c r="AG349">
        <v>3</v>
      </c>
      <c r="AH349">
        <v>2</v>
      </c>
      <c r="AI349">
        <v>1</v>
      </c>
      <c r="AJ349">
        <v>0.35294117647058826</v>
      </c>
      <c r="AK349">
        <v>0.33333333333333331</v>
      </c>
      <c r="AL349">
        <v>0.25</v>
      </c>
      <c r="AM349">
        <v>0.16666666666666666</v>
      </c>
      <c r="AN349">
        <v>8.3333333333333329E-2</v>
      </c>
    </row>
    <row r="350" spans="1:40" x14ac:dyDescent="0.25">
      <c r="A350">
        <v>2024</v>
      </c>
      <c r="B350" t="s">
        <v>331</v>
      </c>
      <c r="C350" t="str">
        <f>IF(COUNTIF('Rookies 22-25'!$B$126:$B$197,E350)&gt;0,"(R)","No")</f>
        <v>No</v>
      </c>
      <c r="D350">
        <v>29</v>
      </c>
      <c r="E350" t="s">
        <v>348</v>
      </c>
      <c r="F350" t="s">
        <v>73</v>
      </c>
      <c r="G350">
        <f>VLOOKUP(E350,'24 Draft ADP'!$B$3:$D$436,3,FALSE)</f>
        <v>182</v>
      </c>
      <c r="H350">
        <v>10</v>
      </c>
      <c r="I350">
        <v>6.9</v>
      </c>
      <c r="J350">
        <v>18.3</v>
      </c>
      <c r="K350">
        <v>19.399999999999999</v>
      </c>
      <c r="L350">
        <v>10.5</v>
      </c>
      <c r="M350">
        <v>22.1</v>
      </c>
      <c r="N350">
        <v>12.8</v>
      </c>
      <c r="O350">
        <v>6</v>
      </c>
      <c r="P350">
        <v>7.7</v>
      </c>
      <c r="Q350">
        <v>24.4</v>
      </c>
      <c r="R350">
        <v>14.2</v>
      </c>
      <c r="S350" t="s">
        <v>33</v>
      </c>
      <c r="T350" t="s">
        <v>33</v>
      </c>
      <c r="U350" t="s">
        <v>33</v>
      </c>
      <c r="V350" t="s">
        <v>33</v>
      </c>
      <c r="W350" t="s">
        <v>33</v>
      </c>
      <c r="X350" t="s">
        <v>33</v>
      </c>
      <c r="Y350" t="s">
        <v>33</v>
      </c>
      <c r="Z350">
        <v>0</v>
      </c>
      <c r="AA350">
        <v>14.2</v>
      </c>
      <c r="AB350">
        <f t="shared" si="10"/>
        <v>142.30000000000001</v>
      </c>
      <c r="AC350">
        <v>142.30000000000001</v>
      </c>
      <c r="AD350">
        <v>29</v>
      </c>
      <c r="AE350">
        <f t="shared" si="11"/>
        <v>7</v>
      </c>
      <c r="AF350">
        <v>4</v>
      </c>
      <c r="AG350">
        <v>2</v>
      </c>
      <c r="AH350">
        <v>0</v>
      </c>
      <c r="AI350">
        <v>0</v>
      </c>
      <c r="AJ350">
        <v>0.41176470588235292</v>
      </c>
      <c r="AK350">
        <v>0.4</v>
      </c>
      <c r="AL350">
        <v>0.2</v>
      </c>
      <c r="AM350">
        <v>0</v>
      </c>
      <c r="AN350">
        <v>0</v>
      </c>
    </row>
    <row r="351" spans="1:40" x14ac:dyDescent="0.25">
      <c r="A351">
        <v>2024</v>
      </c>
      <c r="B351" t="s">
        <v>331</v>
      </c>
      <c r="C351" t="str">
        <f>IF(COUNTIF('Rookies 22-25'!$B$126:$B$197,E351)&gt;0,"(R)","No")</f>
        <v>No</v>
      </c>
      <c r="D351">
        <v>30</v>
      </c>
      <c r="E351" t="s">
        <v>380</v>
      </c>
      <c r="F351" t="s">
        <v>63</v>
      </c>
      <c r="G351">
        <f>VLOOKUP(E351,'24 Draft ADP'!$B$3:$D$436,3,FALSE)</f>
        <v>158</v>
      </c>
      <c r="H351">
        <v>12</v>
      </c>
      <c r="I351">
        <v>8.6999999999999993</v>
      </c>
      <c r="J351">
        <v>12.5</v>
      </c>
      <c r="K351">
        <v>15.6</v>
      </c>
      <c r="L351">
        <v>0.5</v>
      </c>
      <c r="M351" t="s">
        <v>22</v>
      </c>
      <c r="N351">
        <v>8.3000000000000007</v>
      </c>
      <c r="O351" t="s">
        <v>33</v>
      </c>
      <c r="P351" t="s">
        <v>33</v>
      </c>
      <c r="Q351" t="s">
        <v>33</v>
      </c>
      <c r="R351">
        <v>19.100000000000001</v>
      </c>
      <c r="S351">
        <v>16.600000000000001</v>
      </c>
      <c r="T351">
        <v>17.100000000000001</v>
      </c>
      <c r="U351">
        <v>16.2</v>
      </c>
      <c r="V351">
        <v>7</v>
      </c>
      <c r="W351">
        <v>-1.4</v>
      </c>
      <c r="X351" t="s">
        <v>33</v>
      </c>
      <c r="Y351" t="s">
        <v>33</v>
      </c>
      <c r="Z351">
        <v>11.8</v>
      </c>
      <c r="AA351">
        <v>11</v>
      </c>
      <c r="AB351">
        <f t="shared" si="10"/>
        <v>120.10000000000001</v>
      </c>
      <c r="AC351">
        <v>131.9</v>
      </c>
      <c r="AD351">
        <v>30</v>
      </c>
      <c r="AE351">
        <f t="shared" si="11"/>
        <v>6</v>
      </c>
      <c r="AF351">
        <v>5</v>
      </c>
      <c r="AG351">
        <v>0</v>
      </c>
      <c r="AH351">
        <v>0</v>
      </c>
      <c r="AI351">
        <v>0</v>
      </c>
      <c r="AJ351">
        <v>0.41176470588235292</v>
      </c>
      <c r="AK351">
        <v>0.41666666666666669</v>
      </c>
      <c r="AL351">
        <v>0</v>
      </c>
      <c r="AM351">
        <v>0</v>
      </c>
      <c r="AN351">
        <v>0</v>
      </c>
    </row>
    <row r="352" spans="1:40" x14ac:dyDescent="0.25">
      <c r="A352">
        <v>2024</v>
      </c>
      <c r="B352" t="s">
        <v>331</v>
      </c>
      <c r="C352" t="str">
        <f>IF(COUNTIF('Rookies 22-25'!$B$126:$B$197,E352)&gt;0,"(R)","No")</f>
        <v>No</v>
      </c>
      <c r="D352">
        <v>31</v>
      </c>
      <c r="E352" t="s">
        <v>336</v>
      </c>
      <c r="F352" t="s">
        <v>30</v>
      </c>
      <c r="G352">
        <f>VLOOKUP(E352,'24 Draft ADP'!$B$3:$D$436,3,FALSE)</f>
        <v>83</v>
      </c>
      <c r="H352">
        <v>8</v>
      </c>
      <c r="I352">
        <v>11.5</v>
      </c>
      <c r="J352">
        <v>14.9</v>
      </c>
      <c r="K352">
        <v>29.9</v>
      </c>
      <c r="L352">
        <v>16.7</v>
      </c>
      <c r="M352">
        <v>18.399999999999999</v>
      </c>
      <c r="N352">
        <v>5.2</v>
      </c>
      <c r="O352" t="s">
        <v>22</v>
      </c>
      <c r="P352">
        <v>15.6</v>
      </c>
      <c r="Q352">
        <v>12.3</v>
      </c>
      <c r="R352" t="s">
        <v>33</v>
      </c>
      <c r="S352" t="s">
        <v>33</v>
      </c>
      <c r="T352" t="s">
        <v>33</v>
      </c>
      <c r="U352" t="s">
        <v>33</v>
      </c>
      <c r="V352" t="s">
        <v>33</v>
      </c>
      <c r="W352" t="s">
        <v>33</v>
      </c>
      <c r="X352" t="s">
        <v>33</v>
      </c>
      <c r="Y352" t="s">
        <v>33</v>
      </c>
      <c r="Z352">
        <v>0</v>
      </c>
      <c r="AA352">
        <v>15.6</v>
      </c>
      <c r="AB352">
        <f t="shared" si="10"/>
        <v>124.5</v>
      </c>
      <c r="AC352">
        <v>124.5</v>
      </c>
      <c r="AD352">
        <v>31</v>
      </c>
      <c r="AE352">
        <f t="shared" si="11"/>
        <v>7</v>
      </c>
      <c r="AF352">
        <v>4</v>
      </c>
      <c r="AG352">
        <v>1</v>
      </c>
      <c r="AH352">
        <v>1</v>
      </c>
      <c r="AI352">
        <v>0</v>
      </c>
      <c r="AJ352">
        <v>0.41176470588235292</v>
      </c>
      <c r="AK352">
        <v>0.5</v>
      </c>
      <c r="AL352">
        <v>0.125</v>
      </c>
      <c r="AM352">
        <v>0.125</v>
      </c>
      <c r="AN352">
        <v>0</v>
      </c>
    </row>
    <row r="353" spans="1:40" x14ac:dyDescent="0.25">
      <c r="A353">
        <v>2024</v>
      </c>
      <c r="B353" t="s">
        <v>331</v>
      </c>
      <c r="C353" t="str">
        <f>IF(COUNTIF('Rookies 22-25'!$B$126:$B$197,E353)&gt;0,"(R)","No")</f>
        <v>No</v>
      </c>
      <c r="D353">
        <v>32</v>
      </c>
      <c r="E353" t="s">
        <v>359</v>
      </c>
      <c r="F353" t="s">
        <v>71</v>
      </c>
      <c r="G353">
        <f>VLOOKUP(E353,'24 Draft ADP'!$B$3:$D$436,3,FALSE)</f>
        <v>196</v>
      </c>
      <c r="H353">
        <v>10</v>
      </c>
      <c r="I353">
        <v>11.9</v>
      </c>
      <c r="J353">
        <v>11.4</v>
      </c>
      <c r="K353">
        <v>19.399999999999999</v>
      </c>
      <c r="L353">
        <v>32</v>
      </c>
      <c r="M353">
        <v>15.9</v>
      </c>
      <c r="N353">
        <v>23.7</v>
      </c>
      <c r="O353" t="s">
        <v>33</v>
      </c>
      <c r="P353" t="s">
        <v>33</v>
      </c>
      <c r="Q353" t="s">
        <v>22</v>
      </c>
      <c r="R353" t="s">
        <v>33</v>
      </c>
      <c r="S353">
        <v>1.7</v>
      </c>
      <c r="T353">
        <v>2.6</v>
      </c>
      <c r="U353">
        <v>0.7</v>
      </c>
      <c r="V353" t="s">
        <v>33</v>
      </c>
      <c r="W353">
        <v>0.8</v>
      </c>
      <c r="X353" t="s">
        <v>33</v>
      </c>
      <c r="Y353" t="s">
        <v>33</v>
      </c>
      <c r="Z353">
        <v>0</v>
      </c>
      <c r="AA353">
        <v>12</v>
      </c>
      <c r="AB353">
        <f t="shared" si="10"/>
        <v>120.1</v>
      </c>
      <c r="AC353">
        <v>120.1</v>
      </c>
      <c r="AD353">
        <v>32</v>
      </c>
      <c r="AE353">
        <f t="shared" si="11"/>
        <v>6</v>
      </c>
      <c r="AF353">
        <v>4</v>
      </c>
      <c r="AG353">
        <v>2</v>
      </c>
      <c r="AH353">
        <v>1</v>
      </c>
      <c r="AI353">
        <v>1</v>
      </c>
      <c r="AJ353">
        <v>0.35294117647058826</v>
      </c>
      <c r="AK353">
        <v>0.4</v>
      </c>
      <c r="AL353">
        <v>0.2</v>
      </c>
      <c r="AM353">
        <v>0.1</v>
      </c>
      <c r="AN353">
        <v>0.1</v>
      </c>
    </row>
    <row r="354" spans="1:40" x14ac:dyDescent="0.25">
      <c r="A354">
        <v>2024</v>
      </c>
      <c r="B354" t="s">
        <v>331</v>
      </c>
      <c r="C354" t="str">
        <f>IF(COUNTIF('Rookies 22-25'!$B$126:$B$197,E354)&gt;0,"(R)","No")</f>
        <v>No</v>
      </c>
      <c r="D354">
        <v>33</v>
      </c>
      <c r="E354" t="s">
        <v>381</v>
      </c>
      <c r="F354" t="s">
        <v>30</v>
      </c>
      <c r="G354">
        <v>306</v>
      </c>
      <c r="H354">
        <v>12</v>
      </c>
      <c r="I354">
        <v>-0.1</v>
      </c>
      <c r="J354">
        <v>0.2</v>
      </c>
      <c r="K354" t="s">
        <v>33</v>
      </c>
      <c r="L354" t="s">
        <v>33</v>
      </c>
      <c r="M354" t="s">
        <v>33</v>
      </c>
      <c r="N354">
        <v>1</v>
      </c>
      <c r="O354" t="s">
        <v>22</v>
      </c>
      <c r="P354" t="s">
        <v>33</v>
      </c>
      <c r="Q354">
        <v>11</v>
      </c>
      <c r="R354">
        <v>-2</v>
      </c>
      <c r="S354">
        <v>17.399999999999999</v>
      </c>
      <c r="T354">
        <v>18</v>
      </c>
      <c r="U354">
        <v>11.8</v>
      </c>
      <c r="V354">
        <v>14.8</v>
      </c>
      <c r="W354">
        <v>19.100000000000001</v>
      </c>
      <c r="X354">
        <v>15.3</v>
      </c>
      <c r="Y354">
        <v>8.1</v>
      </c>
      <c r="Z354">
        <v>0</v>
      </c>
      <c r="AA354">
        <v>9.5</v>
      </c>
      <c r="AB354">
        <f t="shared" si="10"/>
        <v>114.6</v>
      </c>
      <c r="AC354">
        <v>114.6</v>
      </c>
      <c r="AD354">
        <v>33</v>
      </c>
      <c r="AE354">
        <f t="shared" si="11"/>
        <v>7</v>
      </c>
      <c r="AF354">
        <v>4</v>
      </c>
      <c r="AG354">
        <v>0</v>
      </c>
      <c r="AH354">
        <v>0</v>
      </c>
      <c r="AI354">
        <v>0</v>
      </c>
      <c r="AJ354">
        <v>0.41176470588235292</v>
      </c>
      <c r="AK354">
        <v>0.33333333333333331</v>
      </c>
      <c r="AL354">
        <v>0</v>
      </c>
      <c r="AM354">
        <v>0</v>
      </c>
      <c r="AN354">
        <v>0</v>
      </c>
    </row>
    <row r="355" spans="1:40" x14ac:dyDescent="0.25">
      <c r="A355">
        <v>2024</v>
      </c>
      <c r="B355" t="s">
        <v>331</v>
      </c>
      <c r="C355" t="str">
        <f>IF(COUNTIF('Rookies 22-25'!$B$126:$B$197,E355)&gt;0,"(R)","No")</f>
        <v>No</v>
      </c>
      <c r="D355">
        <v>34</v>
      </c>
      <c r="E355" t="s">
        <v>382</v>
      </c>
      <c r="F355" t="s">
        <v>43</v>
      </c>
      <c r="G355">
        <f>VLOOKUP(E355,'24 Draft ADP'!$B$3:$D$436,3,FALSE)</f>
        <v>206</v>
      </c>
      <c r="H355">
        <v>10</v>
      </c>
      <c r="I355">
        <v>11.8</v>
      </c>
      <c r="J355">
        <v>13.9</v>
      </c>
      <c r="K355">
        <v>15</v>
      </c>
      <c r="L355">
        <v>5</v>
      </c>
      <c r="M355">
        <v>9.6999999999999993</v>
      </c>
      <c r="N355" t="s">
        <v>33</v>
      </c>
      <c r="O355">
        <v>1.4</v>
      </c>
      <c r="P355">
        <v>15</v>
      </c>
      <c r="Q355">
        <v>3</v>
      </c>
      <c r="R355" t="s">
        <v>22</v>
      </c>
      <c r="S355">
        <v>19</v>
      </c>
      <c r="T355">
        <v>12.7</v>
      </c>
      <c r="U355" t="s">
        <v>33</v>
      </c>
      <c r="V355" t="s">
        <v>33</v>
      </c>
      <c r="W355" t="s">
        <v>33</v>
      </c>
      <c r="X355" t="s">
        <v>33</v>
      </c>
      <c r="Y355" t="s">
        <v>33</v>
      </c>
      <c r="Z355">
        <v>0</v>
      </c>
      <c r="AA355">
        <v>10.6</v>
      </c>
      <c r="AB355">
        <f t="shared" si="10"/>
        <v>106.3</v>
      </c>
      <c r="AC355">
        <v>106.3</v>
      </c>
      <c r="AD355">
        <v>34</v>
      </c>
      <c r="AE355">
        <f t="shared" si="11"/>
        <v>6</v>
      </c>
      <c r="AF355">
        <v>1</v>
      </c>
      <c r="AG355">
        <v>0</v>
      </c>
      <c r="AH355">
        <v>0</v>
      </c>
      <c r="AI355">
        <v>0</v>
      </c>
      <c r="AJ355">
        <v>0.35294117647058826</v>
      </c>
      <c r="AK355">
        <v>0.1</v>
      </c>
      <c r="AL355">
        <v>0</v>
      </c>
      <c r="AM355">
        <v>0</v>
      </c>
      <c r="AN355">
        <v>0</v>
      </c>
    </row>
    <row r="356" spans="1:40" x14ac:dyDescent="0.25">
      <c r="A356">
        <v>2024</v>
      </c>
      <c r="B356" t="s">
        <v>331</v>
      </c>
      <c r="C356" t="str">
        <f>IF(COUNTIF('Rookies 22-25'!$B$126:$B$197,E356)&gt;0,"(R)","No")</f>
        <v>No</v>
      </c>
      <c r="D356">
        <v>35</v>
      </c>
      <c r="E356" t="s">
        <v>358</v>
      </c>
      <c r="F356" t="s">
        <v>28</v>
      </c>
      <c r="G356">
        <f>VLOOKUP(E356,'24 Draft ADP'!$B$3:$D$436,3,FALSE)</f>
        <v>259</v>
      </c>
      <c r="H356">
        <v>8</v>
      </c>
      <c r="I356" t="s">
        <v>33</v>
      </c>
      <c r="J356" t="s">
        <v>33</v>
      </c>
      <c r="K356" t="s">
        <v>33</v>
      </c>
      <c r="L356">
        <v>15</v>
      </c>
      <c r="M356">
        <v>26.6</v>
      </c>
      <c r="N356">
        <v>14.7</v>
      </c>
      <c r="O356" t="s">
        <v>33</v>
      </c>
      <c r="P356">
        <v>0</v>
      </c>
      <c r="Q356">
        <v>4.0999999999999996</v>
      </c>
      <c r="R356">
        <v>13.9</v>
      </c>
      <c r="S356" t="s">
        <v>33</v>
      </c>
      <c r="T356" t="s">
        <v>33</v>
      </c>
      <c r="U356" t="s">
        <v>33</v>
      </c>
      <c r="V356" t="s">
        <v>22</v>
      </c>
      <c r="W356" t="s">
        <v>33</v>
      </c>
      <c r="X356" t="s">
        <v>33</v>
      </c>
      <c r="Y356">
        <v>17.3</v>
      </c>
      <c r="Z356">
        <v>14.6</v>
      </c>
      <c r="AA356">
        <v>13.3</v>
      </c>
      <c r="AB356">
        <f t="shared" si="10"/>
        <v>91.4</v>
      </c>
      <c r="AC356">
        <v>106</v>
      </c>
      <c r="AD356">
        <v>35</v>
      </c>
      <c r="AE356">
        <f t="shared" si="11"/>
        <v>5</v>
      </c>
      <c r="AF356">
        <v>2</v>
      </c>
      <c r="AG356">
        <v>1</v>
      </c>
      <c r="AH356">
        <v>1</v>
      </c>
      <c r="AI356">
        <v>0</v>
      </c>
      <c r="AJ356">
        <v>0.35294117647058826</v>
      </c>
      <c r="AK356">
        <v>0.25</v>
      </c>
      <c r="AL356">
        <v>0.125</v>
      </c>
      <c r="AM356">
        <v>0.125</v>
      </c>
      <c r="AN356">
        <v>0</v>
      </c>
    </row>
    <row r="357" spans="1:40" x14ac:dyDescent="0.25">
      <c r="A357">
        <v>2024</v>
      </c>
      <c r="B357" t="s">
        <v>331</v>
      </c>
      <c r="C357" t="str">
        <f>IF(COUNTIF('Rookies 22-25'!$B$126:$B$197,E357)&gt;0,"(R)","No")</f>
        <v>No</v>
      </c>
      <c r="D357">
        <v>36</v>
      </c>
      <c r="E357" t="s">
        <v>383</v>
      </c>
      <c r="F357" t="s">
        <v>63</v>
      </c>
      <c r="G357">
        <f>VLOOKUP(E357,'24 Draft ADP'!$B$3:$D$436,3,FALSE)</f>
        <v>307</v>
      </c>
      <c r="H357">
        <v>8</v>
      </c>
      <c r="I357" t="s">
        <v>33</v>
      </c>
      <c r="J357" t="s">
        <v>33</v>
      </c>
      <c r="K357" t="s">
        <v>33</v>
      </c>
      <c r="L357">
        <v>3.4</v>
      </c>
      <c r="M357" t="s">
        <v>22</v>
      </c>
      <c r="N357" t="s">
        <v>33</v>
      </c>
      <c r="O357">
        <v>10.9</v>
      </c>
      <c r="P357">
        <v>21.5</v>
      </c>
      <c r="Q357">
        <v>18.5</v>
      </c>
      <c r="R357" t="s">
        <v>33</v>
      </c>
      <c r="S357" t="s">
        <v>33</v>
      </c>
      <c r="T357" t="s">
        <v>33</v>
      </c>
      <c r="U357" t="s">
        <v>33</v>
      </c>
      <c r="V357" t="s">
        <v>33</v>
      </c>
      <c r="W357">
        <v>16.8</v>
      </c>
      <c r="X357">
        <v>17.399999999999999</v>
      </c>
      <c r="Y357">
        <v>13</v>
      </c>
      <c r="Z357">
        <v>3.3</v>
      </c>
      <c r="AA357">
        <v>13.1</v>
      </c>
      <c r="AB357">
        <f t="shared" si="10"/>
        <v>101.5</v>
      </c>
      <c r="AC357">
        <v>104.8</v>
      </c>
      <c r="AD357">
        <v>36</v>
      </c>
      <c r="AE357">
        <f t="shared" si="11"/>
        <v>6</v>
      </c>
      <c r="AF357">
        <v>4</v>
      </c>
      <c r="AG357">
        <v>1</v>
      </c>
      <c r="AH357">
        <v>0</v>
      </c>
      <c r="AI357">
        <v>0</v>
      </c>
      <c r="AJ357">
        <v>0.35294117647058826</v>
      </c>
      <c r="AK357">
        <v>0.5</v>
      </c>
      <c r="AL357">
        <v>0.125</v>
      </c>
      <c r="AM357">
        <v>0</v>
      </c>
      <c r="AN357">
        <v>0</v>
      </c>
    </row>
    <row r="358" spans="1:40" x14ac:dyDescent="0.25">
      <c r="A358">
        <v>2024</v>
      </c>
      <c r="B358" t="s">
        <v>331</v>
      </c>
      <c r="C358" t="str">
        <f>IF(COUNTIF('Rookies 22-25'!$B$126:$B$197,E358)&gt;0,"(R)","No")</f>
        <v>No</v>
      </c>
      <c r="D358">
        <v>37</v>
      </c>
      <c r="E358" t="s">
        <v>362</v>
      </c>
      <c r="F358" t="s">
        <v>67</v>
      </c>
      <c r="G358">
        <v>305</v>
      </c>
      <c r="H358">
        <v>10</v>
      </c>
      <c r="I358" t="s">
        <v>33</v>
      </c>
      <c r="J358" t="s">
        <v>33</v>
      </c>
      <c r="K358">
        <v>-1.1000000000000001</v>
      </c>
      <c r="L358" t="s">
        <v>33</v>
      </c>
      <c r="M358" t="s">
        <v>33</v>
      </c>
      <c r="N358">
        <v>0.2</v>
      </c>
      <c r="O358" t="s">
        <v>33</v>
      </c>
      <c r="P358" t="s">
        <v>33</v>
      </c>
      <c r="Q358" t="s">
        <v>33</v>
      </c>
      <c r="R358">
        <v>7.2</v>
      </c>
      <c r="S358">
        <v>5.2</v>
      </c>
      <c r="T358" t="s">
        <v>22</v>
      </c>
      <c r="U358">
        <v>20</v>
      </c>
      <c r="V358">
        <v>7.1</v>
      </c>
      <c r="W358">
        <v>20.7</v>
      </c>
      <c r="X358">
        <v>13.9</v>
      </c>
      <c r="Y358">
        <v>17.2</v>
      </c>
      <c r="Z358">
        <v>13.7</v>
      </c>
      <c r="AA358">
        <v>10.4</v>
      </c>
      <c r="AB358">
        <f t="shared" si="10"/>
        <v>90.399999999999991</v>
      </c>
      <c r="AC358">
        <v>104.1</v>
      </c>
      <c r="AD358">
        <v>37</v>
      </c>
      <c r="AE358">
        <f t="shared" si="11"/>
        <v>4</v>
      </c>
      <c r="AF358">
        <v>3</v>
      </c>
      <c r="AG358">
        <v>1</v>
      </c>
      <c r="AH358">
        <v>0</v>
      </c>
      <c r="AI358">
        <v>0</v>
      </c>
      <c r="AJ358">
        <v>0.29411764705882354</v>
      </c>
      <c r="AK358">
        <v>0.3</v>
      </c>
      <c r="AL358">
        <v>0.1</v>
      </c>
      <c r="AM358">
        <v>0</v>
      </c>
      <c r="AN358">
        <v>0</v>
      </c>
    </row>
    <row r="359" spans="1:40" x14ac:dyDescent="0.25">
      <c r="A359">
        <v>2024</v>
      </c>
      <c r="B359" t="s">
        <v>331</v>
      </c>
      <c r="C359" t="str">
        <f>IF(COUNTIF('Rookies 22-25'!$B$126:$B$197,E359)&gt;0,"(R)","No")</f>
        <v>No</v>
      </c>
      <c r="D359">
        <v>38</v>
      </c>
      <c r="E359" t="s">
        <v>384</v>
      </c>
      <c r="F359" t="s">
        <v>43</v>
      </c>
      <c r="G359">
        <f>VLOOKUP(E359,'24 Draft ADP'!$B$3:$D$436,3,FALSE)</f>
        <v>290</v>
      </c>
      <c r="H359">
        <v>9</v>
      </c>
      <c r="I359" t="s">
        <v>33</v>
      </c>
      <c r="J359" t="s">
        <v>33</v>
      </c>
      <c r="K359">
        <v>7.3</v>
      </c>
      <c r="L359" t="s">
        <v>33</v>
      </c>
      <c r="M359">
        <v>2.8</v>
      </c>
      <c r="N359">
        <v>12.1</v>
      </c>
      <c r="O359">
        <v>2.1</v>
      </c>
      <c r="P359" t="s">
        <v>33</v>
      </c>
      <c r="Q359" t="s">
        <v>33</v>
      </c>
      <c r="R359" t="s">
        <v>22</v>
      </c>
      <c r="S359" t="s">
        <v>33</v>
      </c>
      <c r="T359" t="s">
        <v>33</v>
      </c>
      <c r="U359">
        <v>19.600000000000001</v>
      </c>
      <c r="V359">
        <v>7.8</v>
      </c>
      <c r="W359" t="s">
        <v>33</v>
      </c>
      <c r="X359">
        <v>11.5</v>
      </c>
      <c r="Y359">
        <v>17.600000000000001</v>
      </c>
      <c r="Z359">
        <v>16.899999999999999</v>
      </c>
      <c r="AA359">
        <v>10.8</v>
      </c>
      <c r="AB359">
        <f t="shared" si="10"/>
        <v>80.599999999999994</v>
      </c>
      <c r="AC359">
        <v>97.5</v>
      </c>
      <c r="AD359">
        <v>38</v>
      </c>
      <c r="AE359">
        <f t="shared" si="11"/>
        <v>4</v>
      </c>
      <c r="AF359">
        <v>3</v>
      </c>
      <c r="AG359">
        <v>0</v>
      </c>
      <c r="AH359">
        <v>0</v>
      </c>
      <c r="AI359">
        <v>0</v>
      </c>
      <c r="AJ359">
        <v>0.29411764705882354</v>
      </c>
      <c r="AK359">
        <v>0.33333333333333331</v>
      </c>
      <c r="AL359">
        <v>0</v>
      </c>
      <c r="AM359">
        <v>0</v>
      </c>
      <c r="AN359">
        <v>0</v>
      </c>
    </row>
    <row r="360" spans="1:40" x14ac:dyDescent="0.25">
      <c r="A360">
        <v>2024</v>
      </c>
      <c r="B360" t="s">
        <v>331</v>
      </c>
      <c r="C360" t="str">
        <f>IF(COUNTIF('Rookies 22-25'!$B$126:$B$197,E360)&gt;0,"(R)","No")</f>
        <v>No</v>
      </c>
      <c r="D360">
        <v>39</v>
      </c>
      <c r="E360" t="s">
        <v>385</v>
      </c>
      <c r="F360" t="s">
        <v>57</v>
      </c>
      <c r="G360">
        <f>VLOOKUP(E360,'24 Draft ADP'!$B$3:$D$436,3,FALSE)</f>
        <v>370</v>
      </c>
      <c r="H360">
        <v>7</v>
      </c>
      <c r="I360" t="s">
        <v>33</v>
      </c>
      <c r="J360" t="s">
        <v>33</v>
      </c>
      <c r="K360" t="s">
        <v>33</v>
      </c>
      <c r="L360" t="s">
        <v>33</v>
      </c>
      <c r="M360" t="s">
        <v>33</v>
      </c>
      <c r="N360" t="s">
        <v>33</v>
      </c>
      <c r="O360">
        <v>1.5</v>
      </c>
      <c r="P360" t="s">
        <v>33</v>
      </c>
      <c r="Q360" t="s">
        <v>33</v>
      </c>
      <c r="R360" t="s">
        <v>33</v>
      </c>
      <c r="S360" t="s">
        <v>22</v>
      </c>
      <c r="T360">
        <v>0.1</v>
      </c>
      <c r="U360">
        <v>15.8</v>
      </c>
      <c r="V360">
        <v>16</v>
      </c>
      <c r="W360" t="s">
        <v>33</v>
      </c>
      <c r="X360">
        <v>8.5</v>
      </c>
      <c r="Y360">
        <v>34.4</v>
      </c>
      <c r="Z360">
        <v>8.8000000000000007</v>
      </c>
      <c r="AA360">
        <v>12.2</v>
      </c>
      <c r="AB360">
        <f t="shared" si="10"/>
        <v>76.3</v>
      </c>
      <c r="AC360">
        <v>85.1</v>
      </c>
      <c r="AD360">
        <v>39</v>
      </c>
      <c r="AE360">
        <f t="shared" si="11"/>
        <v>3</v>
      </c>
      <c r="AF360">
        <v>3</v>
      </c>
      <c r="AG360">
        <v>1</v>
      </c>
      <c r="AH360">
        <v>1</v>
      </c>
      <c r="AI360">
        <v>1</v>
      </c>
      <c r="AJ360">
        <v>0.17647058823529413</v>
      </c>
      <c r="AK360">
        <v>0.42857142857142855</v>
      </c>
      <c r="AL360">
        <v>0.14285714285714285</v>
      </c>
      <c r="AM360">
        <v>0.14285714285714285</v>
      </c>
      <c r="AN360">
        <v>0.14285714285714285</v>
      </c>
    </row>
    <row r="361" spans="1:40" x14ac:dyDescent="0.25">
      <c r="A361">
        <v>2024</v>
      </c>
      <c r="B361" t="s">
        <v>331</v>
      </c>
      <c r="C361" t="str">
        <f>IF(COUNTIF('Rookies 22-25'!$B$126:$B$197,E361)&gt;0,"(R)","No")</f>
        <v>No</v>
      </c>
      <c r="D361">
        <v>40</v>
      </c>
      <c r="E361" t="s">
        <v>386</v>
      </c>
      <c r="F361" t="s">
        <v>32</v>
      </c>
      <c r="G361">
        <f>VLOOKUP(E361,'24 Draft ADP'!$B$3:$D$436,3,FALSE)</f>
        <v>150</v>
      </c>
      <c r="H361">
        <v>7</v>
      </c>
      <c r="I361">
        <v>12.7</v>
      </c>
      <c r="J361">
        <v>15.4</v>
      </c>
      <c r="K361">
        <v>16.399999999999999</v>
      </c>
      <c r="L361">
        <v>13.2</v>
      </c>
      <c r="M361">
        <v>8.4</v>
      </c>
      <c r="N361">
        <v>8.4</v>
      </c>
      <c r="O361">
        <v>5.0999999999999996</v>
      </c>
      <c r="P361" t="s">
        <v>33</v>
      </c>
      <c r="Q361" t="s">
        <v>33</v>
      </c>
      <c r="R361" t="s">
        <v>22</v>
      </c>
      <c r="S361" t="s">
        <v>33</v>
      </c>
      <c r="T361" t="s">
        <v>33</v>
      </c>
      <c r="U361" t="s">
        <v>33</v>
      </c>
      <c r="V361" t="s">
        <v>33</v>
      </c>
      <c r="W361" t="s">
        <v>33</v>
      </c>
      <c r="X361" t="s">
        <v>33</v>
      </c>
      <c r="Y361" t="s">
        <v>33</v>
      </c>
      <c r="Z361">
        <v>0</v>
      </c>
      <c r="AA361">
        <v>11.4</v>
      </c>
      <c r="AB361">
        <f t="shared" si="10"/>
        <v>79.7</v>
      </c>
      <c r="AC361">
        <v>79.7</v>
      </c>
      <c r="AD361">
        <v>40</v>
      </c>
      <c r="AE361">
        <f t="shared" si="11"/>
        <v>4</v>
      </c>
      <c r="AF361">
        <v>2</v>
      </c>
      <c r="AG361">
        <v>0</v>
      </c>
      <c r="AH361">
        <v>0</v>
      </c>
      <c r="AI361">
        <v>0</v>
      </c>
      <c r="AJ361">
        <v>0.23529411764705882</v>
      </c>
      <c r="AK361">
        <v>0.2857142857142857</v>
      </c>
      <c r="AL361">
        <v>0</v>
      </c>
      <c r="AM361">
        <v>0</v>
      </c>
      <c r="AN361">
        <v>0</v>
      </c>
    </row>
    <row r="362" spans="1:40" x14ac:dyDescent="0.25">
      <c r="A362">
        <v>2024</v>
      </c>
      <c r="B362" t="s">
        <v>331</v>
      </c>
      <c r="C362" t="str">
        <f>IF(COUNTIF('Rookies 22-25'!$B$126:$B$197,E362)&gt;0,"(R)","No")</f>
        <v>(R)</v>
      </c>
      <c r="D362">
        <v>41</v>
      </c>
      <c r="E362" t="s">
        <v>367</v>
      </c>
      <c r="F362" t="s">
        <v>37</v>
      </c>
      <c r="G362">
        <f>VLOOKUP(E362,'24 Draft ADP'!$B$3:$D$436,3,FALSE)</f>
        <v>336</v>
      </c>
      <c r="H362">
        <v>7</v>
      </c>
      <c r="I362" t="s">
        <v>33</v>
      </c>
      <c r="J362" t="s">
        <v>33</v>
      </c>
      <c r="K362" t="s">
        <v>33</v>
      </c>
      <c r="L362" t="s">
        <v>33</v>
      </c>
      <c r="M362" t="s">
        <v>33</v>
      </c>
      <c r="N362">
        <v>14.4</v>
      </c>
      <c r="O362">
        <v>6.3</v>
      </c>
      <c r="P362">
        <v>6.2</v>
      </c>
      <c r="Q362" t="s">
        <v>33</v>
      </c>
      <c r="R362" t="s">
        <v>33</v>
      </c>
      <c r="S362" t="s">
        <v>33</v>
      </c>
      <c r="T362" t="s">
        <v>22</v>
      </c>
      <c r="U362" t="s">
        <v>33</v>
      </c>
      <c r="V362" t="s">
        <v>33</v>
      </c>
      <c r="W362">
        <v>9.4</v>
      </c>
      <c r="X362">
        <v>5.9</v>
      </c>
      <c r="Y362">
        <v>15.3</v>
      </c>
      <c r="Z362">
        <v>14.7</v>
      </c>
      <c r="AA362">
        <v>10.3</v>
      </c>
      <c r="AB362">
        <f t="shared" si="10"/>
        <v>57.599999999999994</v>
      </c>
      <c r="AC362">
        <v>72.3</v>
      </c>
      <c r="AD362">
        <v>41</v>
      </c>
      <c r="AE362">
        <f t="shared" si="11"/>
        <v>2</v>
      </c>
      <c r="AF362">
        <v>1</v>
      </c>
      <c r="AG362">
        <v>0</v>
      </c>
      <c r="AH362">
        <v>0</v>
      </c>
      <c r="AI362">
        <v>0</v>
      </c>
      <c r="AJ362">
        <v>0.17647058823529413</v>
      </c>
      <c r="AK362">
        <v>0.14285714285714285</v>
      </c>
      <c r="AL362">
        <v>0</v>
      </c>
      <c r="AM362">
        <v>0</v>
      </c>
      <c r="AN362">
        <v>0</v>
      </c>
    </row>
    <row r="363" spans="1:40" x14ac:dyDescent="0.25">
      <c r="A363">
        <v>2024</v>
      </c>
      <c r="B363" t="s">
        <v>331</v>
      </c>
      <c r="C363" t="str">
        <f>IF(COUNTIF('Rookies 22-25'!$B$126:$B$197,E363)&gt;0,"(R)","No")</f>
        <v>No</v>
      </c>
      <c r="D363">
        <v>42</v>
      </c>
      <c r="E363" t="s">
        <v>387</v>
      </c>
      <c r="F363" t="s">
        <v>95</v>
      </c>
      <c r="G363">
        <v>302</v>
      </c>
      <c r="H363">
        <v>6</v>
      </c>
      <c r="I363">
        <v>0</v>
      </c>
      <c r="J363" t="s">
        <v>33</v>
      </c>
      <c r="K363">
        <v>24.6</v>
      </c>
      <c r="L363">
        <v>16.7</v>
      </c>
      <c r="M363">
        <v>4.7</v>
      </c>
      <c r="N363">
        <v>16.899999999999999</v>
      </c>
      <c r="O363">
        <v>2</v>
      </c>
      <c r="P363" t="s">
        <v>33</v>
      </c>
      <c r="Q363" t="s">
        <v>33</v>
      </c>
      <c r="R363" t="s">
        <v>33</v>
      </c>
      <c r="S363" t="s">
        <v>22</v>
      </c>
      <c r="T363" t="s">
        <v>33</v>
      </c>
      <c r="U363" t="s">
        <v>33</v>
      </c>
      <c r="V363" t="s">
        <v>33</v>
      </c>
      <c r="W363" t="s">
        <v>33</v>
      </c>
      <c r="X363" t="s">
        <v>33</v>
      </c>
      <c r="Y363" t="s">
        <v>33</v>
      </c>
      <c r="Z363">
        <v>0</v>
      </c>
      <c r="AA363">
        <v>10.8</v>
      </c>
      <c r="AB363">
        <f t="shared" si="10"/>
        <v>65</v>
      </c>
      <c r="AC363">
        <v>65</v>
      </c>
      <c r="AD363">
        <v>42</v>
      </c>
      <c r="AE363">
        <f t="shared" si="11"/>
        <v>3</v>
      </c>
      <c r="AF363">
        <v>3</v>
      </c>
      <c r="AG363">
        <v>1</v>
      </c>
      <c r="AH363">
        <v>0</v>
      </c>
      <c r="AI363">
        <v>0</v>
      </c>
      <c r="AJ363">
        <v>0.17647058823529413</v>
      </c>
      <c r="AK363">
        <v>0.5</v>
      </c>
      <c r="AL363">
        <v>0.16666666666666666</v>
      </c>
      <c r="AM363">
        <v>0</v>
      </c>
      <c r="AN363">
        <v>0</v>
      </c>
    </row>
    <row r="364" spans="1:40" x14ac:dyDescent="0.25">
      <c r="A364">
        <v>2024</v>
      </c>
      <c r="B364" t="s">
        <v>331</v>
      </c>
      <c r="C364" t="str">
        <f>IF(COUNTIF('Rookies 22-25'!$B$126:$B$197,E364)&gt;0,"(R)","No")</f>
        <v>No</v>
      </c>
      <c r="D364">
        <v>43</v>
      </c>
      <c r="E364" t="s">
        <v>388</v>
      </c>
      <c r="F364" t="s">
        <v>84</v>
      </c>
      <c r="G364">
        <v>302</v>
      </c>
      <c r="H364">
        <v>5</v>
      </c>
      <c r="I364" t="s">
        <v>33</v>
      </c>
      <c r="J364" t="s">
        <v>33</v>
      </c>
      <c r="K364" t="s">
        <v>33</v>
      </c>
      <c r="L364">
        <v>11.8</v>
      </c>
      <c r="M364">
        <v>7.5</v>
      </c>
      <c r="N364" t="s">
        <v>22</v>
      </c>
      <c r="O364">
        <v>9.5</v>
      </c>
      <c r="P364" t="s">
        <v>33</v>
      </c>
      <c r="Q364" t="s">
        <v>33</v>
      </c>
      <c r="R364" t="s">
        <v>33</v>
      </c>
      <c r="S364" t="s">
        <v>33</v>
      </c>
      <c r="T364" t="s">
        <v>33</v>
      </c>
      <c r="U364" t="s">
        <v>33</v>
      </c>
      <c r="V364" t="s">
        <v>33</v>
      </c>
      <c r="W364" t="s">
        <v>33</v>
      </c>
      <c r="X364" t="s">
        <v>33</v>
      </c>
      <c r="Y364">
        <v>24.2</v>
      </c>
      <c r="Z364">
        <v>10.7</v>
      </c>
      <c r="AA364">
        <v>12.7</v>
      </c>
      <c r="AB364">
        <f t="shared" si="10"/>
        <v>53</v>
      </c>
      <c r="AC364">
        <v>63.7</v>
      </c>
      <c r="AD364">
        <v>43</v>
      </c>
      <c r="AE364">
        <f t="shared" si="11"/>
        <v>2</v>
      </c>
      <c r="AF364">
        <v>1</v>
      </c>
      <c r="AG364">
        <v>1</v>
      </c>
      <c r="AH364">
        <v>0</v>
      </c>
      <c r="AI364">
        <v>0</v>
      </c>
      <c r="AJ364">
        <v>0.17647058823529413</v>
      </c>
      <c r="AK364">
        <v>0.2</v>
      </c>
      <c r="AL364">
        <v>0.2</v>
      </c>
      <c r="AM364">
        <v>0</v>
      </c>
      <c r="AN364">
        <v>0</v>
      </c>
    </row>
    <row r="365" spans="1:40" x14ac:dyDescent="0.25">
      <c r="A365">
        <v>2024</v>
      </c>
      <c r="B365" t="s">
        <v>331</v>
      </c>
      <c r="C365" t="str">
        <f>IF(COUNTIF('Rookies 22-25'!$B$126:$B$197,E365)&gt;0,"(R)","No")</f>
        <v>No</v>
      </c>
      <c r="D365">
        <v>44</v>
      </c>
      <c r="E365" t="s">
        <v>376</v>
      </c>
      <c r="F365" t="s">
        <v>69</v>
      </c>
      <c r="G365">
        <f>VLOOKUP(E365,'24 Draft ADP'!$B$3:$D$436,3,FALSE)</f>
        <v>334</v>
      </c>
      <c r="H365">
        <v>7</v>
      </c>
      <c r="I365">
        <v>0</v>
      </c>
      <c r="J365">
        <v>13</v>
      </c>
      <c r="K365">
        <v>25.4</v>
      </c>
      <c r="L365" t="s">
        <v>33</v>
      </c>
      <c r="M365" t="s">
        <v>33</v>
      </c>
      <c r="N365" t="s">
        <v>33</v>
      </c>
      <c r="O365" t="s">
        <v>33</v>
      </c>
      <c r="P365">
        <v>8.5</v>
      </c>
      <c r="Q365" t="s">
        <v>33</v>
      </c>
      <c r="R365" t="s">
        <v>22</v>
      </c>
      <c r="S365" t="s">
        <v>33</v>
      </c>
      <c r="T365">
        <v>0</v>
      </c>
      <c r="U365" t="s">
        <v>33</v>
      </c>
      <c r="V365" t="s">
        <v>33</v>
      </c>
      <c r="W365" t="s">
        <v>33</v>
      </c>
      <c r="X365">
        <v>1.2</v>
      </c>
      <c r="Y365" t="s">
        <v>33</v>
      </c>
      <c r="Z365">
        <v>3.7</v>
      </c>
      <c r="AA365">
        <v>7.4</v>
      </c>
      <c r="AB365">
        <f t="shared" si="10"/>
        <v>48.099999999999994</v>
      </c>
      <c r="AC365">
        <v>51.8</v>
      </c>
      <c r="AD365">
        <v>44</v>
      </c>
      <c r="AE365">
        <f t="shared" si="11"/>
        <v>2</v>
      </c>
      <c r="AF365">
        <v>1</v>
      </c>
      <c r="AG365">
        <v>1</v>
      </c>
      <c r="AH365">
        <v>1</v>
      </c>
      <c r="AI365">
        <v>0</v>
      </c>
      <c r="AJ365">
        <v>0.11764705882352941</v>
      </c>
      <c r="AK365">
        <v>0.14285714285714285</v>
      </c>
      <c r="AL365">
        <v>0.14285714285714285</v>
      </c>
      <c r="AM365">
        <v>0.14285714285714285</v>
      </c>
      <c r="AN365">
        <v>0</v>
      </c>
    </row>
    <row r="366" spans="1:40" x14ac:dyDescent="0.25">
      <c r="A366">
        <v>2024</v>
      </c>
      <c r="B366" t="s">
        <v>331</v>
      </c>
      <c r="C366" t="str">
        <f>IF(COUNTIF('Rookies 22-25'!$B$126:$B$197,E366)&gt;0,"(R)","No")</f>
        <v>(R)</v>
      </c>
      <c r="D366">
        <v>45</v>
      </c>
      <c r="E366" t="s">
        <v>364</v>
      </c>
      <c r="F366" t="s">
        <v>24</v>
      </c>
      <c r="G366">
        <f>VLOOKUP(E366,'24 Draft ADP'!$B$3:$D$436,3,FALSE)</f>
        <v>276</v>
      </c>
      <c r="H366">
        <v>5</v>
      </c>
      <c r="I366" t="s">
        <v>33</v>
      </c>
      <c r="J366" t="s">
        <v>33</v>
      </c>
      <c r="K366" t="s">
        <v>33</v>
      </c>
      <c r="L366" t="s">
        <v>33</v>
      </c>
      <c r="M366" t="s">
        <v>33</v>
      </c>
      <c r="N366" t="s">
        <v>33</v>
      </c>
      <c r="O366">
        <v>0.6</v>
      </c>
      <c r="P366" t="s">
        <v>33</v>
      </c>
      <c r="Q366" t="s">
        <v>33</v>
      </c>
      <c r="R366" t="s">
        <v>33</v>
      </c>
      <c r="S366">
        <v>1</v>
      </c>
      <c r="T366" t="s">
        <v>22</v>
      </c>
      <c r="U366" t="s">
        <v>33</v>
      </c>
      <c r="V366" t="s">
        <v>33</v>
      </c>
      <c r="W366" t="s">
        <v>33</v>
      </c>
      <c r="X366">
        <v>7.4</v>
      </c>
      <c r="Y366">
        <v>12.2</v>
      </c>
      <c r="Z366">
        <v>26</v>
      </c>
      <c r="AA366">
        <v>9.4</v>
      </c>
      <c r="AB366">
        <f t="shared" si="10"/>
        <v>21.1</v>
      </c>
      <c r="AC366">
        <v>47.1</v>
      </c>
      <c r="AD366">
        <v>45</v>
      </c>
      <c r="AE366">
        <f t="shared" si="11"/>
        <v>1</v>
      </c>
      <c r="AF366">
        <v>1</v>
      </c>
      <c r="AG366">
        <v>1</v>
      </c>
      <c r="AH366">
        <v>1</v>
      </c>
      <c r="AI366">
        <v>0</v>
      </c>
      <c r="AJ366">
        <v>0.11764705882352941</v>
      </c>
      <c r="AK366">
        <v>0.2</v>
      </c>
      <c r="AL366">
        <v>0.2</v>
      </c>
      <c r="AM366">
        <v>0.2</v>
      </c>
      <c r="AN366">
        <v>0</v>
      </c>
    </row>
    <row r="367" spans="1:40" x14ac:dyDescent="0.25">
      <c r="A367">
        <v>2024</v>
      </c>
      <c r="B367" t="s">
        <v>220</v>
      </c>
      <c r="C367" t="str">
        <f>IF(COUNTIF('Rookies 22-25'!$B$126:$B$197,E367)&gt;0,"(R)","No")</f>
        <v>No</v>
      </c>
      <c r="D367">
        <v>1</v>
      </c>
      <c r="E367" t="s">
        <v>223</v>
      </c>
      <c r="F367" t="s">
        <v>75</v>
      </c>
      <c r="G367">
        <f>VLOOKUP(E367,'24 Draft ADP'!$B$3:$D$436,3,FALSE)</f>
        <v>13</v>
      </c>
      <c r="H367">
        <v>17</v>
      </c>
      <c r="I367">
        <v>17.399999999999999</v>
      </c>
      <c r="J367">
        <v>17.600000000000001</v>
      </c>
      <c r="K367">
        <v>16.3</v>
      </c>
      <c r="L367">
        <v>19.8</v>
      </c>
      <c r="M367" t="s">
        <v>22</v>
      </c>
      <c r="N367">
        <v>12.1</v>
      </c>
      <c r="O367">
        <v>32</v>
      </c>
      <c r="P367">
        <v>20.3</v>
      </c>
      <c r="Q367">
        <v>14.6</v>
      </c>
      <c r="R367">
        <v>12.8</v>
      </c>
      <c r="S367">
        <v>19.3</v>
      </c>
      <c r="T367">
        <v>24.9</v>
      </c>
      <c r="U367">
        <v>10.4</v>
      </c>
      <c r="V367">
        <v>19.3</v>
      </c>
      <c r="W367">
        <v>28.4</v>
      </c>
      <c r="X367">
        <v>25.4</v>
      </c>
      <c r="Y367">
        <v>26.3</v>
      </c>
      <c r="Z367">
        <v>46</v>
      </c>
      <c r="AA367">
        <v>21.3</v>
      </c>
      <c r="AB367">
        <f t="shared" si="10"/>
        <v>316.89999999999998</v>
      </c>
      <c r="AC367">
        <v>362.9</v>
      </c>
      <c r="AD367">
        <v>2</v>
      </c>
      <c r="AE367">
        <f t="shared" si="11"/>
        <v>16</v>
      </c>
      <c r="AF367">
        <v>13</v>
      </c>
      <c r="AG367">
        <v>7</v>
      </c>
      <c r="AH367">
        <v>5</v>
      </c>
      <c r="AI367">
        <v>2</v>
      </c>
      <c r="AJ367">
        <v>1</v>
      </c>
      <c r="AK367">
        <v>0.76470588235294112</v>
      </c>
      <c r="AL367">
        <v>0.41176470588235292</v>
      </c>
      <c r="AM367">
        <v>0.29411764705882354</v>
      </c>
      <c r="AN367">
        <v>0.11764705882352941</v>
      </c>
    </row>
    <row r="368" spans="1:40" x14ac:dyDescent="0.25">
      <c r="A368">
        <v>2024</v>
      </c>
      <c r="B368" t="s">
        <v>220</v>
      </c>
      <c r="C368" t="str">
        <f>IF(COUNTIF('Rookies 22-25'!$B$126:$B$197,E368)&gt;0,"(R)","No")</f>
        <v>No</v>
      </c>
      <c r="D368">
        <v>2</v>
      </c>
      <c r="E368" t="s">
        <v>234</v>
      </c>
      <c r="F368" t="s">
        <v>35</v>
      </c>
      <c r="G368">
        <f>VLOOKUP(E368,'24 Draft ADP'!$B$3:$D$436,3,FALSE)</f>
        <v>15</v>
      </c>
      <c r="H368">
        <v>16</v>
      </c>
      <c r="I368">
        <v>33.200000000000003</v>
      </c>
      <c r="J368">
        <v>17.600000000000001</v>
      </c>
      <c r="K368">
        <v>33.6</v>
      </c>
      <c r="L368">
        <v>13.6</v>
      </c>
      <c r="M368" t="s">
        <v>22</v>
      </c>
      <c r="N368">
        <v>7.4</v>
      </c>
      <c r="O368">
        <v>26.7</v>
      </c>
      <c r="P368">
        <v>12.1</v>
      </c>
      <c r="Q368">
        <v>32.9</v>
      </c>
      <c r="R368">
        <v>8.8000000000000007</v>
      </c>
      <c r="S368">
        <v>33.799999999999997</v>
      </c>
      <c r="T368">
        <v>46.2</v>
      </c>
      <c r="U368">
        <v>19.7</v>
      </c>
      <c r="V368">
        <v>14.4</v>
      </c>
      <c r="W368">
        <v>9.4</v>
      </c>
      <c r="X368">
        <v>27</v>
      </c>
      <c r="Y368">
        <v>18.899999999999999</v>
      </c>
      <c r="Z368">
        <v>0</v>
      </c>
      <c r="AA368">
        <v>22.2</v>
      </c>
      <c r="AB368">
        <f t="shared" si="10"/>
        <v>355.3</v>
      </c>
      <c r="AC368">
        <v>355.3</v>
      </c>
      <c r="AD368">
        <v>2</v>
      </c>
      <c r="AE368">
        <f t="shared" si="11"/>
        <v>13</v>
      </c>
      <c r="AF368">
        <v>10</v>
      </c>
      <c r="AG368">
        <v>7</v>
      </c>
      <c r="AH368">
        <v>7</v>
      </c>
      <c r="AI368">
        <v>5</v>
      </c>
      <c r="AJ368">
        <v>0.76470588235294112</v>
      </c>
      <c r="AK368">
        <v>0.625</v>
      </c>
      <c r="AL368">
        <v>0.4375</v>
      </c>
      <c r="AM368">
        <v>0.4375</v>
      </c>
      <c r="AN368">
        <v>0.3125</v>
      </c>
    </row>
    <row r="369" spans="1:40" x14ac:dyDescent="0.25">
      <c r="A369">
        <v>2024</v>
      </c>
      <c r="B369" t="s">
        <v>220</v>
      </c>
      <c r="C369" t="str">
        <f>IF(COUNTIF('Rookies 22-25'!$B$126:$B$197,E369)&gt;0,"(R)","No")</f>
        <v>No</v>
      </c>
      <c r="D369">
        <v>3</v>
      </c>
      <c r="E369" t="s">
        <v>222</v>
      </c>
      <c r="F369" t="s">
        <v>24</v>
      </c>
      <c r="G369">
        <f>VLOOKUP(E369,'24 Draft ADP'!$B$3:$D$436,3,FALSE)</f>
        <v>6</v>
      </c>
      <c r="H369">
        <v>17</v>
      </c>
      <c r="I369">
        <v>16.100000000000001</v>
      </c>
      <c r="J369">
        <v>16.2</v>
      </c>
      <c r="K369">
        <v>13.2</v>
      </c>
      <c r="L369">
        <v>11.4</v>
      </c>
      <c r="M369">
        <v>10.7</v>
      </c>
      <c r="N369">
        <v>25.5</v>
      </c>
      <c r="O369">
        <v>23.3</v>
      </c>
      <c r="P369">
        <v>23.6</v>
      </c>
      <c r="Q369">
        <v>21.5</v>
      </c>
      <c r="R369">
        <v>29.4</v>
      </c>
      <c r="S369">
        <v>10.3</v>
      </c>
      <c r="T369" t="s">
        <v>22</v>
      </c>
      <c r="U369">
        <v>25.5</v>
      </c>
      <c r="V369">
        <v>20.100000000000001</v>
      </c>
      <c r="W369">
        <v>14.5</v>
      </c>
      <c r="X369">
        <v>24.3</v>
      </c>
      <c r="Y369">
        <v>24.8</v>
      </c>
      <c r="Z369">
        <v>31.3</v>
      </c>
      <c r="AA369">
        <v>20.100000000000001</v>
      </c>
      <c r="AB369">
        <f t="shared" si="10"/>
        <v>310.39999999999998</v>
      </c>
      <c r="AC369">
        <v>341.7</v>
      </c>
      <c r="AD369">
        <v>1</v>
      </c>
      <c r="AE369">
        <f t="shared" si="11"/>
        <v>16</v>
      </c>
      <c r="AF369">
        <v>12</v>
      </c>
      <c r="AG369">
        <v>10</v>
      </c>
      <c r="AH369">
        <v>4</v>
      </c>
      <c r="AI369">
        <v>1</v>
      </c>
      <c r="AJ369">
        <v>1</v>
      </c>
      <c r="AK369">
        <v>0.70588235294117652</v>
      </c>
      <c r="AL369">
        <v>0.58823529411764708</v>
      </c>
      <c r="AM369">
        <v>0.23529411764705882</v>
      </c>
      <c r="AN369">
        <v>5.8823529411764705E-2</v>
      </c>
    </row>
    <row r="370" spans="1:40" x14ac:dyDescent="0.25">
      <c r="A370">
        <v>2024</v>
      </c>
      <c r="B370" t="s">
        <v>220</v>
      </c>
      <c r="C370" t="str">
        <f>IF(COUNTIF('Rookies 22-25'!$B$126:$B$197,E370)&gt;0,"(R)","No")</f>
        <v>No</v>
      </c>
      <c r="D370">
        <v>4</v>
      </c>
      <c r="E370" t="s">
        <v>228</v>
      </c>
      <c r="F370" t="s">
        <v>53</v>
      </c>
      <c r="G370">
        <f>VLOOKUP(E370,'24 Draft ADP'!$B$3:$D$436,3,FALSE)</f>
        <v>24</v>
      </c>
      <c r="H370">
        <v>17</v>
      </c>
      <c r="I370">
        <v>10.6</v>
      </c>
      <c r="J370">
        <v>16.600000000000001</v>
      </c>
      <c r="K370">
        <v>30.4</v>
      </c>
      <c r="L370">
        <v>35.9</v>
      </c>
      <c r="M370">
        <v>16.600000000000001</v>
      </c>
      <c r="N370">
        <v>25.2</v>
      </c>
      <c r="O370">
        <v>25.2</v>
      </c>
      <c r="P370">
        <v>14.7</v>
      </c>
      <c r="Q370">
        <v>26.3</v>
      </c>
      <c r="R370">
        <v>14.1</v>
      </c>
      <c r="S370">
        <v>10.5</v>
      </c>
      <c r="T370">
        <v>14</v>
      </c>
      <c r="U370">
        <v>14.1</v>
      </c>
      <c r="V370" t="s">
        <v>22</v>
      </c>
      <c r="W370">
        <v>6.7</v>
      </c>
      <c r="X370">
        <v>20.9</v>
      </c>
      <c r="Y370">
        <v>24.5</v>
      </c>
      <c r="Z370">
        <v>30.1</v>
      </c>
      <c r="AA370">
        <v>19.8</v>
      </c>
      <c r="AB370">
        <f t="shared" si="10"/>
        <v>306.29999999999995</v>
      </c>
      <c r="AC370">
        <v>336.4</v>
      </c>
      <c r="AD370">
        <v>2</v>
      </c>
      <c r="AE370">
        <f t="shared" si="11"/>
        <v>15</v>
      </c>
      <c r="AF370">
        <v>10</v>
      </c>
      <c r="AG370">
        <v>8</v>
      </c>
      <c r="AH370">
        <v>6</v>
      </c>
      <c r="AI370">
        <v>3</v>
      </c>
      <c r="AJ370">
        <v>0.94117647058823528</v>
      </c>
      <c r="AK370">
        <v>0.58823529411764708</v>
      </c>
      <c r="AL370">
        <v>0.47058823529411764</v>
      </c>
      <c r="AM370">
        <v>0.35294117647058826</v>
      </c>
      <c r="AN370">
        <v>0.17647058823529413</v>
      </c>
    </row>
    <row r="371" spans="1:40" x14ac:dyDescent="0.25">
      <c r="A371">
        <v>2024</v>
      </c>
      <c r="B371" t="s">
        <v>220</v>
      </c>
      <c r="C371" t="str">
        <f>IF(COUNTIF('Rookies 22-25'!$B$126:$B$197,E371)&gt;0,"(R)","No")</f>
        <v>No</v>
      </c>
      <c r="D371">
        <v>5</v>
      </c>
      <c r="E371" t="s">
        <v>225</v>
      </c>
      <c r="F371" t="s">
        <v>84</v>
      </c>
      <c r="G371">
        <f>VLOOKUP(E371,'24 Draft ADP'!$B$3:$D$436,3,FALSE)</f>
        <v>17</v>
      </c>
      <c r="H371">
        <v>17</v>
      </c>
      <c r="I371">
        <v>23</v>
      </c>
      <c r="J371">
        <v>29.5</v>
      </c>
      <c r="K371">
        <v>8.8000000000000007</v>
      </c>
      <c r="L371">
        <v>5.9</v>
      </c>
      <c r="M371">
        <v>2.7</v>
      </c>
      <c r="N371" t="s">
        <v>22</v>
      </c>
      <c r="O371">
        <v>10.5</v>
      </c>
      <c r="P371">
        <v>26.7</v>
      </c>
      <c r="Q371">
        <v>32.1</v>
      </c>
      <c r="R371">
        <v>10.199999999999999</v>
      </c>
      <c r="S371">
        <v>20.5</v>
      </c>
      <c r="T371">
        <v>20.6</v>
      </c>
      <c r="U371">
        <v>21</v>
      </c>
      <c r="V371">
        <v>18.899999999999999</v>
      </c>
      <c r="W371">
        <v>14.6</v>
      </c>
      <c r="X371">
        <v>31</v>
      </c>
      <c r="Y371">
        <v>5.8</v>
      </c>
      <c r="Z371">
        <v>18.100000000000001</v>
      </c>
      <c r="AA371">
        <v>17.600000000000001</v>
      </c>
      <c r="AB371">
        <f t="shared" si="10"/>
        <v>281.79999999999995</v>
      </c>
      <c r="AC371">
        <v>299.89999999999998</v>
      </c>
      <c r="AD371">
        <v>2</v>
      </c>
      <c r="AE371">
        <f t="shared" si="11"/>
        <v>12</v>
      </c>
      <c r="AF371">
        <v>10</v>
      </c>
      <c r="AG371">
        <v>8</v>
      </c>
      <c r="AH371">
        <v>4</v>
      </c>
      <c r="AI371">
        <v>2</v>
      </c>
      <c r="AJ371">
        <v>0.76470588235294112</v>
      </c>
      <c r="AK371">
        <v>0.58823529411764708</v>
      </c>
      <c r="AL371">
        <v>0.47058823529411764</v>
      </c>
      <c r="AM371">
        <v>0.23529411764705882</v>
      </c>
      <c r="AN371">
        <v>0.11764705882352941</v>
      </c>
    </row>
    <row r="372" spans="1:40" x14ac:dyDescent="0.25">
      <c r="A372">
        <v>2024</v>
      </c>
      <c r="B372" t="s">
        <v>220</v>
      </c>
      <c r="C372" t="str">
        <f>IF(COUNTIF('Rookies 22-25'!$B$126:$B$197,E372)&gt;0,"(R)","No")</f>
        <v>No</v>
      </c>
      <c r="D372">
        <v>6</v>
      </c>
      <c r="E372" t="s">
        <v>233</v>
      </c>
      <c r="F372" t="s">
        <v>69</v>
      </c>
      <c r="G372">
        <f>VLOOKUP(E372,'24 Draft ADP'!$B$3:$D$436,3,FALSE)</f>
        <v>38</v>
      </c>
      <c r="H372">
        <v>17</v>
      </c>
      <c r="I372">
        <v>12.4</v>
      </c>
      <c r="J372">
        <v>13.1</v>
      </c>
      <c r="K372">
        <v>5.8</v>
      </c>
      <c r="L372">
        <v>11.8</v>
      </c>
      <c r="M372">
        <v>16.399999999999999</v>
      </c>
      <c r="N372">
        <v>12</v>
      </c>
      <c r="O372">
        <v>20.2</v>
      </c>
      <c r="P372">
        <v>25.5</v>
      </c>
      <c r="Q372">
        <v>12.8</v>
      </c>
      <c r="R372" t="s">
        <v>22</v>
      </c>
      <c r="S372">
        <v>23.4</v>
      </c>
      <c r="T372">
        <v>28.6</v>
      </c>
      <c r="U372">
        <v>21.7</v>
      </c>
      <c r="V372">
        <v>24.6</v>
      </c>
      <c r="W372">
        <v>21.6</v>
      </c>
      <c r="X372">
        <v>20.7</v>
      </c>
      <c r="Y372">
        <v>10.9</v>
      </c>
      <c r="Z372">
        <v>11.6</v>
      </c>
      <c r="AA372">
        <v>17.2</v>
      </c>
      <c r="AB372">
        <f t="shared" si="10"/>
        <v>281.5</v>
      </c>
      <c r="AC372">
        <v>293.10000000000002</v>
      </c>
      <c r="AD372">
        <v>4</v>
      </c>
      <c r="AE372">
        <f t="shared" si="11"/>
        <v>15</v>
      </c>
      <c r="AF372">
        <v>9</v>
      </c>
      <c r="AG372">
        <v>8</v>
      </c>
      <c r="AH372">
        <v>2</v>
      </c>
      <c r="AI372">
        <v>0</v>
      </c>
      <c r="AJ372">
        <v>0.94117647058823528</v>
      </c>
      <c r="AK372">
        <v>0.52941176470588236</v>
      </c>
      <c r="AL372">
        <v>0.47058823529411764</v>
      </c>
      <c r="AM372">
        <v>0.11764705882352941</v>
      </c>
      <c r="AN372">
        <v>0</v>
      </c>
    </row>
    <row r="373" spans="1:40" x14ac:dyDescent="0.25">
      <c r="A373">
        <v>2024</v>
      </c>
      <c r="B373" t="s">
        <v>220</v>
      </c>
      <c r="C373" t="str">
        <f>IF(COUNTIF('Rookies 22-25'!$B$126:$B$197,E373)&gt;0,"(R)","No")</f>
        <v>No</v>
      </c>
      <c r="D373">
        <v>7</v>
      </c>
      <c r="E373" t="s">
        <v>229</v>
      </c>
      <c r="F373" t="s">
        <v>55</v>
      </c>
      <c r="G373">
        <f>VLOOKUP(E373,'24 Draft ADP'!$B$3:$D$436,3,FALSE)</f>
        <v>21</v>
      </c>
      <c r="H373">
        <v>16</v>
      </c>
      <c r="I373">
        <v>14.4</v>
      </c>
      <c r="J373">
        <v>15.2</v>
      </c>
      <c r="K373">
        <v>31.6</v>
      </c>
      <c r="L373">
        <v>20.399999999999999</v>
      </c>
      <c r="M373">
        <v>15.5</v>
      </c>
      <c r="N373" t="s">
        <v>22</v>
      </c>
      <c r="O373">
        <v>19.600000000000001</v>
      </c>
      <c r="P373">
        <v>22.6</v>
      </c>
      <c r="Q373">
        <v>10.5</v>
      </c>
      <c r="R373">
        <v>11.2</v>
      </c>
      <c r="S373">
        <v>8.6</v>
      </c>
      <c r="T373">
        <v>11.2</v>
      </c>
      <c r="U373">
        <v>18.3</v>
      </c>
      <c r="V373">
        <v>23.7</v>
      </c>
      <c r="W373">
        <v>13.2</v>
      </c>
      <c r="X373">
        <v>19.899999999999999</v>
      </c>
      <c r="Y373">
        <v>16.2</v>
      </c>
      <c r="Z373">
        <v>0</v>
      </c>
      <c r="AA373">
        <v>17</v>
      </c>
      <c r="AB373">
        <f t="shared" si="10"/>
        <v>272.10000000000002</v>
      </c>
      <c r="AC373">
        <v>272.10000000000002</v>
      </c>
      <c r="AD373">
        <v>2</v>
      </c>
      <c r="AE373">
        <f t="shared" si="11"/>
        <v>15</v>
      </c>
      <c r="AF373">
        <v>10</v>
      </c>
      <c r="AG373">
        <v>4</v>
      </c>
      <c r="AH373">
        <v>1</v>
      </c>
      <c r="AI373">
        <v>1</v>
      </c>
      <c r="AJ373">
        <v>0.88235294117647056</v>
      </c>
      <c r="AK373">
        <v>0.625</v>
      </c>
      <c r="AL373">
        <v>0.25</v>
      </c>
      <c r="AM373">
        <v>6.25E-2</v>
      </c>
      <c r="AN373">
        <v>6.25E-2</v>
      </c>
    </row>
    <row r="374" spans="1:40" x14ac:dyDescent="0.25">
      <c r="A374">
        <v>2024</v>
      </c>
      <c r="B374" t="s">
        <v>220</v>
      </c>
      <c r="C374" t="str">
        <f>IF(COUNTIF('Rookies 22-25'!$B$126:$B$197,E374)&gt;0,"(R)","No")</f>
        <v>No</v>
      </c>
      <c r="D374">
        <v>8</v>
      </c>
      <c r="E374" t="s">
        <v>226</v>
      </c>
      <c r="F374" t="s">
        <v>61</v>
      </c>
      <c r="G374">
        <f>VLOOKUP(E374,'24 Draft ADP'!$B$3:$D$436,3,FALSE)</f>
        <v>44</v>
      </c>
      <c r="H374">
        <v>16</v>
      </c>
      <c r="I374">
        <v>13.3</v>
      </c>
      <c r="J374">
        <v>28.5</v>
      </c>
      <c r="K374">
        <v>18.7</v>
      </c>
      <c r="L374">
        <v>5.8</v>
      </c>
      <c r="M374">
        <v>17.899999999999999</v>
      </c>
      <c r="N374" t="s">
        <v>33</v>
      </c>
      <c r="O374">
        <v>9.1999999999999993</v>
      </c>
      <c r="P374">
        <v>28.3</v>
      </c>
      <c r="Q374">
        <v>11.9</v>
      </c>
      <c r="R374">
        <v>15.5</v>
      </c>
      <c r="S374">
        <v>19.7</v>
      </c>
      <c r="T374" t="s">
        <v>22</v>
      </c>
      <c r="U374">
        <v>19</v>
      </c>
      <c r="V374">
        <v>4.9000000000000004</v>
      </c>
      <c r="W374">
        <v>26.3</v>
      </c>
      <c r="X374">
        <v>27.6</v>
      </c>
      <c r="Y374">
        <v>11.3</v>
      </c>
      <c r="Z374">
        <v>8.8000000000000007</v>
      </c>
      <c r="AA374">
        <v>16.7</v>
      </c>
      <c r="AB374">
        <f t="shared" si="10"/>
        <v>257.89999999999998</v>
      </c>
      <c r="AC374">
        <v>266.7</v>
      </c>
      <c r="AD374">
        <v>4</v>
      </c>
      <c r="AE374">
        <f t="shared" si="11"/>
        <v>12</v>
      </c>
      <c r="AF374">
        <v>9</v>
      </c>
      <c r="AG374">
        <v>4</v>
      </c>
      <c r="AH374">
        <v>4</v>
      </c>
      <c r="AI374">
        <v>0</v>
      </c>
      <c r="AJ374">
        <v>0.70588235294117652</v>
      </c>
      <c r="AK374">
        <v>0.5625</v>
      </c>
      <c r="AL374">
        <v>0.25</v>
      </c>
      <c r="AM374">
        <v>0.25</v>
      </c>
      <c r="AN374">
        <v>0</v>
      </c>
    </row>
    <row r="375" spans="1:40" x14ac:dyDescent="0.25">
      <c r="A375">
        <v>2024</v>
      </c>
      <c r="B375" t="s">
        <v>220</v>
      </c>
      <c r="C375" t="str">
        <f>IF(COUNTIF('Rookies 22-25'!$B$126:$B$197,E375)&gt;0,"(R)","No")</f>
        <v>No</v>
      </c>
      <c r="D375">
        <v>9</v>
      </c>
      <c r="E375" t="s">
        <v>266</v>
      </c>
      <c r="F375" t="s">
        <v>37</v>
      </c>
      <c r="G375">
        <f>VLOOKUP(E375,'24 Draft ADP'!$B$3:$D$436,3,FALSE)</f>
        <v>55</v>
      </c>
      <c r="H375">
        <v>14</v>
      </c>
      <c r="I375">
        <v>22</v>
      </c>
      <c r="J375">
        <v>44</v>
      </c>
      <c r="K375">
        <v>15.7</v>
      </c>
      <c r="L375">
        <v>24.9</v>
      </c>
      <c r="M375">
        <v>12.6</v>
      </c>
      <c r="N375">
        <v>17.399999999999999</v>
      </c>
      <c r="O375">
        <v>8.4</v>
      </c>
      <c r="P375">
        <v>18.2</v>
      </c>
      <c r="Q375">
        <v>27.5</v>
      </c>
      <c r="R375">
        <v>15.9</v>
      </c>
      <c r="S375">
        <v>12.9</v>
      </c>
      <c r="T375" t="s">
        <v>22</v>
      </c>
      <c r="U375">
        <v>15.9</v>
      </c>
      <c r="V375">
        <v>12.9</v>
      </c>
      <c r="W375">
        <v>17</v>
      </c>
      <c r="X375" t="s">
        <v>33</v>
      </c>
      <c r="Y375" t="s">
        <v>33</v>
      </c>
      <c r="Z375">
        <v>0</v>
      </c>
      <c r="AA375">
        <v>19</v>
      </c>
      <c r="AB375">
        <f t="shared" si="10"/>
        <v>265.3</v>
      </c>
      <c r="AC375">
        <v>265.3</v>
      </c>
      <c r="AD375">
        <v>5</v>
      </c>
      <c r="AE375">
        <f t="shared" si="11"/>
        <v>13</v>
      </c>
      <c r="AF375">
        <v>10</v>
      </c>
      <c r="AG375">
        <v>4</v>
      </c>
      <c r="AH375">
        <v>2</v>
      </c>
      <c r="AI375">
        <v>1</v>
      </c>
      <c r="AJ375">
        <v>0.76470588235294112</v>
      </c>
      <c r="AK375">
        <v>0.7142857142857143</v>
      </c>
      <c r="AL375">
        <v>0.2857142857142857</v>
      </c>
      <c r="AM375">
        <v>0.14285714285714285</v>
      </c>
      <c r="AN375">
        <v>7.1428571428571425E-2</v>
      </c>
    </row>
    <row r="376" spans="1:40" x14ac:dyDescent="0.25">
      <c r="A376">
        <v>2024</v>
      </c>
      <c r="B376" t="s">
        <v>220</v>
      </c>
      <c r="C376" t="str">
        <f>IF(COUNTIF('Rookies 22-25'!$B$126:$B$197,E376)&gt;0,"(R)","No")</f>
        <v>No</v>
      </c>
      <c r="D376">
        <v>10</v>
      </c>
      <c r="E376" t="s">
        <v>227</v>
      </c>
      <c r="F376" t="s">
        <v>89</v>
      </c>
      <c r="G376">
        <f>VLOOKUP(E376,'24 Draft ADP'!$B$3:$D$436,3,FALSE)</f>
        <v>104</v>
      </c>
      <c r="H376">
        <v>16</v>
      </c>
      <c r="I376">
        <v>5.3</v>
      </c>
      <c r="J376">
        <v>3.1</v>
      </c>
      <c r="K376">
        <v>8.9</v>
      </c>
      <c r="L376">
        <v>23.2</v>
      </c>
      <c r="M376">
        <v>16.399999999999999</v>
      </c>
      <c r="N376">
        <v>14.4</v>
      </c>
      <c r="O376">
        <v>7.3</v>
      </c>
      <c r="P376">
        <v>11.4</v>
      </c>
      <c r="Q376">
        <v>26.7</v>
      </c>
      <c r="R376">
        <v>22.4</v>
      </c>
      <c r="S376">
        <v>19.3</v>
      </c>
      <c r="T376" t="s">
        <v>22</v>
      </c>
      <c r="U376">
        <v>19</v>
      </c>
      <c r="V376">
        <v>24.3</v>
      </c>
      <c r="W376">
        <v>26.3</v>
      </c>
      <c r="X376">
        <v>13.9</v>
      </c>
      <c r="Y376">
        <v>13.1</v>
      </c>
      <c r="Z376">
        <v>0</v>
      </c>
      <c r="AA376">
        <v>15.9</v>
      </c>
      <c r="AB376">
        <f t="shared" si="10"/>
        <v>255</v>
      </c>
      <c r="AC376">
        <v>255</v>
      </c>
      <c r="AD376">
        <v>9</v>
      </c>
      <c r="AE376">
        <f t="shared" si="11"/>
        <v>12</v>
      </c>
      <c r="AF376">
        <v>8</v>
      </c>
      <c r="AG376">
        <v>5</v>
      </c>
      <c r="AH376">
        <v>2</v>
      </c>
      <c r="AI376">
        <v>0</v>
      </c>
      <c r="AJ376">
        <v>0.70588235294117652</v>
      </c>
      <c r="AK376">
        <v>0.5</v>
      </c>
      <c r="AL376">
        <v>0.3125</v>
      </c>
      <c r="AM376">
        <v>0.125</v>
      </c>
      <c r="AN376">
        <v>0</v>
      </c>
    </row>
    <row r="377" spans="1:40" x14ac:dyDescent="0.25">
      <c r="A377">
        <v>2024</v>
      </c>
      <c r="B377" t="s">
        <v>220</v>
      </c>
      <c r="C377" t="str">
        <f>IF(COUNTIF('Rookies 22-25'!$B$126:$B$197,E377)&gt;0,"(R)","No")</f>
        <v>No</v>
      </c>
      <c r="D377">
        <v>11</v>
      </c>
      <c r="E377" t="s">
        <v>299</v>
      </c>
      <c r="F377" t="s">
        <v>21</v>
      </c>
      <c r="G377">
        <f>VLOOKUP(E377,'24 Draft ADP'!$B$3:$D$436,3,FALSE)</f>
        <v>67</v>
      </c>
      <c r="H377">
        <v>16</v>
      </c>
      <c r="I377">
        <v>19.3</v>
      </c>
      <c r="J377">
        <v>19.399999999999999</v>
      </c>
      <c r="K377">
        <v>3.5</v>
      </c>
      <c r="L377">
        <v>18.3</v>
      </c>
      <c r="M377">
        <v>14</v>
      </c>
      <c r="N377">
        <v>6.6</v>
      </c>
      <c r="O377">
        <v>17.2</v>
      </c>
      <c r="P377">
        <v>14.9</v>
      </c>
      <c r="Q377">
        <v>14.9</v>
      </c>
      <c r="R377">
        <v>22.3</v>
      </c>
      <c r="S377" t="s">
        <v>22</v>
      </c>
      <c r="T377">
        <v>9.9</v>
      </c>
      <c r="U377">
        <v>11.1</v>
      </c>
      <c r="V377">
        <v>22.2</v>
      </c>
      <c r="W377">
        <v>30.8</v>
      </c>
      <c r="X377">
        <v>26.6</v>
      </c>
      <c r="Y377">
        <v>2.8</v>
      </c>
      <c r="Z377">
        <v>0</v>
      </c>
      <c r="AA377">
        <v>15.9</v>
      </c>
      <c r="AB377">
        <f t="shared" si="10"/>
        <v>253.8</v>
      </c>
      <c r="AC377">
        <v>253.8</v>
      </c>
      <c r="AD377">
        <v>6</v>
      </c>
      <c r="AE377">
        <f t="shared" si="11"/>
        <v>12</v>
      </c>
      <c r="AF377">
        <v>8</v>
      </c>
      <c r="AG377">
        <v>4</v>
      </c>
      <c r="AH377">
        <v>2</v>
      </c>
      <c r="AI377">
        <v>1</v>
      </c>
      <c r="AJ377">
        <v>0.70588235294117652</v>
      </c>
      <c r="AK377">
        <v>0.5</v>
      </c>
      <c r="AL377">
        <v>0.25</v>
      </c>
      <c r="AM377">
        <v>0.125</v>
      </c>
      <c r="AN377">
        <v>6.25E-2</v>
      </c>
    </row>
    <row r="378" spans="1:40" x14ac:dyDescent="0.25">
      <c r="A378">
        <v>2024</v>
      </c>
      <c r="B378" t="s">
        <v>220</v>
      </c>
      <c r="C378" t="str">
        <f>IF(COUNTIF('Rookies 22-25'!$B$126:$B$197,E378)&gt;0,"(R)","No")</f>
        <v>No</v>
      </c>
      <c r="D378">
        <v>12</v>
      </c>
      <c r="E378" t="s">
        <v>224</v>
      </c>
      <c r="F378" t="s">
        <v>28</v>
      </c>
      <c r="G378">
        <f>VLOOKUP(E378,'24 Draft ADP'!$B$3:$D$436,3,FALSE)</f>
        <v>11</v>
      </c>
      <c r="H378">
        <v>14</v>
      </c>
      <c r="I378">
        <v>10.8</v>
      </c>
      <c r="J378">
        <v>15.5</v>
      </c>
      <c r="K378">
        <v>26.5</v>
      </c>
      <c r="L378">
        <v>19.8</v>
      </c>
      <c r="M378" t="s">
        <v>33</v>
      </c>
      <c r="N378" t="s">
        <v>33</v>
      </c>
      <c r="O378" t="s">
        <v>33</v>
      </c>
      <c r="P378">
        <v>18.7</v>
      </c>
      <c r="Q378">
        <v>8.9</v>
      </c>
      <c r="R378">
        <v>14.2</v>
      </c>
      <c r="S378">
        <v>7</v>
      </c>
      <c r="T378">
        <v>3.5</v>
      </c>
      <c r="U378">
        <v>17.3</v>
      </c>
      <c r="V378" t="s">
        <v>22</v>
      </c>
      <c r="W378">
        <v>10.1</v>
      </c>
      <c r="X378">
        <v>39.799999999999997</v>
      </c>
      <c r="Y378">
        <v>27.6</v>
      </c>
      <c r="Z378">
        <v>25</v>
      </c>
      <c r="AA378">
        <v>17.5</v>
      </c>
      <c r="AB378">
        <f t="shared" si="10"/>
        <v>219.7</v>
      </c>
      <c r="AC378">
        <v>244.7</v>
      </c>
      <c r="AD378">
        <v>1</v>
      </c>
      <c r="AE378">
        <f t="shared" si="11"/>
        <v>10</v>
      </c>
      <c r="AF378">
        <v>8</v>
      </c>
      <c r="AG378">
        <v>4</v>
      </c>
      <c r="AH378">
        <v>3</v>
      </c>
      <c r="AI378">
        <v>1</v>
      </c>
      <c r="AJ378">
        <v>0.6470588235294118</v>
      </c>
      <c r="AK378">
        <v>0.5714285714285714</v>
      </c>
      <c r="AL378">
        <v>0.2857142857142857</v>
      </c>
      <c r="AM378">
        <v>0.21428571428571427</v>
      </c>
      <c r="AN378">
        <v>7.1428571428571425E-2</v>
      </c>
    </row>
    <row r="379" spans="1:40" x14ac:dyDescent="0.25">
      <c r="A379">
        <v>2024</v>
      </c>
      <c r="B379" t="s">
        <v>220</v>
      </c>
      <c r="C379" t="str">
        <f>IF(COUNTIF('Rookies 22-25'!$B$126:$B$197,E379)&gt;0,"(R)","No")</f>
        <v>(R)</v>
      </c>
      <c r="D379">
        <v>13</v>
      </c>
      <c r="E379" t="s">
        <v>254</v>
      </c>
      <c r="F379" t="s">
        <v>65</v>
      </c>
      <c r="G379">
        <f>VLOOKUP(E379,'24 Draft ADP'!$B$3:$D$436,3,FALSE)</f>
        <v>159</v>
      </c>
      <c r="H379">
        <v>17</v>
      </c>
      <c r="I379">
        <v>9.6</v>
      </c>
      <c r="J379">
        <v>2.2000000000000002</v>
      </c>
      <c r="K379">
        <v>11.4</v>
      </c>
      <c r="L379">
        <v>12.5</v>
      </c>
      <c r="M379">
        <v>5.6</v>
      </c>
      <c r="N379">
        <v>18.5</v>
      </c>
      <c r="O379">
        <v>16.7</v>
      </c>
      <c r="P379">
        <v>15.4</v>
      </c>
      <c r="Q379">
        <v>6.4</v>
      </c>
      <c r="R379">
        <v>17.7</v>
      </c>
      <c r="S379" t="s">
        <v>22</v>
      </c>
      <c r="T379">
        <v>27.2</v>
      </c>
      <c r="U379">
        <v>27.5</v>
      </c>
      <c r="V379">
        <v>2.8</v>
      </c>
      <c r="W379">
        <v>13.3</v>
      </c>
      <c r="X379">
        <v>18.2</v>
      </c>
      <c r="Y379">
        <v>23</v>
      </c>
      <c r="Z379">
        <v>16.399999999999999</v>
      </c>
      <c r="AA379">
        <v>14.4</v>
      </c>
      <c r="AB379">
        <f t="shared" si="10"/>
        <v>228</v>
      </c>
      <c r="AC379">
        <v>244.4</v>
      </c>
      <c r="AD379">
        <v>14</v>
      </c>
      <c r="AE379">
        <f t="shared" si="11"/>
        <v>11</v>
      </c>
      <c r="AF379">
        <v>9</v>
      </c>
      <c r="AG379">
        <v>3</v>
      </c>
      <c r="AH379">
        <v>2</v>
      </c>
      <c r="AI379">
        <v>0</v>
      </c>
      <c r="AJ379">
        <v>0.70588235294117652</v>
      </c>
      <c r="AK379">
        <v>0.52941176470588236</v>
      </c>
      <c r="AL379">
        <v>0.17647058823529413</v>
      </c>
      <c r="AM379">
        <v>0.11764705882352941</v>
      </c>
      <c r="AN379">
        <v>0</v>
      </c>
    </row>
    <row r="380" spans="1:40" x14ac:dyDescent="0.25">
      <c r="A380">
        <v>2024</v>
      </c>
      <c r="B380" t="s">
        <v>220</v>
      </c>
      <c r="C380" t="str">
        <f>IF(COUNTIF('Rookies 22-25'!$B$126:$B$197,E380)&gt;0,"(R)","No")</f>
        <v>No</v>
      </c>
      <c r="D380">
        <v>14</v>
      </c>
      <c r="E380" t="s">
        <v>261</v>
      </c>
      <c r="F380" t="s">
        <v>73</v>
      </c>
      <c r="G380">
        <f>VLOOKUP(E380,'24 Draft ADP'!$B$3:$D$436,3,FALSE)</f>
        <v>71</v>
      </c>
      <c r="H380">
        <v>17</v>
      </c>
      <c r="I380">
        <v>18.899999999999999</v>
      </c>
      <c r="J380">
        <v>9.8000000000000007</v>
      </c>
      <c r="K380">
        <v>25.8</v>
      </c>
      <c r="L380">
        <v>17.899999999999999</v>
      </c>
      <c r="M380">
        <v>6.3</v>
      </c>
      <c r="N380" t="s">
        <v>22</v>
      </c>
      <c r="O380">
        <v>20.6</v>
      </c>
      <c r="P380">
        <v>11.5</v>
      </c>
      <c r="Q380">
        <v>12.2</v>
      </c>
      <c r="R380">
        <v>12.1</v>
      </c>
      <c r="S380">
        <v>5.3</v>
      </c>
      <c r="T380">
        <v>19.899999999999999</v>
      </c>
      <c r="U380">
        <v>9.8000000000000007</v>
      </c>
      <c r="V380">
        <v>16.399999999999999</v>
      </c>
      <c r="W380">
        <v>18.600000000000001</v>
      </c>
      <c r="X380">
        <v>12.3</v>
      </c>
      <c r="Y380">
        <v>11.7</v>
      </c>
      <c r="Z380">
        <v>12.5</v>
      </c>
      <c r="AA380">
        <v>14.2</v>
      </c>
      <c r="AB380">
        <f t="shared" si="10"/>
        <v>229.1</v>
      </c>
      <c r="AC380">
        <v>241.6</v>
      </c>
      <c r="AD380">
        <v>6</v>
      </c>
      <c r="AE380">
        <f t="shared" si="11"/>
        <v>12</v>
      </c>
      <c r="AF380">
        <v>7</v>
      </c>
      <c r="AG380">
        <v>2</v>
      </c>
      <c r="AH380">
        <v>1</v>
      </c>
      <c r="AI380">
        <v>0</v>
      </c>
      <c r="AJ380">
        <v>0.76470588235294112</v>
      </c>
      <c r="AK380">
        <v>0.41176470588235292</v>
      </c>
      <c r="AL380">
        <v>0.11764705882352941</v>
      </c>
      <c r="AM380">
        <v>5.8823529411764705E-2</v>
      </c>
      <c r="AN380">
        <v>0</v>
      </c>
    </row>
    <row r="381" spans="1:40" x14ac:dyDescent="0.25">
      <c r="A381">
        <v>2024</v>
      </c>
      <c r="B381" t="s">
        <v>220</v>
      </c>
      <c r="C381" t="str">
        <f>IF(COUNTIF('Rookies 22-25'!$B$126:$B$197,E381)&gt;0,"(R)","No")</f>
        <v>No</v>
      </c>
      <c r="D381">
        <v>14</v>
      </c>
      <c r="E381" t="s">
        <v>258</v>
      </c>
      <c r="F381" t="s">
        <v>95</v>
      </c>
      <c r="G381">
        <f>VLOOKUP(E381,'24 Draft ADP'!$B$3:$D$436,3,FALSE)</f>
        <v>128</v>
      </c>
      <c r="H381">
        <v>15</v>
      </c>
      <c r="I381">
        <v>1.4</v>
      </c>
      <c r="J381">
        <v>11.6</v>
      </c>
      <c r="K381">
        <v>27.9</v>
      </c>
      <c r="L381">
        <v>22.1</v>
      </c>
      <c r="M381">
        <v>17.5</v>
      </c>
      <c r="N381">
        <v>15.3</v>
      </c>
      <c r="O381">
        <v>11.2</v>
      </c>
      <c r="P381">
        <v>9.1</v>
      </c>
      <c r="Q381">
        <v>21.2</v>
      </c>
      <c r="R381">
        <v>24.9</v>
      </c>
      <c r="S381" t="s">
        <v>22</v>
      </c>
      <c r="T381">
        <v>15</v>
      </c>
      <c r="U381">
        <v>2.2999999999999998</v>
      </c>
      <c r="V381">
        <v>20.7</v>
      </c>
      <c r="W381">
        <v>8.9</v>
      </c>
      <c r="X381">
        <v>32.5</v>
      </c>
      <c r="Y381" t="s">
        <v>33</v>
      </c>
      <c r="Z381">
        <v>0</v>
      </c>
      <c r="AA381">
        <v>16.100000000000001</v>
      </c>
      <c r="AB381">
        <f t="shared" si="10"/>
        <v>241.6</v>
      </c>
      <c r="AC381">
        <v>241.6</v>
      </c>
      <c r="AD381">
        <v>11</v>
      </c>
      <c r="AE381">
        <f t="shared" si="11"/>
        <v>11</v>
      </c>
      <c r="AF381">
        <v>8</v>
      </c>
      <c r="AG381">
        <v>6</v>
      </c>
      <c r="AH381">
        <v>2</v>
      </c>
      <c r="AI381">
        <v>1</v>
      </c>
      <c r="AJ381">
        <v>0.6470588235294118</v>
      </c>
      <c r="AK381">
        <v>0.53333333333333333</v>
      </c>
      <c r="AL381">
        <v>0.4</v>
      </c>
      <c r="AM381">
        <v>0.13333333333333333</v>
      </c>
      <c r="AN381">
        <v>6.6666666666666666E-2</v>
      </c>
    </row>
    <row r="382" spans="1:40" x14ac:dyDescent="0.25">
      <c r="A382">
        <v>2024</v>
      </c>
      <c r="B382" t="s">
        <v>220</v>
      </c>
      <c r="C382" t="str">
        <f>IF(COUNTIF('Rookies 22-25'!$B$126:$B$197,E382)&gt;0,"(R)","No")</f>
        <v>No</v>
      </c>
      <c r="D382">
        <v>16</v>
      </c>
      <c r="E382" t="s">
        <v>239</v>
      </c>
      <c r="F382" t="s">
        <v>82</v>
      </c>
      <c r="G382">
        <f>VLOOKUP(E382,'24 Draft ADP'!$B$3:$D$436,3,FALSE)</f>
        <v>4</v>
      </c>
      <c r="H382">
        <v>16</v>
      </c>
      <c r="I382">
        <v>18.3</v>
      </c>
      <c r="J382">
        <v>24.4</v>
      </c>
      <c r="K382">
        <v>18.3</v>
      </c>
      <c r="L382">
        <v>3.8</v>
      </c>
      <c r="M382">
        <v>6.7</v>
      </c>
      <c r="N382">
        <v>21.9</v>
      </c>
      <c r="O382">
        <v>26.1</v>
      </c>
      <c r="P382">
        <v>9.9</v>
      </c>
      <c r="Q382">
        <v>10.5</v>
      </c>
      <c r="R382">
        <v>12.3</v>
      </c>
      <c r="S382">
        <v>31.1</v>
      </c>
      <c r="T382" t="s">
        <v>22</v>
      </c>
      <c r="U382">
        <v>6</v>
      </c>
      <c r="V382" t="s">
        <v>33</v>
      </c>
      <c r="W382">
        <v>13.1</v>
      </c>
      <c r="X382">
        <v>14</v>
      </c>
      <c r="Y382">
        <v>6.3</v>
      </c>
      <c r="Z382">
        <v>18.2</v>
      </c>
      <c r="AA382">
        <v>15.1</v>
      </c>
      <c r="AB382">
        <f t="shared" si="10"/>
        <v>222.70000000000002</v>
      </c>
      <c r="AC382">
        <v>240.9</v>
      </c>
      <c r="AD382">
        <v>1</v>
      </c>
      <c r="AE382">
        <f t="shared" si="11"/>
        <v>10</v>
      </c>
      <c r="AF382">
        <v>7</v>
      </c>
      <c r="AG382">
        <v>4</v>
      </c>
      <c r="AH382">
        <v>2</v>
      </c>
      <c r="AI382">
        <v>1</v>
      </c>
      <c r="AJ382">
        <v>0.6470588235294118</v>
      </c>
      <c r="AK382">
        <v>0.4375</v>
      </c>
      <c r="AL382">
        <v>0.25</v>
      </c>
      <c r="AM382">
        <v>0.125</v>
      </c>
      <c r="AN382">
        <v>6.25E-2</v>
      </c>
    </row>
    <row r="383" spans="1:40" x14ac:dyDescent="0.25">
      <c r="A383">
        <v>2024</v>
      </c>
      <c r="B383" t="s">
        <v>220</v>
      </c>
      <c r="C383" t="str">
        <f>IF(COUNTIF('Rookies 22-25'!$B$126:$B$197,E383)&gt;0,"(R)","No")</f>
        <v>No</v>
      </c>
      <c r="D383">
        <v>17</v>
      </c>
      <c r="E383" t="s">
        <v>389</v>
      </c>
      <c r="F383" t="s">
        <v>41</v>
      </c>
      <c r="G383">
        <f>VLOOKUP(E383,'24 Draft ADP'!$B$3:$D$436,3,FALSE)</f>
        <v>54</v>
      </c>
      <c r="H383">
        <v>14</v>
      </c>
      <c r="I383">
        <v>26.8</v>
      </c>
      <c r="J383">
        <v>8</v>
      </c>
      <c r="K383" t="s">
        <v>33</v>
      </c>
      <c r="L383" t="s">
        <v>33</v>
      </c>
      <c r="M383" t="s">
        <v>33</v>
      </c>
      <c r="N383">
        <v>27.2</v>
      </c>
      <c r="O383">
        <v>26.4</v>
      </c>
      <c r="P383">
        <v>23.4</v>
      </c>
      <c r="Q383">
        <v>16.600000000000001</v>
      </c>
      <c r="R383">
        <v>17</v>
      </c>
      <c r="S383">
        <v>35.299999999999997</v>
      </c>
      <c r="T383">
        <v>9.5</v>
      </c>
      <c r="U383">
        <v>21.9</v>
      </c>
      <c r="V383" t="s">
        <v>22</v>
      </c>
      <c r="W383">
        <v>10.6</v>
      </c>
      <c r="X383">
        <v>8.1</v>
      </c>
      <c r="Y383">
        <v>5.9</v>
      </c>
      <c r="Z383">
        <v>3.8</v>
      </c>
      <c r="AA383">
        <v>17.2</v>
      </c>
      <c r="AB383">
        <f t="shared" si="10"/>
        <v>236.7</v>
      </c>
      <c r="AC383">
        <v>240.5</v>
      </c>
      <c r="AD383">
        <v>5</v>
      </c>
      <c r="AE383">
        <f t="shared" si="11"/>
        <v>9</v>
      </c>
      <c r="AF383">
        <v>8</v>
      </c>
      <c r="AG383">
        <v>6</v>
      </c>
      <c r="AH383">
        <v>4</v>
      </c>
      <c r="AI383">
        <v>1</v>
      </c>
      <c r="AJ383">
        <v>0.52941176470588236</v>
      </c>
      <c r="AK383">
        <v>0.5714285714285714</v>
      </c>
      <c r="AL383">
        <v>0.42857142857142855</v>
      </c>
      <c r="AM383">
        <v>0.2857142857142857</v>
      </c>
      <c r="AN383">
        <v>7.1428571428571425E-2</v>
      </c>
    </row>
    <row r="384" spans="1:40" x14ac:dyDescent="0.25">
      <c r="A384">
        <v>2024</v>
      </c>
      <c r="B384" t="s">
        <v>220</v>
      </c>
      <c r="C384" t="str">
        <f>IF(COUNTIF('Rookies 22-25'!$B$126:$B$197,E384)&gt;0,"(R)","No")</f>
        <v>No</v>
      </c>
      <c r="D384">
        <v>18</v>
      </c>
      <c r="E384" t="s">
        <v>247</v>
      </c>
      <c r="F384" t="s">
        <v>75</v>
      </c>
      <c r="G384">
        <f>VLOOKUP(E384,'24 Draft ADP'!$B$3:$D$436,3,FALSE)</f>
        <v>68</v>
      </c>
      <c r="H384">
        <v>14</v>
      </c>
      <c r="I384">
        <v>16.3</v>
      </c>
      <c r="J384">
        <v>17</v>
      </c>
      <c r="K384">
        <v>21.2</v>
      </c>
      <c r="L384">
        <v>15</v>
      </c>
      <c r="M384" t="s">
        <v>22</v>
      </c>
      <c r="N384">
        <v>21</v>
      </c>
      <c r="O384">
        <v>8</v>
      </c>
      <c r="P384">
        <v>14.9</v>
      </c>
      <c r="Q384">
        <v>12.6</v>
      </c>
      <c r="R384">
        <v>12.6</v>
      </c>
      <c r="S384">
        <v>24.5</v>
      </c>
      <c r="T384">
        <v>16.3</v>
      </c>
      <c r="U384">
        <v>15.4</v>
      </c>
      <c r="V384">
        <v>19.399999999999999</v>
      </c>
      <c r="W384">
        <v>7.5</v>
      </c>
      <c r="X384" t="s">
        <v>33</v>
      </c>
      <c r="Y384" t="s">
        <v>33</v>
      </c>
      <c r="Z384">
        <v>0</v>
      </c>
      <c r="AA384">
        <v>15.8</v>
      </c>
      <c r="AB384">
        <f t="shared" si="10"/>
        <v>221.7</v>
      </c>
      <c r="AC384">
        <v>221.7</v>
      </c>
      <c r="AD384">
        <v>6</v>
      </c>
      <c r="AE384">
        <f t="shared" si="11"/>
        <v>12</v>
      </c>
      <c r="AF384">
        <v>8</v>
      </c>
      <c r="AG384">
        <v>3</v>
      </c>
      <c r="AH384">
        <v>0</v>
      </c>
      <c r="AI384">
        <v>0</v>
      </c>
      <c r="AJ384">
        <v>0.70588235294117652</v>
      </c>
      <c r="AK384">
        <v>0.5714285714285714</v>
      </c>
      <c r="AL384">
        <v>0.21428571428571427</v>
      </c>
      <c r="AM384">
        <v>0</v>
      </c>
      <c r="AN384">
        <v>0</v>
      </c>
    </row>
    <row r="385" spans="1:40" x14ac:dyDescent="0.25">
      <c r="A385">
        <v>2024</v>
      </c>
      <c r="B385" t="s">
        <v>220</v>
      </c>
      <c r="C385" t="str">
        <f>IF(COUNTIF('Rookies 22-25'!$B$126:$B$197,E385)&gt;0,"(R)","No")</f>
        <v>No</v>
      </c>
      <c r="D385">
        <v>19</v>
      </c>
      <c r="E385" t="s">
        <v>235</v>
      </c>
      <c r="F385" t="s">
        <v>45</v>
      </c>
      <c r="G385">
        <f>VLOOKUP(E385,'24 Draft ADP'!$B$3:$D$436,3,FALSE)</f>
        <v>75</v>
      </c>
      <c r="H385">
        <v>17</v>
      </c>
      <c r="I385">
        <v>5</v>
      </c>
      <c r="J385">
        <v>8.1999999999999993</v>
      </c>
      <c r="K385">
        <v>6.2</v>
      </c>
      <c r="L385">
        <v>29.5</v>
      </c>
      <c r="M385">
        <v>20</v>
      </c>
      <c r="N385">
        <v>21.9</v>
      </c>
      <c r="O385" t="s">
        <v>22</v>
      </c>
      <c r="P385">
        <v>18.899999999999999</v>
      </c>
      <c r="Q385">
        <v>14.2</v>
      </c>
      <c r="R385">
        <v>7.5</v>
      </c>
      <c r="S385">
        <v>16.399999999999999</v>
      </c>
      <c r="T385">
        <v>9.5</v>
      </c>
      <c r="U385">
        <v>9.4</v>
      </c>
      <c r="V385">
        <v>5</v>
      </c>
      <c r="W385">
        <v>9.9</v>
      </c>
      <c r="X385">
        <v>8.3000000000000007</v>
      </c>
      <c r="Y385">
        <v>12.1</v>
      </c>
      <c r="Z385">
        <v>12.5</v>
      </c>
      <c r="AA385">
        <v>12.6</v>
      </c>
      <c r="AB385">
        <f t="shared" si="10"/>
        <v>202</v>
      </c>
      <c r="AC385">
        <v>214.5</v>
      </c>
      <c r="AD385">
        <v>7</v>
      </c>
      <c r="AE385">
        <f t="shared" si="11"/>
        <v>7</v>
      </c>
      <c r="AF385">
        <v>5</v>
      </c>
      <c r="AG385">
        <v>2</v>
      </c>
      <c r="AH385">
        <v>1</v>
      </c>
      <c r="AI385">
        <v>0</v>
      </c>
      <c r="AJ385">
        <v>0.47058823529411764</v>
      </c>
      <c r="AK385">
        <v>0.29411764705882354</v>
      </c>
      <c r="AL385">
        <v>0.11764705882352941</v>
      </c>
      <c r="AM385">
        <v>5.8823529411764705E-2</v>
      </c>
      <c r="AN385">
        <v>0</v>
      </c>
    </row>
    <row r="386" spans="1:40" x14ac:dyDescent="0.25">
      <c r="A386">
        <v>2024</v>
      </c>
      <c r="B386" t="s">
        <v>220</v>
      </c>
      <c r="C386" t="str">
        <f>IF(COUNTIF('Rookies 22-25'!$B$126:$B$197,E386)&gt;0,"(R)","No")</f>
        <v>No</v>
      </c>
      <c r="D386">
        <v>20</v>
      </c>
      <c r="E386" t="s">
        <v>323</v>
      </c>
      <c r="F386" t="s">
        <v>71</v>
      </c>
      <c r="G386">
        <f>VLOOKUP(E386,'24 Draft ADP'!$B$3:$D$436,3,FALSE)</f>
        <v>73</v>
      </c>
      <c r="H386">
        <v>17</v>
      </c>
      <c r="I386">
        <v>8.9</v>
      </c>
      <c r="J386">
        <v>8.4</v>
      </c>
      <c r="K386">
        <v>13.6</v>
      </c>
      <c r="L386">
        <v>10.3</v>
      </c>
      <c r="M386">
        <v>9.6999999999999993</v>
      </c>
      <c r="N386">
        <v>20.2</v>
      </c>
      <c r="O386">
        <v>16.2</v>
      </c>
      <c r="P386">
        <v>16.100000000000001</v>
      </c>
      <c r="Q386" t="s">
        <v>22</v>
      </c>
      <c r="R386">
        <v>11.3</v>
      </c>
      <c r="S386">
        <v>13.3</v>
      </c>
      <c r="T386">
        <v>7.4</v>
      </c>
      <c r="U386">
        <v>24.9</v>
      </c>
      <c r="V386">
        <v>11.3</v>
      </c>
      <c r="W386">
        <v>3.1</v>
      </c>
      <c r="X386">
        <v>4.2</v>
      </c>
      <c r="Y386">
        <v>10.1</v>
      </c>
      <c r="Z386">
        <v>15.6</v>
      </c>
      <c r="AA386">
        <v>12</v>
      </c>
      <c r="AB386">
        <f t="shared" si="10"/>
        <v>189</v>
      </c>
      <c r="AC386">
        <v>204.6</v>
      </c>
      <c r="AD386">
        <v>7</v>
      </c>
      <c r="AE386">
        <f t="shared" si="11"/>
        <v>10</v>
      </c>
      <c r="AF386">
        <v>5</v>
      </c>
      <c r="AG386">
        <v>2</v>
      </c>
      <c r="AH386">
        <v>0</v>
      </c>
      <c r="AI386">
        <v>0</v>
      </c>
      <c r="AJ386">
        <v>0.6470588235294118</v>
      </c>
      <c r="AK386">
        <v>0.29411764705882354</v>
      </c>
      <c r="AL386">
        <v>0.11764705882352941</v>
      </c>
      <c r="AM386">
        <v>0</v>
      </c>
      <c r="AN386">
        <v>0</v>
      </c>
    </row>
    <row r="387" spans="1:40" x14ac:dyDescent="0.25">
      <c r="A387">
        <v>2024</v>
      </c>
      <c r="B387" t="s">
        <v>220</v>
      </c>
      <c r="C387" t="str">
        <f>IF(COUNTIF('Rookies 22-25'!$B$126:$B$197,E387)&gt;0,"(R)","No")</f>
        <v>No</v>
      </c>
      <c r="D387">
        <v>21</v>
      </c>
      <c r="E387" t="s">
        <v>243</v>
      </c>
      <c r="F387" t="s">
        <v>63</v>
      </c>
      <c r="G387">
        <f>VLOOKUP(E387,'24 Draft ADP'!$B$3:$D$436,3,FALSE)</f>
        <v>89</v>
      </c>
      <c r="H387">
        <v>16</v>
      </c>
      <c r="I387">
        <v>18.399999999999999</v>
      </c>
      <c r="J387">
        <v>15.2</v>
      </c>
      <c r="K387">
        <v>5.9</v>
      </c>
      <c r="L387">
        <v>18.8</v>
      </c>
      <c r="M387" t="s">
        <v>22</v>
      </c>
      <c r="N387">
        <v>17.8</v>
      </c>
      <c r="O387">
        <v>8.5</v>
      </c>
      <c r="P387">
        <v>14.7</v>
      </c>
      <c r="Q387">
        <v>18.399999999999999</v>
      </c>
      <c r="R387">
        <v>10.3</v>
      </c>
      <c r="S387">
        <v>4.9000000000000004</v>
      </c>
      <c r="T387">
        <v>21.9</v>
      </c>
      <c r="U387">
        <v>8.8000000000000007</v>
      </c>
      <c r="V387">
        <v>14.4</v>
      </c>
      <c r="W387">
        <v>8.5</v>
      </c>
      <c r="X387">
        <v>8</v>
      </c>
      <c r="Y387" t="s">
        <v>33</v>
      </c>
      <c r="Z387">
        <v>6.2</v>
      </c>
      <c r="AA387">
        <v>12.5</v>
      </c>
      <c r="AB387">
        <f t="shared" ref="AB387:AB450" si="12">AC387-Z387</f>
        <v>194.5</v>
      </c>
      <c r="AC387">
        <v>200.7</v>
      </c>
      <c r="AD387">
        <v>8</v>
      </c>
      <c r="AE387">
        <f t="shared" ref="AE387:AE450" si="13">COUNTIF(I387:Y387,"&gt;10")</f>
        <v>9</v>
      </c>
      <c r="AF387">
        <v>6</v>
      </c>
      <c r="AG387">
        <v>1</v>
      </c>
      <c r="AH387">
        <v>0</v>
      </c>
      <c r="AI387">
        <v>0</v>
      </c>
      <c r="AJ387">
        <v>0.52941176470588236</v>
      </c>
      <c r="AK387">
        <v>0.375</v>
      </c>
      <c r="AL387">
        <v>6.25E-2</v>
      </c>
      <c r="AM387">
        <v>0</v>
      </c>
      <c r="AN387">
        <v>0</v>
      </c>
    </row>
    <row r="388" spans="1:40" x14ac:dyDescent="0.25">
      <c r="A388">
        <v>2024</v>
      </c>
      <c r="B388" t="s">
        <v>220</v>
      </c>
      <c r="C388" t="str">
        <f>IF(COUNTIF('Rookies 22-25'!$B$126:$B$197,E388)&gt;0,"(R)","No")</f>
        <v>No</v>
      </c>
      <c r="D388">
        <v>22</v>
      </c>
      <c r="E388" t="s">
        <v>252</v>
      </c>
      <c r="F388" t="s">
        <v>65</v>
      </c>
      <c r="G388">
        <f>VLOOKUP(E388,'24 Draft ADP'!$B$3:$D$436,3,FALSE)</f>
        <v>47</v>
      </c>
      <c r="H388">
        <v>16</v>
      </c>
      <c r="I388">
        <v>16.600000000000001</v>
      </c>
      <c r="J388">
        <v>3.3</v>
      </c>
      <c r="K388">
        <v>8.5</v>
      </c>
      <c r="L388">
        <v>10.4</v>
      </c>
      <c r="M388">
        <v>9.6</v>
      </c>
      <c r="N388" t="s">
        <v>33</v>
      </c>
      <c r="O388">
        <v>29.1</v>
      </c>
      <c r="P388">
        <v>15.7</v>
      </c>
      <c r="Q388">
        <v>12.5</v>
      </c>
      <c r="R388">
        <v>19</v>
      </c>
      <c r="S388" t="s">
        <v>22</v>
      </c>
      <c r="T388">
        <v>11.7</v>
      </c>
      <c r="U388">
        <v>8.8000000000000007</v>
      </c>
      <c r="V388">
        <v>24.9</v>
      </c>
      <c r="W388">
        <v>14.1</v>
      </c>
      <c r="X388">
        <v>11</v>
      </c>
      <c r="Y388">
        <v>4.4000000000000004</v>
      </c>
      <c r="Z388">
        <v>0</v>
      </c>
      <c r="AA388">
        <v>12.5</v>
      </c>
      <c r="AB388">
        <f t="shared" si="12"/>
        <v>199.6</v>
      </c>
      <c r="AC388">
        <v>199.6</v>
      </c>
      <c r="AD388">
        <v>4</v>
      </c>
      <c r="AE388">
        <f t="shared" si="13"/>
        <v>10</v>
      </c>
      <c r="AF388">
        <v>5</v>
      </c>
      <c r="AG388">
        <v>2</v>
      </c>
      <c r="AH388">
        <v>1</v>
      </c>
      <c r="AI388">
        <v>0</v>
      </c>
      <c r="AJ388">
        <v>0.58823529411764708</v>
      </c>
      <c r="AK388">
        <v>0.3125</v>
      </c>
      <c r="AL388">
        <v>0.125</v>
      </c>
      <c r="AM388">
        <v>6.25E-2</v>
      </c>
      <c r="AN388">
        <v>0</v>
      </c>
    </row>
    <row r="389" spans="1:40" x14ac:dyDescent="0.25">
      <c r="A389">
        <v>2024</v>
      </c>
      <c r="B389" t="s">
        <v>220</v>
      </c>
      <c r="C389" t="str">
        <f>IF(COUNTIF('Rookies 22-25'!$B$126:$B$197,E389)&gt;0,"(R)","No")</f>
        <v>No</v>
      </c>
      <c r="D389">
        <v>23</v>
      </c>
      <c r="E389" t="s">
        <v>238</v>
      </c>
      <c r="F389" t="s">
        <v>30</v>
      </c>
      <c r="G389">
        <f>VLOOKUP(E389,'24 Draft ADP'!$B$3:$D$436,3,FALSE)</f>
        <v>120</v>
      </c>
      <c r="H389">
        <v>16</v>
      </c>
      <c r="I389">
        <v>4.2</v>
      </c>
      <c r="J389">
        <v>9.9</v>
      </c>
      <c r="K389">
        <v>8.6</v>
      </c>
      <c r="L389">
        <v>13.1</v>
      </c>
      <c r="M389">
        <v>19.399999999999999</v>
      </c>
      <c r="N389">
        <v>10.5</v>
      </c>
      <c r="O389" t="s">
        <v>22</v>
      </c>
      <c r="P389" t="s">
        <v>33</v>
      </c>
      <c r="Q389">
        <v>21.7</v>
      </c>
      <c r="R389">
        <v>8.6</v>
      </c>
      <c r="S389">
        <v>5.4</v>
      </c>
      <c r="T389">
        <v>10.8</v>
      </c>
      <c r="U389">
        <v>21.3</v>
      </c>
      <c r="V389">
        <v>15.1</v>
      </c>
      <c r="W389">
        <v>14.9</v>
      </c>
      <c r="X389">
        <v>8.1</v>
      </c>
      <c r="Y389">
        <v>9.8000000000000007</v>
      </c>
      <c r="Z389">
        <v>16.399999999999999</v>
      </c>
      <c r="AA389">
        <v>12.4</v>
      </c>
      <c r="AB389">
        <f t="shared" si="12"/>
        <v>181.4</v>
      </c>
      <c r="AC389">
        <v>197.8</v>
      </c>
      <c r="AD389">
        <v>10</v>
      </c>
      <c r="AE389">
        <f t="shared" si="13"/>
        <v>8</v>
      </c>
      <c r="AF389">
        <v>5</v>
      </c>
      <c r="AG389">
        <v>2</v>
      </c>
      <c r="AH389">
        <v>0</v>
      </c>
      <c r="AI389">
        <v>0</v>
      </c>
      <c r="AJ389">
        <v>0.52941176470588236</v>
      </c>
      <c r="AK389">
        <v>0.3125</v>
      </c>
      <c r="AL389">
        <v>0.125</v>
      </c>
      <c r="AM389">
        <v>0</v>
      </c>
      <c r="AN389">
        <v>0</v>
      </c>
    </row>
    <row r="390" spans="1:40" x14ac:dyDescent="0.25">
      <c r="A390">
        <v>2024</v>
      </c>
      <c r="B390" t="s">
        <v>220</v>
      </c>
      <c r="C390" t="str">
        <f>IF(COUNTIF('Rookies 22-25'!$B$126:$B$197,E390)&gt;0,"(R)","No")</f>
        <v>No</v>
      </c>
      <c r="D390">
        <v>24</v>
      </c>
      <c r="E390" t="s">
        <v>263</v>
      </c>
      <c r="F390" t="s">
        <v>51</v>
      </c>
      <c r="G390">
        <f>VLOOKUP(E390,'24 Draft ADP'!$B$3:$D$436,3,FALSE)</f>
        <v>136</v>
      </c>
      <c r="H390">
        <v>13</v>
      </c>
      <c r="I390">
        <v>22.9</v>
      </c>
      <c r="J390">
        <v>20.100000000000001</v>
      </c>
      <c r="K390">
        <v>8.4</v>
      </c>
      <c r="L390">
        <v>9.1999999999999993</v>
      </c>
      <c r="M390" t="s">
        <v>22</v>
      </c>
      <c r="N390">
        <v>18.2</v>
      </c>
      <c r="O390">
        <v>9.6</v>
      </c>
      <c r="P390">
        <v>16.8</v>
      </c>
      <c r="Q390">
        <v>24.5</v>
      </c>
      <c r="R390">
        <v>8.5</v>
      </c>
      <c r="S390">
        <v>18.899999999999999</v>
      </c>
      <c r="T390">
        <v>8.9</v>
      </c>
      <c r="U390" t="s">
        <v>33</v>
      </c>
      <c r="V390" t="s">
        <v>33</v>
      </c>
      <c r="W390" t="s">
        <v>33</v>
      </c>
      <c r="X390" t="s">
        <v>33</v>
      </c>
      <c r="Y390">
        <v>15.3</v>
      </c>
      <c r="Z390">
        <v>10.5</v>
      </c>
      <c r="AA390">
        <v>14.8</v>
      </c>
      <c r="AB390">
        <f t="shared" si="12"/>
        <v>181.3</v>
      </c>
      <c r="AC390">
        <v>191.8</v>
      </c>
      <c r="AD390">
        <v>12</v>
      </c>
      <c r="AE390">
        <f t="shared" si="13"/>
        <v>7</v>
      </c>
      <c r="AF390">
        <v>7</v>
      </c>
      <c r="AG390">
        <v>3</v>
      </c>
      <c r="AH390">
        <v>0</v>
      </c>
      <c r="AI390">
        <v>0</v>
      </c>
      <c r="AJ390">
        <v>0.47058823529411764</v>
      </c>
      <c r="AK390">
        <v>0.53846153846153844</v>
      </c>
      <c r="AL390">
        <v>0.23076923076923078</v>
      </c>
      <c r="AM390">
        <v>0</v>
      </c>
      <c r="AN390">
        <v>0</v>
      </c>
    </row>
    <row r="391" spans="1:40" x14ac:dyDescent="0.25">
      <c r="A391">
        <v>2024</v>
      </c>
      <c r="B391" t="s">
        <v>220</v>
      </c>
      <c r="C391" t="str">
        <f>IF(COUNTIF('Rookies 22-25'!$B$126:$B$197,E391)&gt;0,"(R)","No")</f>
        <v>No</v>
      </c>
      <c r="D391">
        <v>25</v>
      </c>
      <c r="E391" t="s">
        <v>244</v>
      </c>
      <c r="F391" t="s">
        <v>49</v>
      </c>
      <c r="G391">
        <f>VLOOKUP(E391,'24 Draft ADP'!$B$3:$D$436,3,FALSE)</f>
        <v>141</v>
      </c>
      <c r="H391">
        <v>17</v>
      </c>
      <c r="I391">
        <v>12.1</v>
      </c>
      <c r="J391">
        <v>17.899999999999999</v>
      </c>
      <c r="K391">
        <v>25.7</v>
      </c>
      <c r="L391">
        <v>10.4</v>
      </c>
      <c r="M391">
        <v>6</v>
      </c>
      <c r="N391">
        <v>4.5</v>
      </c>
      <c r="O391">
        <v>1.9</v>
      </c>
      <c r="P391">
        <v>11.4</v>
      </c>
      <c r="Q391">
        <v>5.3</v>
      </c>
      <c r="R391" t="s">
        <v>22</v>
      </c>
      <c r="S391">
        <v>2.5</v>
      </c>
      <c r="T391">
        <v>2.2000000000000002</v>
      </c>
      <c r="U391">
        <v>12.1</v>
      </c>
      <c r="V391">
        <v>38.299999999999997</v>
      </c>
      <c r="W391">
        <v>13.6</v>
      </c>
      <c r="X391">
        <v>3.3</v>
      </c>
      <c r="Y391">
        <v>10.6</v>
      </c>
      <c r="Z391">
        <v>9.1</v>
      </c>
      <c r="AA391">
        <v>11</v>
      </c>
      <c r="AB391">
        <f t="shared" si="12"/>
        <v>177.8</v>
      </c>
      <c r="AC391">
        <v>186.9</v>
      </c>
      <c r="AD391">
        <v>12</v>
      </c>
      <c r="AE391">
        <f t="shared" si="13"/>
        <v>9</v>
      </c>
      <c r="AF391">
        <v>3</v>
      </c>
      <c r="AG391">
        <v>2</v>
      </c>
      <c r="AH391">
        <v>2</v>
      </c>
      <c r="AI391">
        <v>1</v>
      </c>
      <c r="AJ391">
        <v>0.52941176470588236</v>
      </c>
      <c r="AK391">
        <v>0.17647058823529413</v>
      </c>
      <c r="AL391">
        <v>0.11764705882352941</v>
      </c>
      <c r="AM391">
        <v>0.11764705882352941</v>
      </c>
      <c r="AN391">
        <v>5.8823529411764705E-2</v>
      </c>
    </row>
    <row r="392" spans="1:40" x14ac:dyDescent="0.25">
      <c r="A392">
        <v>2024</v>
      </c>
      <c r="B392" t="s">
        <v>220</v>
      </c>
      <c r="C392" t="str">
        <f>IF(COUNTIF('Rookies 22-25'!$B$126:$B$197,E392)&gt;0,"(R)","No")</f>
        <v>(R)</v>
      </c>
      <c r="D392">
        <v>26</v>
      </c>
      <c r="E392" t="s">
        <v>248</v>
      </c>
      <c r="F392" t="s">
        <v>57</v>
      </c>
      <c r="G392">
        <f>VLOOKUP(E392,'24 Draft ADP'!$B$3:$D$436,3,FALSE)</f>
        <v>179</v>
      </c>
      <c r="H392">
        <v>17</v>
      </c>
      <c r="I392">
        <v>1.7</v>
      </c>
      <c r="J392">
        <v>0.2</v>
      </c>
      <c r="K392">
        <v>6</v>
      </c>
      <c r="L392">
        <v>3.1</v>
      </c>
      <c r="M392">
        <v>14</v>
      </c>
      <c r="N392">
        <v>22.7</v>
      </c>
      <c r="O392">
        <v>6.2</v>
      </c>
      <c r="P392">
        <v>23</v>
      </c>
      <c r="Q392">
        <v>7.9</v>
      </c>
      <c r="R392">
        <v>15.4</v>
      </c>
      <c r="S392" t="s">
        <v>22</v>
      </c>
      <c r="T392">
        <v>9</v>
      </c>
      <c r="U392">
        <v>14.5</v>
      </c>
      <c r="V392">
        <v>19.3</v>
      </c>
      <c r="W392">
        <v>4.5</v>
      </c>
      <c r="X392">
        <v>16.899999999999999</v>
      </c>
      <c r="Y392">
        <v>9.3000000000000007</v>
      </c>
      <c r="Z392">
        <v>8.6</v>
      </c>
      <c r="AA392">
        <v>10.7</v>
      </c>
      <c r="AB392">
        <f t="shared" si="12"/>
        <v>173.70000000000002</v>
      </c>
      <c r="AC392">
        <v>182.3</v>
      </c>
      <c r="AD392">
        <v>15</v>
      </c>
      <c r="AE392">
        <f t="shared" si="13"/>
        <v>7</v>
      </c>
      <c r="AF392">
        <v>5</v>
      </c>
      <c r="AG392">
        <v>2</v>
      </c>
      <c r="AH392">
        <v>0</v>
      </c>
      <c r="AI392">
        <v>0</v>
      </c>
      <c r="AJ392">
        <v>0.41176470588235292</v>
      </c>
      <c r="AK392">
        <v>0.29411764705882354</v>
      </c>
      <c r="AL392">
        <v>0.11764705882352941</v>
      </c>
      <c r="AM392">
        <v>0</v>
      </c>
      <c r="AN392">
        <v>0</v>
      </c>
    </row>
    <row r="393" spans="1:40" x14ac:dyDescent="0.25">
      <c r="A393">
        <v>2024</v>
      </c>
      <c r="B393" t="s">
        <v>220</v>
      </c>
      <c r="C393" t="str">
        <f>IF(COUNTIF('Rookies 22-25'!$B$126:$B$197,E393)&gt;0,"(R)","No")</f>
        <v>No</v>
      </c>
      <c r="D393">
        <v>27</v>
      </c>
      <c r="E393" t="s">
        <v>242</v>
      </c>
      <c r="F393" t="s">
        <v>49</v>
      </c>
      <c r="G393">
        <f>VLOOKUP(E393,'24 Draft ADP'!$B$3:$D$436,3,FALSE)</f>
        <v>46</v>
      </c>
      <c r="H393">
        <v>11</v>
      </c>
      <c r="I393">
        <v>18.899999999999999</v>
      </c>
      <c r="J393" t="s">
        <v>33</v>
      </c>
      <c r="K393" t="s">
        <v>33</v>
      </c>
      <c r="L393">
        <v>33.6</v>
      </c>
      <c r="M393">
        <v>14.6</v>
      </c>
      <c r="N393">
        <v>20.9</v>
      </c>
      <c r="O393">
        <v>23.3</v>
      </c>
      <c r="P393">
        <v>8.5</v>
      </c>
      <c r="Q393">
        <v>13.7</v>
      </c>
      <c r="R393" t="s">
        <v>22</v>
      </c>
      <c r="S393">
        <v>13.9</v>
      </c>
      <c r="T393">
        <v>13.3</v>
      </c>
      <c r="U393">
        <v>6.6</v>
      </c>
      <c r="V393" t="s">
        <v>33</v>
      </c>
      <c r="W393" t="s">
        <v>33</v>
      </c>
      <c r="X393">
        <v>13.9</v>
      </c>
      <c r="Y393" t="s">
        <v>33</v>
      </c>
      <c r="Z393">
        <v>0</v>
      </c>
      <c r="AA393">
        <v>16.5</v>
      </c>
      <c r="AB393">
        <f t="shared" si="12"/>
        <v>181.2</v>
      </c>
      <c r="AC393">
        <v>181.2</v>
      </c>
      <c r="AD393">
        <v>4</v>
      </c>
      <c r="AE393">
        <f t="shared" si="13"/>
        <v>9</v>
      </c>
      <c r="AF393">
        <v>4</v>
      </c>
      <c r="AG393">
        <v>3</v>
      </c>
      <c r="AH393">
        <v>1</v>
      </c>
      <c r="AI393">
        <v>1</v>
      </c>
      <c r="AJ393">
        <v>0.52941176470588236</v>
      </c>
      <c r="AK393">
        <v>0.36363636363636365</v>
      </c>
      <c r="AL393">
        <v>0.27272727272727271</v>
      </c>
      <c r="AM393">
        <v>9.0909090909090912E-2</v>
      </c>
      <c r="AN393">
        <v>9.0909090909090912E-2</v>
      </c>
    </row>
    <row r="394" spans="1:40" x14ac:dyDescent="0.25">
      <c r="A394">
        <v>2024</v>
      </c>
      <c r="B394" t="s">
        <v>220</v>
      </c>
      <c r="C394" t="str">
        <f>IF(COUNTIF('Rookies 22-25'!$B$126:$B$197,E394)&gt;0,"(R)","No")</f>
        <v>No</v>
      </c>
      <c r="D394">
        <v>28</v>
      </c>
      <c r="E394" t="s">
        <v>245</v>
      </c>
      <c r="F394" t="s">
        <v>39</v>
      </c>
      <c r="G394">
        <f>VLOOKUP(E394,'24 Draft ADP'!$B$3:$D$436,3,FALSE)</f>
        <v>76</v>
      </c>
      <c r="H394">
        <v>15</v>
      </c>
      <c r="I394">
        <v>21.6</v>
      </c>
      <c r="J394">
        <v>17</v>
      </c>
      <c r="K394">
        <v>0.3</v>
      </c>
      <c r="L394">
        <v>8.1999999999999993</v>
      </c>
      <c r="M394">
        <v>19.2</v>
      </c>
      <c r="N394" t="s">
        <v>33</v>
      </c>
      <c r="O394">
        <v>4.5</v>
      </c>
      <c r="P394">
        <v>23.5</v>
      </c>
      <c r="Q394">
        <v>22.4</v>
      </c>
      <c r="R394">
        <v>8.6999999999999993</v>
      </c>
      <c r="S394">
        <v>12.9</v>
      </c>
      <c r="T394">
        <v>3.3</v>
      </c>
      <c r="U394">
        <v>12.4</v>
      </c>
      <c r="V394" t="s">
        <v>22</v>
      </c>
      <c r="W394">
        <v>9.5</v>
      </c>
      <c r="X394">
        <v>12.3</v>
      </c>
      <c r="Y394">
        <v>0.1</v>
      </c>
      <c r="Z394">
        <v>0</v>
      </c>
      <c r="AA394">
        <v>11.7</v>
      </c>
      <c r="AB394">
        <f t="shared" si="12"/>
        <v>175.9</v>
      </c>
      <c r="AC394">
        <v>175.9</v>
      </c>
      <c r="AD394">
        <v>7</v>
      </c>
      <c r="AE394">
        <f t="shared" si="13"/>
        <v>8</v>
      </c>
      <c r="AF394">
        <v>5</v>
      </c>
      <c r="AG394">
        <v>3</v>
      </c>
      <c r="AH394">
        <v>0</v>
      </c>
      <c r="AI394">
        <v>0</v>
      </c>
      <c r="AJ394">
        <v>0.47058823529411764</v>
      </c>
      <c r="AK394">
        <v>0.33333333333333331</v>
      </c>
      <c r="AL394">
        <v>0.2</v>
      </c>
      <c r="AM394">
        <v>0</v>
      </c>
      <c r="AN394">
        <v>0</v>
      </c>
    </row>
    <row r="395" spans="1:40" x14ac:dyDescent="0.25">
      <c r="A395">
        <v>2024</v>
      </c>
      <c r="B395" t="s">
        <v>220</v>
      </c>
      <c r="C395" t="str">
        <f>IF(COUNTIF('Rookies 22-25'!$B$126:$B$197,E395)&gt;0,"(R)","No")</f>
        <v>No</v>
      </c>
      <c r="D395">
        <v>29</v>
      </c>
      <c r="E395" t="s">
        <v>283</v>
      </c>
      <c r="F395" t="s">
        <v>59</v>
      </c>
      <c r="G395">
        <f>VLOOKUP(E395,'24 Draft ADP'!$B$3:$D$436,3,FALSE)</f>
        <v>96</v>
      </c>
      <c r="H395">
        <v>14</v>
      </c>
      <c r="I395">
        <v>17.899999999999999</v>
      </c>
      <c r="J395">
        <v>14.6</v>
      </c>
      <c r="K395">
        <v>10.7</v>
      </c>
      <c r="L395">
        <v>20.3</v>
      </c>
      <c r="M395">
        <v>13.8</v>
      </c>
      <c r="N395" t="s">
        <v>33</v>
      </c>
      <c r="O395">
        <v>13.1</v>
      </c>
      <c r="P395">
        <v>8.6</v>
      </c>
      <c r="Q395" t="s">
        <v>33</v>
      </c>
      <c r="R395" t="s">
        <v>33</v>
      </c>
      <c r="S395">
        <v>14.2</v>
      </c>
      <c r="T395">
        <v>3.4</v>
      </c>
      <c r="U395">
        <v>17.899999999999999</v>
      </c>
      <c r="V395" t="s">
        <v>22</v>
      </c>
      <c r="W395">
        <v>11.7</v>
      </c>
      <c r="X395">
        <v>2.1</v>
      </c>
      <c r="Y395">
        <v>8.9</v>
      </c>
      <c r="Z395">
        <v>2.6</v>
      </c>
      <c r="AA395">
        <v>11.4</v>
      </c>
      <c r="AB395">
        <f t="shared" si="12"/>
        <v>157.20000000000002</v>
      </c>
      <c r="AC395">
        <v>159.80000000000001</v>
      </c>
      <c r="AD395">
        <v>8</v>
      </c>
      <c r="AE395">
        <f t="shared" si="13"/>
        <v>9</v>
      </c>
      <c r="AF395">
        <v>3</v>
      </c>
      <c r="AG395">
        <v>1</v>
      </c>
      <c r="AH395">
        <v>0</v>
      </c>
      <c r="AI395">
        <v>0</v>
      </c>
      <c r="AJ395">
        <v>0.52941176470588236</v>
      </c>
      <c r="AK395">
        <v>0.21428571428571427</v>
      </c>
      <c r="AL395">
        <v>7.1428571428571425E-2</v>
      </c>
      <c r="AM395">
        <v>0</v>
      </c>
      <c r="AN395">
        <v>0</v>
      </c>
    </row>
    <row r="396" spans="1:40" x14ac:dyDescent="0.25">
      <c r="A396">
        <v>2024</v>
      </c>
      <c r="B396" t="s">
        <v>220</v>
      </c>
      <c r="C396" t="str">
        <f>IF(COUNTIF('Rookies 22-25'!$B$126:$B$197,E396)&gt;0,"(R)","No")</f>
        <v>No</v>
      </c>
      <c r="D396">
        <v>30</v>
      </c>
      <c r="E396" t="s">
        <v>232</v>
      </c>
      <c r="F396" t="s">
        <v>78</v>
      </c>
      <c r="G396">
        <f>VLOOKUP(E396,'24 Draft ADP'!$B$3:$D$436,3,FALSE)</f>
        <v>84</v>
      </c>
      <c r="H396">
        <v>17</v>
      </c>
      <c r="I396">
        <v>3.3</v>
      </c>
      <c r="J396">
        <v>11.5</v>
      </c>
      <c r="K396">
        <v>6.1</v>
      </c>
      <c r="L396">
        <v>10</v>
      </c>
      <c r="M396">
        <v>16.100000000000001</v>
      </c>
      <c r="N396">
        <v>4.5999999999999996</v>
      </c>
      <c r="O396">
        <v>26.1</v>
      </c>
      <c r="P396">
        <v>9.1999999999999993</v>
      </c>
      <c r="Q396">
        <v>10.4</v>
      </c>
      <c r="R396">
        <v>2.7</v>
      </c>
      <c r="S396">
        <v>18.7</v>
      </c>
      <c r="T396">
        <v>2.4</v>
      </c>
      <c r="U396">
        <v>7.4</v>
      </c>
      <c r="V396" t="s">
        <v>22</v>
      </c>
      <c r="W396">
        <v>4.3</v>
      </c>
      <c r="X396">
        <v>12.3</v>
      </c>
      <c r="Y396">
        <v>2</v>
      </c>
      <c r="Z396">
        <v>10.8</v>
      </c>
      <c r="AA396">
        <v>9.3000000000000007</v>
      </c>
      <c r="AB396">
        <f t="shared" si="12"/>
        <v>147.1</v>
      </c>
      <c r="AC396">
        <v>157.9</v>
      </c>
      <c r="AD396">
        <v>7</v>
      </c>
      <c r="AE396">
        <f t="shared" si="13"/>
        <v>6</v>
      </c>
      <c r="AF396">
        <v>3</v>
      </c>
      <c r="AG396">
        <v>1</v>
      </c>
      <c r="AH396">
        <v>1</v>
      </c>
      <c r="AI396">
        <v>0</v>
      </c>
      <c r="AJ396">
        <v>0.41176470588235292</v>
      </c>
      <c r="AK396">
        <v>0.17647058823529413</v>
      </c>
      <c r="AL396">
        <v>5.8823529411764705E-2</v>
      </c>
      <c r="AM396">
        <v>5.8823529411764705E-2</v>
      </c>
      <c r="AN396">
        <v>0</v>
      </c>
    </row>
    <row r="397" spans="1:40" x14ac:dyDescent="0.25">
      <c r="A397">
        <v>2024</v>
      </c>
      <c r="B397" t="s">
        <v>220</v>
      </c>
      <c r="C397" t="str">
        <f>IF(COUNTIF('Rookies 22-25'!$B$126:$B$197,E397)&gt;0,"(R)","No")</f>
        <v>No</v>
      </c>
      <c r="D397">
        <v>31</v>
      </c>
      <c r="E397" t="s">
        <v>251</v>
      </c>
      <c r="F397" t="s">
        <v>26</v>
      </c>
      <c r="G397">
        <f>VLOOKUP(E397,'24 Draft ADP'!$B$3:$D$436,3,FALSE)</f>
        <v>300</v>
      </c>
      <c r="H397">
        <v>13</v>
      </c>
      <c r="I397" t="s">
        <v>33</v>
      </c>
      <c r="J397" t="s">
        <v>33</v>
      </c>
      <c r="K397" t="s">
        <v>33</v>
      </c>
      <c r="L397">
        <v>10.5</v>
      </c>
      <c r="M397">
        <v>18.7</v>
      </c>
      <c r="N397" t="s">
        <v>22</v>
      </c>
      <c r="O397">
        <v>22.3</v>
      </c>
      <c r="P397">
        <v>13.3</v>
      </c>
      <c r="Q397">
        <v>18.7</v>
      </c>
      <c r="R397">
        <v>17</v>
      </c>
      <c r="S397">
        <v>6</v>
      </c>
      <c r="T397">
        <v>11.7</v>
      </c>
      <c r="U397">
        <v>3.5</v>
      </c>
      <c r="V397">
        <v>3.9</v>
      </c>
      <c r="W397">
        <v>5.9</v>
      </c>
      <c r="X397">
        <v>15.9</v>
      </c>
      <c r="Y397">
        <v>8</v>
      </c>
      <c r="Z397">
        <v>0</v>
      </c>
      <c r="AA397">
        <v>12</v>
      </c>
      <c r="AB397">
        <f t="shared" si="12"/>
        <v>155.4</v>
      </c>
      <c r="AC397">
        <v>155.4</v>
      </c>
      <c r="AD397">
        <v>20</v>
      </c>
      <c r="AE397">
        <f t="shared" si="13"/>
        <v>8</v>
      </c>
      <c r="AF397">
        <v>5</v>
      </c>
      <c r="AG397">
        <v>1</v>
      </c>
      <c r="AH397">
        <v>0</v>
      </c>
      <c r="AI397">
        <v>0</v>
      </c>
      <c r="AJ397">
        <v>0.47058823529411764</v>
      </c>
      <c r="AK397">
        <v>0.38461538461538464</v>
      </c>
      <c r="AL397">
        <v>7.6923076923076927E-2</v>
      </c>
      <c r="AM397">
        <v>0</v>
      </c>
      <c r="AN397">
        <v>0</v>
      </c>
    </row>
    <row r="398" spans="1:40" x14ac:dyDescent="0.25">
      <c r="A398">
        <v>2024</v>
      </c>
      <c r="B398" t="s">
        <v>220</v>
      </c>
      <c r="C398" t="str">
        <f>IF(COUNTIF('Rookies 22-25'!$B$126:$B$197,E398)&gt;0,"(R)","No")</f>
        <v>No</v>
      </c>
      <c r="D398">
        <v>32</v>
      </c>
      <c r="E398" t="s">
        <v>390</v>
      </c>
      <c r="F398" t="s">
        <v>43</v>
      </c>
      <c r="G398">
        <f>VLOOKUP(E398,'24 Draft ADP'!$B$3:$D$436,3,FALSE)</f>
        <v>209</v>
      </c>
      <c r="H398">
        <v>14</v>
      </c>
      <c r="I398">
        <v>16.2</v>
      </c>
      <c r="J398">
        <v>6.1</v>
      </c>
      <c r="K398">
        <v>13.4</v>
      </c>
      <c r="L398">
        <v>6</v>
      </c>
      <c r="M398">
        <v>10.1</v>
      </c>
      <c r="N398">
        <v>17.5</v>
      </c>
      <c r="O398">
        <v>15.3</v>
      </c>
      <c r="P398">
        <v>9.4</v>
      </c>
      <c r="Q398">
        <v>3.6</v>
      </c>
      <c r="R398" t="s">
        <v>22</v>
      </c>
      <c r="S398">
        <v>9.9</v>
      </c>
      <c r="T398" t="s">
        <v>33</v>
      </c>
      <c r="U398" t="s">
        <v>33</v>
      </c>
      <c r="V398" t="s">
        <v>33</v>
      </c>
      <c r="W398">
        <v>2.4</v>
      </c>
      <c r="X398">
        <v>15.6</v>
      </c>
      <c r="Y398">
        <v>4.8</v>
      </c>
      <c r="Z398">
        <v>7.1</v>
      </c>
      <c r="AA398">
        <v>9.8000000000000007</v>
      </c>
      <c r="AB398">
        <f t="shared" si="12"/>
        <v>130.30000000000001</v>
      </c>
      <c r="AC398">
        <v>137.4</v>
      </c>
      <c r="AD398">
        <v>18</v>
      </c>
      <c r="AE398">
        <f t="shared" si="13"/>
        <v>6</v>
      </c>
      <c r="AF398">
        <v>4</v>
      </c>
      <c r="AG398">
        <v>0</v>
      </c>
      <c r="AH398">
        <v>0</v>
      </c>
      <c r="AI398">
        <v>0</v>
      </c>
      <c r="AJ398">
        <v>0.35294117647058826</v>
      </c>
      <c r="AK398">
        <v>0.2857142857142857</v>
      </c>
      <c r="AL398">
        <v>0</v>
      </c>
      <c r="AM398">
        <v>0</v>
      </c>
      <c r="AN398">
        <v>0</v>
      </c>
    </row>
    <row r="399" spans="1:40" x14ac:dyDescent="0.25">
      <c r="A399">
        <v>2024</v>
      </c>
      <c r="B399" t="s">
        <v>220</v>
      </c>
      <c r="C399" t="str">
        <f>IF(COUNTIF('Rookies 22-25'!$B$126:$B$197,E399)&gt;0,"(R)","No")</f>
        <v>No</v>
      </c>
      <c r="D399">
        <v>33</v>
      </c>
      <c r="E399" t="s">
        <v>292</v>
      </c>
      <c r="F399" t="s">
        <v>32</v>
      </c>
      <c r="G399">
        <f>VLOOKUP(E399,'24 Draft ADP'!$B$3:$D$436,3,FALSE)</f>
        <v>111</v>
      </c>
      <c r="H399">
        <v>14</v>
      </c>
      <c r="I399">
        <v>18.899999999999999</v>
      </c>
      <c r="J399">
        <v>7.4</v>
      </c>
      <c r="K399">
        <v>10</v>
      </c>
      <c r="L399">
        <v>15.5</v>
      </c>
      <c r="M399">
        <v>7.9</v>
      </c>
      <c r="N399">
        <v>1.4</v>
      </c>
      <c r="O399" t="s">
        <v>33</v>
      </c>
      <c r="P399" t="s">
        <v>33</v>
      </c>
      <c r="Q399">
        <v>1.7</v>
      </c>
      <c r="R399" t="s">
        <v>22</v>
      </c>
      <c r="S399">
        <v>7.9</v>
      </c>
      <c r="T399">
        <v>3.7</v>
      </c>
      <c r="U399">
        <v>7.2</v>
      </c>
      <c r="V399">
        <v>7.7</v>
      </c>
      <c r="W399">
        <v>18.399999999999999</v>
      </c>
      <c r="X399">
        <v>24.1</v>
      </c>
      <c r="Y399">
        <v>2.2000000000000002</v>
      </c>
      <c r="Z399">
        <v>0</v>
      </c>
      <c r="AA399">
        <v>9.6</v>
      </c>
      <c r="AB399">
        <f t="shared" si="12"/>
        <v>134</v>
      </c>
      <c r="AC399">
        <v>134</v>
      </c>
      <c r="AD399">
        <v>10</v>
      </c>
      <c r="AE399">
        <f t="shared" si="13"/>
        <v>4</v>
      </c>
      <c r="AF399">
        <v>4</v>
      </c>
      <c r="AG399">
        <v>1</v>
      </c>
      <c r="AH399">
        <v>0</v>
      </c>
      <c r="AI399">
        <v>0</v>
      </c>
      <c r="AJ399">
        <v>0.23529411764705882</v>
      </c>
      <c r="AK399">
        <v>0.2857142857142857</v>
      </c>
      <c r="AL399">
        <v>7.1428571428571425E-2</v>
      </c>
      <c r="AM399">
        <v>0</v>
      </c>
      <c r="AN399">
        <v>0</v>
      </c>
    </row>
    <row r="400" spans="1:40" x14ac:dyDescent="0.25">
      <c r="A400">
        <v>2024</v>
      </c>
      <c r="B400" t="s">
        <v>220</v>
      </c>
      <c r="C400" t="str">
        <f>IF(COUNTIF('Rookies 22-25'!$B$126:$B$197,E400)&gt;0,"(R)","No")</f>
        <v>No</v>
      </c>
      <c r="D400">
        <v>34</v>
      </c>
      <c r="E400" t="s">
        <v>321</v>
      </c>
      <c r="F400" t="s">
        <v>59</v>
      </c>
      <c r="G400">
        <f>VLOOKUP(E400,'24 Draft ADP'!$B$3:$D$436,3,FALSE)</f>
        <v>114</v>
      </c>
      <c r="H400">
        <v>12</v>
      </c>
      <c r="I400">
        <v>10.199999999999999</v>
      </c>
      <c r="J400">
        <v>11.5</v>
      </c>
      <c r="K400">
        <v>13.7</v>
      </c>
      <c r="L400" t="s">
        <v>33</v>
      </c>
      <c r="M400">
        <v>11.7</v>
      </c>
      <c r="N400">
        <v>10.8</v>
      </c>
      <c r="O400">
        <v>4</v>
      </c>
      <c r="P400">
        <v>7.8</v>
      </c>
      <c r="Q400">
        <v>17.3</v>
      </c>
      <c r="R400">
        <v>18.100000000000001</v>
      </c>
      <c r="S400">
        <v>17.600000000000001</v>
      </c>
      <c r="T400">
        <v>4.4000000000000004</v>
      </c>
      <c r="U400" t="s">
        <v>33</v>
      </c>
      <c r="V400" t="s">
        <v>22</v>
      </c>
      <c r="W400" t="s">
        <v>33</v>
      </c>
      <c r="X400" t="s">
        <v>33</v>
      </c>
      <c r="Y400" t="s">
        <v>33</v>
      </c>
      <c r="Z400">
        <v>5.2</v>
      </c>
      <c r="AA400">
        <v>11</v>
      </c>
      <c r="AB400">
        <f t="shared" si="12"/>
        <v>127.10000000000001</v>
      </c>
      <c r="AC400">
        <v>132.30000000000001</v>
      </c>
      <c r="AD400">
        <v>10</v>
      </c>
      <c r="AE400">
        <f t="shared" si="13"/>
        <v>8</v>
      </c>
      <c r="AF400">
        <v>3</v>
      </c>
      <c r="AG400">
        <v>0</v>
      </c>
      <c r="AH400">
        <v>0</v>
      </c>
      <c r="AI400">
        <v>0</v>
      </c>
      <c r="AJ400">
        <v>0.47058823529411764</v>
      </c>
      <c r="AK400">
        <v>0.25</v>
      </c>
      <c r="AL400">
        <v>0</v>
      </c>
      <c r="AM400">
        <v>0</v>
      </c>
      <c r="AN400">
        <v>0</v>
      </c>
    </row>
    <row r="401" spans="1:40" x14ac:dyDescent="0.25">
      <c r="A401">
        <v>2024</v>
      </c>
      <c r="B401" t="s">
        <v>220</v>
      </c>
      <c r="C401" t="str">
        <f>IF(COUNTIF('Rookies 22-25'!$B$126:$B$197,E401)&gt;0,"(R)","No")</f>
        <v>No</v>
      </c>
      <c r="D401">
        <v>35</v>
      </c>
      <c r="E401" t="s">
        <v>230</v>
      </c>
      <c r="F401" t="s">
        <v>67</v>
      </c>
      <c r="G401">
        <f>VLOOKUP(E401,'24 Draft ADP'!$B$3:$D$436,3,FALSE)</f>
        <v>25</v>
      </c>
      <c r="H401">
        <v>15</v>
      </c>
      <c r="I401">
        <v>11.9</v>
      </c>
      <c r="J401">
        <v>14.8</v>
      </c>
      <c r="K401">
        <v>12.5</v>
      </c>
      <c r="L401">
        <v>7</v>
      </c>
      <c r="M401">
        <v>12</v>
      </c>
      <c r="N401">
        <v>-0.1</v>
      </c>
      <c r="O401" t="s">
        <v>33</v>
      </c>
      <c r="P401" t="s">
        <v>33</v>
      </c>
      <c r="Q401">
        <v>5</v>
      </c>
      <c r="R401">
        <v>5.3</v>
      </c>
      <c r="S401">
        <v>6.3</v>
      </c>
      <c r="T401" t="s">
        <v>22</v>
      </c>
      <c r="U401">
        <v>8.8000000000000007</v>
      </c>
      <c r="V401">
        <v>11</v>
      </c>
      <c r="W401">
        <v>12.5</v>
      </c>
      <c r="X401">
        <v>5.7</v>
      </c>
      <c r="Y401">
        <v>8.5</v>
      </c>
      <c r="Z401">
        <v>9</v>
      </c>
      <c r="AA401">
        <v>8.6999999999999993</v>
      </c>
      <c r="AB401">
        <f t="shared" si="12"/>
        <v>121.19999999999999</v>
      </c>
      <c r="AC401">
        <v>130.19999999999999</v>
      </c>
      <c r="AD401">
        <v>3</v>
      </c>
      <c r="AE401">
        <f t="shared" si="13"/>
        <v>6</v>
      </c>
      <c r="AF401">
        <v>0</v>
      </c>
      <c r="AG401">
        <v>0</v>
      </c>
      <c r="AH401">
        <v>0</v>
      </c>
      <c r="AI401">
        <v>0</v>
      </c>
      <c r="AJ401">
        <v>0.35294117647058826</v>
      </c>
      <c r="AK401">
        <v>0</v>
      </c>
      <c r="AL401">
        <v>0</v>
      </c>
      <c r="AM401">
        <v>0</v>
      </c>
      <c r="AN401">
        <v>0</v>
      </c>
    </row>
    <row r="402" spans="1:40" x14ac:dyDescent="0.25">
      <c r="A402">
        <v>2024</v>
      </c>
      <c r="B402" t="s">
        <v>220</v>
      </c>
      <c r="C402" t="str">
        <f>IF(COUNTIF('Rookies 22-25'!$B$126:$B$197,E402)&gt;0,"(R)","No")</f>
        <v>No</v>
      </c>
      <c r="D402">
        <v>36</v>
      </c>
      <c r="E402" t="s">
        <v>289</v>
      </c>
      <c r="F402" t="s">
        <v>67</v>
      </c>
      <c r="G402">
        <f>VLOOKUP(E402,'24 Draft ADP'!$B$3:$D$436,3,FALSE)</f>
        <v>189</v>
      </c>
      <c r="H402">
        <v>16</v>
      </c>
      <c r="I402">
        <v>7.3</v>
      </c>
      <c r="J402">
        <v>0</v>
      </c>
      <c r="K402">
        <v>0.9</v>
      </c>
      <c r="L402">
        <v>9</v>
      </c>
      <c r="M402">
        <v>25.9</v>
      </c>
      <c r="N402">
        <v>2.4</v>
      </c>
      <c r="O402">
        <v>23.8</v>
      </c>
      <c r="P402">
        <v>10.6</v>
      </c>
      <c r="Q402">
        <v>2.2000000000000002</v>
      </c>
      <c r="R402">
        <v>0.4</v>
      </c>
      <c r="S402" t="s">
        <v>33</v>
      </c>
      <c r="T402" t="s">
        <v>22</v>
      </c>
      <c r="U402">
        <v>4.5</v>
      </c>
      <c r="V402">
        <v>13.2</v>
      </c>
      <c r="W402">
        <v>4.2</v>
      </c>
      <c r="X402">
        <v>10.1</v>
      </c>
      <c r="Y402">
        <v>3.3</v>
      </c>
      <c r="Z402">
        <v>11.2</v>
      </c>
      <c r="AA402">
        <v>8.1</v>
      </c>
      <c r="AB402">
        <f t="shared" si="12"/>
        <v>117.8</v>
      </c>
      <c r="AC402">
        <v>129</v>
      </c>
      <c r="AD402">
        <v>16</v>
      </c>
      <c r="AE402">
        <f t="shared" si="13"/>
        <v>5</v>
      </c>
      <c r="AF402">
        <v>2</v>
      </c>
      <c r="AG402">
        <v>2</v>
      </c>
      <c r="AH402">
        <v>1</v>
      </c>
      <c r="AI402">
        <v>0</v>
      </c>
      <c r="AJ402">
        <v>0.35294117647058826</v>
      </c>
      <c r="AK402">
        <v>0.125</v>
      </c>
      <c r="AL402">
        <v>0.125</v>
      </c>
      <c r="AM402">
        <v>6.25E-2</v>
      </c>
      <c r="AN402">
        <v>0</v>
      </c>
    </row>
    <row r="403" spans="1:40" x14ac:dyDescent="0.25">
      <c r="A403">
        <v>2024</v>
      </c>
      <c r="B403" t="s">
        <v>220</v>
      </c>
      <c r="C403" t="str">
        <f>IF(COUNTIF('Rookies 22-25'!$B$126:$B$197,E403)&gt;0,"(R)","No")</f>
        <v>No</v>
      </c>
      <c r="D403">
        <v>37</v>
      </c>
      <c r="E403" t="s">
        <v>280</v>
      </c>
      <c r="F403" t="s">
        <v>53</v>
      </c>
      <c r="G403">
        <f>VLOOKUP(E403,'24 Draft ADP'!$B$3:$D$436,3,FALSE)</f>
        <v>203</v>
      </c>
      <c r="H403">
        <v>15</v>
      </c>
      <c r="I403">
        <v>11.5</v>
      </c>
      <c r="J403">
        <v>5.2</v>
      </c>
      <c r="K403">
        <v>7.4</v>
      </c>
      <c r="L403">
        <v>21.6</v>
      </c>
      <c r="M403">
        <v>3.5</v>
      </c>
      <c r="N403">
        <v>1.4</v>
      </c>
      <c r="O403">
        <v>13.8</v>
      </c>
      <c r="P403">
        <v>2.9</v>
      </c>
      <c r="Q403">
        <v>8.8000000000000007</v>
      </c>
      <c r="R403">
        <v>1.8</v>
      </c>
      <c r="S403">
        <v>8.1</v>
      </c>
      <c r="T403">
        <v>14.2</v>
      </c>
      <c r="U403">
        <v>6.1</v>
      </c>
      <c r="V403" t="s">
        <v>22</v>
      </c>
      <c r="W403">
        <v>17.8</v>
      </c>
      <c r="X403">
        <v>3</v>
      </c>
      <c r="Y403" t="s">
        <v>33</v>
      </c>
      <c r="Z403">
        <v>0</v>
      </c>
      <c r="AA403">
        <v>8.5</v>
      </c>
      <c r="AB403">
        <f t="shared" si="12"/>
        <v>127.1</v>
      </c>
      <c r="AC403">
        <v>127.1</v>
      </c>
      <c r="AD403">
        <v>17</v>
      </c>
      <c r="AE403">
        <f t="shared" si="13"/>
        <v>5</v>
      </c>
      <c r="AF403">
        <v>2</v>
      </c>
      <c r="AG403">
        <v>1</v>
      </c>
      <c r="AH403">
        <v>0</v>
      </c>
      <c r="AI403">
        <v>0</v>
      </c>
      <c r="AJ403">
        <v>0.29411764705882354</v>
      </c>
      <c r="AK403">
        <v>0.13333333333333333</v>
      </c>
      <c r="AL403">
        <v>6.6666666666666666E-2</v>
      </c>
      <c r="AM403">
        <v>0</v>
      </c>
      <c r="AN403">
        <v>0</v>
      </c>
    </row>
    <row r="404" spans="1:40" x14ac:dyDescent="0.25">
      <c r="A404">
        <v>2024</v>
      </c>
      <c r="B404" t="s">
        <v>220</v>
      </c>
      <c r="C404" t="str">
        <f>IF(COUNTIF('Rookies 22-25'!$B$126:$B$197,E404)&gt;0,"(R)","No")</f>
        <v>No</v>
      </c>
      <c r="D404">
        <v>38</v>
      </c>
      <c r="E404" t="s">
        <v>296</v>
      </c>
      <c r="F404" t="s">
        <v>43</v>
      </c>
      <c r="G404">
        <v>302</v>
      </c>
      <c r="H404">
        <v>16</v>
      </c>
      <c r="I404">
        <v>0</v>
      </c>
      <c r="J404">
        <v>2.2000000000000002</v>
      </c>
      <c r="K404">
        <v>3.3</v>
      </c>
      <c r="L404">
        <v>0</v>
      </c>
      <c r="M404">
        <v>14.1</v>
      </c>
      <c r="N404">
        <v>4.8</v>
      </c>
      <c r="O404">
        <v>0</v>
      </c>
      <c r="P404">
        <v>2.1</v>
      </c>
      <c r="Q404">
        <v>5.6</v>
      </c>
      <c r="R404" t="s">
        <v>22</v>
      </c>
      <c r="S404">
        <v>10.7</v>
      </c>
      <c r="T404">
        <v>17.5</v>
      </c>
      <c r="U404">
        <v>7.3</v>
      </c>
      <c r="V404">
        <v>0.8</v>
      </c>
      <c r="W404">
        <v>19.600000000000001</v>
      </c>
      <c r="X404">
        <v>19.5</v>
      </c>
      <c r="Y404">
        <v>17.7</v>
      </c>
      <c r="Z404">
        <v>0</v>
      </c>
      <c r="AA404">
        <v>7.8</v>
      </c>
      <c r="AB404">
        <f t="shared" si="12"/>
        <v>125.2</v>
      </c>
      <c r="AC404">
        <v>125.2</v>
      </c>
      <c r="AD404">
        <v>20</v>
      </c>
      <c r="AE404">
        <f t="shared" si="13"/>
        <v>6</v>
      </c>
      <c r="AF404">
        <v>4</v>
      </c>
      <c r="AG404">
        <v>0</v>
      </c>
      <c r="AH404">
        <v>0</v>
      </c>
      <c r="AI404">
        <v>0</v>
      </c>
      <c r="AJ404">
        <v>0.35294117647058826</v>
      </c>
      <c r="AK404">
        <v>0.25</v>
      </c>
      <c r="AL404">
        <v>0</v>
      </c>
      <c r="AM404">
        <v>0</v>
      </c>
      <c r="AN404">
        <v>0</v>
      </c>
    </row>
    <row r="405" spans="1:40" x14ac:dyDescent="0.25">
      <c r="A405">
        <v>2024</v>
      </c>
      <c r="B405" t="s">
        <v>220</v>
      </c>
      <c r="C405" t="str">
        <f>IF(COUNTIF('Rookies 22-25'!$B$126:$B$197,E405)&gt;0,"(R)","No")</f>
        <v>No</v>
      </c>
      <c r="D405">
        <v>39</v>
      </c>
      <c r="E405" t="s">
        <v>237</v>
      </c>
      <c r="F405" t="s">
        <v>71</v>
      </c>
      <c r="G405">
        <f>VLOOKUP(E405,'24 Draft ADP'!$B$3:$D$436,3,FALSE)</f>
        <v>91</v>
      </c>
      <c r="H405">
        <v>15</v>
      </c>
      <c r="I405">
        <v>4</v>
      </c>
      <c r="J405">
        <v>8.1</v>
      </c>
      <c r="K405">
        <v>1.1000000000000001</v>
      </c>
      <c r="L405" t="s">
        <v>33</v>
      </c>
      <c r="M405" t="s">
        <v>33</v>
      </c>
      <c r="N405">
        <v>4.8</v>
      </c>
      <c r="O405">
        <v>7.9</v>
      </c>
      <c r="P405">
        <v>7.9</v>
      </c>
      <c r="Q405" t="s">
        <v>22</v>
      </c>
      <c r="R405">
        <v>9.5</v>
      </c>
      <c r="S405">
        <v>10.8</v>
      </c>
      <c r="T405">
        <v>15.4</v>
      </c>
      <c r="U405">
        <v>10.4</v>
      </c>
      <c r="V405">
        <v>9.1999999999999993</v>
      </c>
      <c r="W405">
        <v>2.5</v>
      </c>
      <c r="X405">
        <v>14.2</v>
      </c>
      <c r="Y405">
        <v>16.2</v>
      </c>
      <c r="Z405">
        <v>2.1</v>
      </c>
      <c r="AA405">
        <v>8.3000000000000007</v>
      </c>
      <c r="AB405">
        <f t="shared" si="12"/>
        <v>122</v>
      </c>
      <c r="AC405">
        <v>124.1</v>
      </c>
      <c r="AD405">
        <v>8</v>
      </c>
      <c r="AE405">
        <f t="shared" si="13"/>
        <v>5</v>
      </c>
      <c r="AF405">
        <v>2</v>
      </c>
      <c r="AG405">
        <v>0</v>
      </c>
      <c r="AH405">
        <v>0</v>
      </c>
      <c r="AI405">
        <v>0</v>
      </c>
      <c r="AJ405">
        <v>0.29411764705882354</v>
      </c>
      <c r="AK405">
        <v>0.13333333333333333</v>
      </c>
      <c r="AL405">
        <v>0</v>
      </c>
      <c r="AM405">
        <v>0</v>
      </c>
      <c r="AN405">
        <v>0</v>
      </c>
    </row>
    <row r="406" spans="1:40" x14ac:dyDescent="0.25">
      <c r="A406">
        <v>2024</v>
      </c>
      <c r="B406" t="s">
        <v>220</v>
      </c>
      <c r="C406" t="str">
        <f>IF(COUNTIF('Rookies 22-25'!$B$126:$B$197,E406)&gt;0,"(R)","No")</f>
        <v>(R)</v>
      </c>
      <c r="D406">
        <v>40</v>
      </c>
      <c r="E406" t="s">
        <v>281</v>
      </c>
      <c r="F406" t="s">
        <v>61</v>
      </c>
      <c r="G406">
        <f>VLOOKUP(E406,'24 Draft ADP'!$B$3:$D$436,3,FALSE)</f>
        <v>157</v>
      </c>
      <c r="H406">
        <v>17</v>
      </c>
      <c r="I406">
        <v>3.7</v>
      </c>
      <c r="J406">
        <v>3.8</v>
      </c>
      <c r="K406">
        <v>9.3000000000000007</v>
      </c>
      <c r="L406">
        <v>1.1000000000000001</v>
      </c>
      <c r="M406">
        <v>1.4</v>
      </c>
      <c r="N406">
        <v>18.2</v>
      </c>
      <c r="O406">
        <v>11.7</v>
      </c>
      <c r="P406">
        <v>2.9</v>
      </c>
      <c r="Q406">
        <v>17</v>
      </c>
      <c r="R406">
        <v>0.6</v>
      </c>
      <c r="S406">
        <v>1.1000000000000001</v>
      </c>
      <c r="T406" t="s">
        <v>22</v>
      </c>
      <c r="U406">
        <v>13.7</v>
      </c>
      <c r="V406">
        <v>0</v>
      </c>
      <c r="W406">
        <v>10.9</v>
      </c>
      <c r="X406">
        <v>3.9</v>
      </c>
      <c r="Y406">
        <v>2.2999999999999998</v>
      </c>
      <c r="Z406">
        <v>14.5</v>
      </c>
      <c r="AA406">
        <v>6.8</v>
      </c>
      <c r="AB406">
        <f t="shared" si="12"/>
        <v>101.6</v>
      </c>
      <c r="AC406">
        <v>116.1</v>
      </c>
      <c r="AD406">
        <v>14</v>
      </c>
      <c r="AE406">
        <f t="shared" si="13"/>
        <v>5</v>
      </c>
      <c r="AF406">
        <v>2</v>
      </c>
      <c r="AG406">
        <v>0</v>
      </c>
      <c r="AH406">
        <v>0</v>
      </c>
      <c r="AI406">
        <v>0</v>
      </c>
      <c r="AJ406">
        <v>0.35294117647058826</v>
      </c>
      <c r="AK406">
        <v>0.11764705882352941</v>
      </c>
      <c r="AL406">
        <v>0</v>
      </c>
      <c r="AM406">
        <v>0</v>
      </c>
      <c r="AN406">
        <v>0</v>
      </c>
    </row>
    <row r="407" spans="1:40" x14ac:dyDescent="0.25">
      <c r="A407">
        <v>2024</v>
      </c>
      <c r="B407" t="s">
        <v>220</v>
      </c>
      <c r="C407" t="str">
        <f>IF(COUNTIF('Rookies 22-25'!$B$126:$B$197,E407)&gt;0,"(R)","No")</f>
        <v>No</v>
      </c>
      <c r="D407">
        <v>41</v>
      </c>
      <c r="E407" t="s">
        <v>256</v>
      </c>
      <c r="F407" t="s">
        <v>47</v>
      </c>
      <c r="G407">
        <f>VLOOKUP(E407,'24 Draft ADP'!$B$3:$D$436,3,FALSE)</f>
        <v>163</v>
      </c>
      <c r="H407">
        <v>12</v>
      </c>
      <c r="I407">
        <v>22.2</v>
      </c>
      <c r="J407">
        <v>17.399999999999999</v>
      </c>
      <c r="K407">
        <v>10.8</v>
      </c>
      <c r="L407">
        <v>24</v>
      </c>
      <c r="M407">
        <v>8.8000000000000007</v>
      </c>
      <c r="N407">
        <v>9.1999999999999993</v>
      </c>
      <c r="O407">
        <v>8.9</v>
      </c>
      <c r="P407">
        <v>1.8</v>
      </c>
      <c r="Q407" t="s">
        <v>22</v>
      </c>
      <c r="R407">
        <v>0.5</v>
      </c>
      <c r="S407">
        <v>1.3</v>
      </c>
      <c r="T407">
        <v>2.2999999999999998</v>
      </c>
      <c r="U407">
        <v>7.8</v>
      </c>
      <c r="V407" t="s">
        <v>33</v>
      </c>
      <c r="W407" t="s">
        <v>33</v>
      </c>
      <c r="X407" t="s">
        <v>33</v>
      </c>
      <c r="Y407" t="s">
        <v>33</v>
      </c>
      <c r="Z407">
        <v>0</v>
      </c>
      <c r="AA407">
        <v>9.6</v>
      </c>
      <c r="AB407">
        <f t="shared" si="12"/>
        <v>115</v>
      </c>
      <c r="AC407">
        <v>115</v>
      </c>
      <c r="AD407">
        <v>14</v>
      </c>
      <c r="AE407">
        <f t="shared" si="13"/>
        <v>4</v>
      </c>
      <c r="AF407">
        <v>3</v>
      </c>
      <c r="AG407">
        <v>2</v>
      </c>
      <c r="AH407">
        <v>0</v>
      </c>
      <c r="AI407">
        <v>0</v>
      </c>
      <c r="AJ407">
        <v>0.23529411764705882</v>
      </c>
      <c r="AK407">
        <v>0.25</v>
      </c>
      <c r="AL407">
        <v>0.16666666666666666</v>
      </c>
      <c r="AM407">
        <v>0</v>
      </c>
      <c r="AN407">
        <v>0</v>
      </c>
    </row>
    <row r="408" spans="1:40" x14ac:dyDescent="0.25">
      <c r="A408">
        <v>2024</v>
      </c>
      <c r="B408" t="s">
        <v>220</v>
      </c>
      <c r="C408" t="str">
        <f>IF(COUNTIF('Rookies 22-25'!$B$126:$B$197,E408)&gt;0,"(R)","No")</f>
        <v>No</v>
      </c>
      <c r="D408">
        <v>42</v>
      </c>
      <c r="E408" t="s">
        <v>264</v>
      </c>
      <c r="F408" t="s">
        <v>63</v>
      </c>
      <c r="G408">
        <f>VLOOKUP(E408,'24 Draft ADP'!$B$3:$D$436,3,FALSE)</f>
        <v>106</v>
      </c>
      <c r="H408">
        <v>12</v>
      </c>
      <c r="I408">
        <v>7.2</v>
      </c>
      <c r="J408">
        <v>5.0999999999999996</v>
      </c>
      <c r="K408">
        <v>10.1</v>
      </c>
      <c r="L408">
        <v>11.9</v>
      </c>
      <c r="M408" t="s">
        <v>22</v>
      </c>
      <c r="N408">
        <v>2.7</v>
      </c>
      <c r="O408" t="s">
        <v>33</v>
      </c>
      <c r="P408" t="s">
        <v>33</v>
      </c>
      <c r="Q408" t="s">
        <v>33</v>
      </c>
      <c r="R408">
        <v>8.1</v>
      </c>
      <c r="S408">
        <v>2.8</v>
      </c>
      <c r="T408" t="s">
        <v>33</v>
      </c>
      <c r="U408">
        <v>0.3</v>
      </c>
      <c r="V408">
        <v>3.3</v>
      </c>
      <c r="W408">
        <v>27.2</v>
      </c>
      <c r="X408">
        <v>21.6</v>
      </c>
      <c r="Y408">
        <v>13.3</v>
      </c>
      <c r="Z408">
        <v>0</v>
      </c>
      <c r="AA408">
        <v>9.5</v>
      </c>
      <c r="AB408">
        <f t="shared" si="12"/>
        <v>113.6</v>
      </c>
      <c r="AC408">
        <v>113.6</v>
      </c>
      <c r="AD408">
        <v>9</v>
      </c>
      <c r="AE408">
        <f t="shared" si="13"/>
        <v>5</v>
      </c>
      <c r="AF408">
        <v>2</v>
      </c>
      <c r="AG408">
        <v>2</v>
      </c>
      <c r="AH408">
        <v>1</v>
      </c>
      <c r="AI408">
        <v>0</v>
      </c>
      <c r="AJ408">
        <v>0.29411764705882354</v>
      </c>
      <c r="AK408">
        <v>0.16666666666666666</v>
      </c>
      <c r="AL408">
        <v>0.16666666666666666</v>
      </c>
      <c r="AM408">
        <v>8.3333333333333329E-2</v>
      </c>
      <c r="AN408">
        <v>0</v>
      </c>
    </row>
    <row r="409" spans="1:40" x14ac:dyDescent="0.25">
      <c r="A409">
        <v>2024</v>
      </c>
      <c r="B409" t="s">
        <v>220</v>
      </c>
      <c r="C409" t="str">
        <f>IF(COUNTIF('Rookies 22-25'!$B$126:$B$197,E409)&gt;0,"(R)","No")</f>
        <v>No</v>
      </c>
      <c r="D409">
        <v>43</v>
      </c>
      <c r="E409" t="s">
        <v>259</v>
      </c>
      <c r="F409" t="s">
        <v>24</v>
      </c>
      <c r="G409">
        <f>VLOOKUP(E409,'24 Draft ADP'!$B$3:$D$436,3,FALSE)</f>
        <v>148</v>
      </c>
      <c r="H409">
        <v>17</v>
      </c>
      <c r="I409">
        <v>2.1</v>
      </c>
      <c r="J409">
        <v>7.5</v>
      </c>
      <c r="K409">
        <v>3.2</v>
      </c>
      <c r="L409">
        <v>10</v>
      </c>
      <c r="M409">
        <v>5.5</v>
      </c>
      <c r="N409">
        <v>19.8</v>
      </c>
      <c r="O409">
        <v>5.5</v>
      </c>
      <c r="P409">
        <v>3.3</v>
      </c>
      <c r="Q409">
        <v>7.8</v>
      </c>
      <c r="R409">
        <v>5.9</v>
      </c>
      <c r="S409">
        <v>0.9</v>
      </c>
      <c r="T409" t="s">
        <v>22</v>
      </c>
      <c r="U409">
        <v>3.2</v>
      </c>
      <c r="V409">
        <v>12.3</v>
      </c>
      <c r="W409">
        <v>4.3</v>
      </c>
      <c r="X409">
        <v>4.0999999999999996</v>
      </c>
      <c r="Y409">
        <v>1.9</v>
      </c>
      <c r="Z409">
        <v>8.9</v>
      </c>
      <c r="AA409">
        <v>6.2</v>
      </c>
      <c r="AB409">
        <f t="shared" si="12"/>
        <v>97.3</v>
      </c>
      <c r="AC409">
        <v>106.2</v>
      </c>
      <c r="AD409">
        <v>13</v>
      </c>
      <c r="AE409">
        <f t="shared" si="13"/>
        <v>2</v>
      </c>
      <c r="AF409">
        <v>1</v>
      </c>
      <c r="AG409">
        <v>0</v>
      </c>
      <c r="AH409">
        <v>0</v>
      </c>
      <c r="AI409">
        <v>0</v>
      </c>
      <c r="AJ409">
        <v>0.11764705882352941</v>
      </c>
      <c r="AK409">
        <v>5.8823529411764705E-2</v>
      </c>
      <c r="AL409">
        <v>0</v>
      </c>
      <c r="AM409">
        <v>0</v>
      </c>
      <c r="AN409">
        <v>0</v>
      </c>
    </row>
    <row r="410" spans="1:40" x14ac:dyDescent="0.25">
      <c r="A410">
        <v>2024</v>
      </c>
      <c r="B410" t="s">
        <v>220</v>
      </c>
      <c r="C410" t="str">
        <f>IF(COUNTIF('Rookies 22-25'!$B$126:$B$197,E410)&gt;0,"(R)","No")</f>
        <v>No</v>
      </c>
      <c r="D410">
        <v>44</v>
      </c>
      <c r="E410" t="s">
        <v>310</v>
      </c>
      <c r="F410" t="s">
        <v>39</v>
      </c>
      <c r="G410">
        <f>VLOOKUP(E410,'24 Draft ADP'!$B$3:$D$436,3,FALSE)</f>
        <v>161</v>
      </c>
      <c r="H410">
        <v>17</v>
      </c>
      <c r="I410">
        <v>1.8</v>
      </c>
      <c r="J410">
        <v>11.3</v>
      </c>
      <c r="K410">
        <v>6.7</v>
      </c>
      <c r="L410">
        <v>10.9</v>
      </c>
      <c r="M410">
        <v>6.6</v>
      </c>
      <c r="N410">
        <v>7.3</v>
      </c>
      <c r="O410">
        <v>2.2999999999999998</v>
      </c>
      <c r="P410">
        <v>0.7</v>
      </c>
      <c r="Q410">
        <v>2.1</v>
      </c>
      <c r="R410">
        <v>2.6</v>
      </c>
      <c r="S410">
        <v>3</v>
      </c>
      <c r="T410">
        <v>5.5</v>
      </c>
      <c r="U410">
        <v>12.2</v>
      </c>
      <c r="V410" t="s">
        <v>22</v>
      </c>
      <c r="W410">
        <v>8.4</v>
      </c>
      <c r="X410">
        <v>5.6</v>
      </c>
      <c r="Y410">
        <v>6.3</v>
      </c>
      <c r="Z410">
        <v>10.1</v>
      </c>
      <c r="AA410">
        <v>6.1</v>
      </c>
      <c r="AB410">
        <f t="shared" si="12"/>
        <v>93.300000000000011</v>
      </c>
      <c r="AC410">
        <v>103.4</v>
      </c>
      <c r="AD410">
        <v>14</v>
      </c>
      <c r="AE410">
        <f t="shared" si="13"/>
        <v>3</v>
      </c>
      <c r="AF410">
        <v>0</v>
      </c>
      <c r="AG410">
        <v>0</v>
      </c>
      <c r="AH410">
        <v>0</v>
      </c>
      <c r="AI410">
        <v>0</v>
      </c>
      <c r="AJ410">
        <v>0.23529411764705882</v>
      </c>
      <c r="AK410">
        <v>0</v>
      </c>
      <c r="AL410">
        <v>0</v>
      </c>
      <c r="AM410">
        <v>0</v>
      </c>
      <c r="AN410">
        <v>0</v>
      </c>
    </row>
    <row r="411" spans="1:40" x14ac:dyDescent="0.25">
      <c r="A411">
        <v>2024</v>
      </c>
      <c r="B411" t="s">
        <v>220</v>
      </c>
      <c r="C411" t="str">
        <f>IF(COUNTIF('Rookies 22-25'!$B$126:$B$197,E411)&gt;0,"(R)","No")</f>
        <v>No</v>
      </c>
      <c r="D411">
        <v>45</v>
      </c>
      <c r="E411" t="s">
        <v>302</v>
      </c>
      <c r="F411" t="s">
        <v>78</v>
      </c>
      <c r="G411">
        <f>VLOOKUP(E411,'24 Draft ADP'!$B$3:$D$436,3,FALSE)</f>
        <v>143</v>
      </c>
      <c r="H411">
        <v>16</v>
      </c>
      <c r="I411">
        <v>5.8</v>
      </c>
      <c r="J411">
        <v>0.6</v>
      </c>
      <c r="K411">
        <v>8.4</v>
      </c>
      <c r="L411">
        <v>5.6</v>
      </c>
      <c r="M411">
        <v>11.5</v>
      </c>
      <c r="N411">
        <v>4.5</v>
      </c>
      <c r="O411">
        <v>3.5</v>
      </c>
      <c r="P411">
        <v>12.6</v>
      </c>
      <c r="Q411">
        <v>5</v>
      </c>
      <c r="R411">
        <v>1.2</v>
      </c>
      <c r="S411">
        <v>1.9</v>
      </c>
      <c r="T411">
        <v>4.4000000000000004</v>
      </c>
      <c r="U411">
        <v>9.4</v>
      </c>
      <c r="V411" t="s">
        <v>22</v>
      </c>
      <c r="W411">
        <v>6.4</v>
      </c>
      <c r="X411" t="s">
        <v>33</v>
      </c>
      <c r="Y411">
        <v>9.6</v>
      </c>
      <c r="Z411">
        <v>6.8</v>
      </c>
      <c r="AA411">
        <v>6.1</v>
      </c>
      <c r="AB411">
        <f t="shared" si="12"/>
        <v>90.4</v>
      </c>
      <c r="AC411">
        <v>97.2</v>
      </c>
      <c r="AD411">
        <v>12</v>
      </c>
      <c r="AE411">
        <f t="shared" si="13"/>
        <v>2</v>
      </c>
      <c r="AF411">
        <v>0</v>
      </c>
      <c r="AG411">
        <v>0</v>
      </c>
      <c r="AH411">
        <v>0</v>
      </c>
      <c r="AI411">
        <v>0</v>
      </c>
      <c r="AJ411">
        <v>0.11764705882352941</v>
      </c>
      <c r="AK411">
        <v>0</v>
      </c>
      <c r="AL411">
        <v>0</v>
      </c>
      <c r="AM411">
        <v>0</v>
      </c>
      <c r="AN411">
        <v>0</v>
      </c>
    </row>
    <row r="412" spans="1:40" x14ac:dyDescent="0.25">
      <c r="A412">
        <v>2024</v>
      </c>
      <c r="B412" t="s">
        <v>220</v>
      </c>
      <c r="C412" t="str">
        <f>IF(COUNTIF('Rookies 22-25'!$B$126:$B$197,E412)&gt;0,"(R)","No")</f>
        <v>No</v>
      </c>
      <c r="D412">
        <v>46</v>
      </c>
      <c r="E412" t="s">
        <v>265</v>
      </c>
      <c r="F412" t="s">
        <v>57</v>
      </c>
      <c r="G412">
        <f>VLOOKUP(E412,'24 Draft ADP'!$B$3:$D$436,3,FALSE)</f>
        <v>100</v>
      </c>
      <c r="H412">
        <v>16</v>
      </c>
      <c r="I412">
        <v>9.1999999999999993</v>
      </c>
      <c r="J412">
        <v>14.5</v>
      </c>
      <c r="K412">
        <v>18.8</v>
      </c>
      <c r="L412">
        <v>4.8</v>
      </c>
      <c r="M412" t="s">
        <v>33</v>
      </c>
      <c r="N412">
        <v>0</v>
      </c>
      <c r="O412">
        <v>3.1</v>
      </c>
      <c r="P412">
        <v>4.3</v>
      </c>
      <c r="Q412">
        <v>3.3</v>
      </c>
      <c r="R412">
        <v>5.5</v>
      </c>
      <c r="S412" t="s">
        <v>22</v>
      </c>
      <c r="T412">
        <v>9</v>
      </c>
      <c r="U412">
        <v>2.2999999999999998</v>
      </c>
      <c r="V412">
        <v>0.8</v>
      </c>
      <c r="W412">
        <v>13.1</v>
      </c>
      <c r="X412">
        <v>1.2</v>
      </c>
      <c r="Y412">
        <v>4</v>
      </c>
      <c r="Z412">
        <v>2.7</v>
      </c>
      <c r="AA412">
        <v>6</v>
      </c>
      <c r="AB412">
        <f t="shared" si="12"/>
        <v>93.899999999999991</v>
      </c>
      <c r="AC412">
        <v>96.6</v>
      </c>
      <c r="AD412">
        <v>9</v>
      </c>
      <c r="AE412">
        <f t="shared" si="13"/>
        <v>3</v>
      </c>
      <c r="AF412">
        <v>1</v>
      </c>
      <c r="AG412">
        <v>0</v>
      </c>
      <c r="AH412">
        <v>0</v>
      </c>
      <c r="AI412">
        <v>0</v>
      </c>
      <c r="AJ412">
        <v>0.17647058823529413</v>
      </c>
      <c r="AK412">
        <v>6.25E-2</v>
      </c>
      <c r="AL412">
        <v>0</v>
      </c>
      <c r="AM412">
        <v>0</v>
      </c>
      <c r="AN412">
        <v>0</v>
      </c>
    </row>
    <row r="413" spans="1:40" x14ac:dyDescent="0.25">
      <c r="A413">
        <v>2024</v>
      </c>
      <c r="B413" t="s">
        <v>220</v>
      </c>
      <c r="C413" t="str">
        <f>IF(COUNTIF('Rookies 22-25'!$B$126:$B$197,E413)&gt;0,"(R)","No")</f>
        <v>No</v>
      </c>
      <c r="D413">
        <v>47</v>
      </c>
      <c r="E413" t="s">
        <v>269</v>
      </c>
      <c r="F413" t="s">
        <v>69</v>
      </c>
      <c r="G413">
        <f>VLOOKUP(E413,'24 Draft ADP'!$B$3:$D$436,3,FALSE)</f>
        <v>253</v>
      </c>
      <c r="H413">
        <v>17</v>
      </c>
      <c r="I413">
        <v>6.8</v>
      </c>
      <c r="J413">
        <v>0.9</v>
      </c>
      <c r="K413">
        <v>16.5</v>
      </c>
      <c r="L413">
        <v>2.7</v>
      </c>
      <c r="M413">
        <v>2.5</v>
      </c>
      <c r="N413">
        <v>8.3000000000000007</v>
      </c>
      <c r="O413">
        <v>1.1000000000000001</v>
      </c>
      <c r="P413">
        <v>2.2999999999999998</v>
      </c>
      <c r="Q413">
        <v>9.9</v>
      </c>
      <c r="R413" t="s">
        <v>22</v>
      </c>
      <c r="S413">
        <v>1.7</v>
      </c>
      <c r="T413">
        <v>4.0999999999999996</v>
      </c>
      <c r="U413">
        <v>2</v>
      </c>
      <c r="V413">
        <v>0.7</v>
      </c>
      <c r="W413">
        <v>0.9</v>
      </c>
      <c r="X413">
        <v>12.6</v>
      </c>
      <c r="Y413">
        <v>8.9</v>
      </c>
      <c r="Z413">
        <v>14.1</v>
      </c>
      <c r="AA413">
        <v>5.6</v>
      </c>
      <c r="AB413">
        <f t="shared" si="12"/>
        <v>81.900000000000006</v>
      </c>
      <c r="AC413">
        <v>96</v>
      </c>
      <c r="AD413">
        <v>20</v>
      </c>
      <c r="AE413">
        <f t="shared" si="13"/>
        <v>2</v>
      </c>
      <c r="AF413">
        <v>1</v>
      </c>
      <c r="AG413">
        <v>0</v>
      </c>
      <c r="AH413">
        <v>0</v>
      </c>
      <c r="AI413">
        <v>0</v>
      </c>
      <c r="AJ413">
        <v>0.17647058823529413</v>
      </c>
      <c r="AK413">
        <v>5.8823529411764705E-2</v>
      </c>
      <c r="AL413">
        <v>0</v>
      </c>
      <c r="AM413">
        <v>0</v>
      </c>
      <c r="AN413">
        <v>0</v>
      </c>
    </row>
    <row r="414" spans="1:40" x14ac:dyDescent="0.25">
      <c r="A414">
        <v>2024</v>
      </c>
      <c r="B414" t="s">
        <v>220</v>
      </c>
      <c r="C414" t="str">
        <f>IF(COUNTIF('Rookies 22-25'!$B$126:$B$197,E414)&gt;0,"(R)","No")</f>
        <v>(R)</v>
      </c>
      <c r="D414">
        <v>48</v>
      </c>
      <c r="E414" t="s">
        <v>391</v>
      </c>
      <c r="F414" t="s">
        <v>47</v>
      </c>
      <c r="G414">
        <f>VLOOKUP(E414,'24 Draft ADP'!$B$3:$D$436,3,FALSE)</f>
        <v>248</v>
      </c>
      <c r="H414">
        <v>16</v>
      </c>
      <c r="I414">
        <v>0</v>
      </c>
      <c r="J414">
        <v>0</v>
      </c>
      <c r="K414">
        <v>1.9</v>
      </c>
      <c r="L414">
        <v>-2</v>
      </c>
      <c r="M414">
        <v>2.2000000000000002</v>
      </c>
      <c r="N414">
        <v>9.9</v>
      </c>
      <c r="O414">
        <v>1.7</v>
      </c>
      <c r="P414">
        <v>19.2</v>
      </c>
      <c r="Q414" t="s">
        <v>22</v>
      </c>
      <c r="R414">
        <v>0</v>
      </c>
      <c r="S414">
        <v>0</v>
      </c>
      <c r="T414">
        <v>0</v>
      </c>
      <c r="U414">
        <v>8.6</v>
      </c>
      <c r="V414">
        <v>26.8</v>
      </c>
      <c r="W414">
        <v>11.5</v>
      </c>
      <c r="X414" t="s">
        <v>33</v>
      </c>
      <c r="Y414">
        <v>13.9</v>
      </c>
      <c r="Z414">
        <v>0.5</v>
      </c>
      <c r="AA414">
        <v>5.9</v>
      </c>
      <c r="AB414">
        <f t="shared" si="12"/>
        <v>93.7</v>
      </c>
      <c r="AC414">
        <v>94.2</v>
      </c>
      <c r="AD414">
        <v>20</v>
      </c>
      <c r="AE414">
        <f t="shared" si="13"/>
        <v>4</v>
      </c>
      <c r="AF414">
        <v>2</v>
      </c>
      <c r="AG414">
        <v>1</v>
      </c>
      <c r="AH414">
        <v>1</v>
      </c>
      <c r="AI414">
        <v>0</v>
      </c>
      <c r="AJ414">
        <v>0.23529411764705882</v>
      </c>
      <c r="AK414">
        <v>0.125</v>
      </c>
      <c r="AL414">
        <v>6.25E-2</v>
      </c>
      <c r="AM414">
        <v>6.25E-2</v>
      </c>
      <c r="AN414">
        <v>0</v>
      </c>
    </row>
    <row r="415" spans="1:40" x14ac:dyDescent="0.25">
      <c r="A415">
        <v>2024</v>
      </c>
      <c r="B415" t="s">
        <v>220</v>
      </c>
      <c r="C415" t="str">
        <f>IF(COUNTIF('Rookies 22-25'!$B$126:$B$197,E415)&gt;0,"(R)","No")</f>
        <v>No</v>
      </c>
      <c r="D415">
        <v>49</v>
      </c>
      <c r="E415" t="s">
        <v>392</v>
      </c>
      <c r="F415" t="s">
        <v>73</v>
      </c>
      <c r="G415">
        <f>VLOOKUP(E415,'24 Draft ADP'!$B$3:$D$436,3,FALSE)</f>
        <v>217</v>
      </c>
      <c r="H415">
        <v>16</v>
      </c>
      <c r="I415" t="s">
        <v>33</v>
      </c>
      <c r="J415">
        <v>2.5</v>
      </c>
      <c r="K415">
        <v>9.9</v>
      </c>
      <c r="L415">
        <v>5.3</v>
      </c>
      <c r="M415">
        <v>12.7</v>
      </c>
      <c r="N415">
        <v>-0.1</v>
      </c>
      <c r="O415">
        <v>0</v>
      </c>
      <c r="P415" t="s">
        <v>33</v>
      </c>
      <c r="Q415">
        <v>7.3</v>
      </c>
      <c r="R415">
        <v>5.7</v>
      </c>
      <c r="S415">
        <v>11.6</v>
      </c>
      <c r="T415">
        <v>3.5</v>
      </c>
      <c r="U415">
        <v>2.2000000000000002</v>
      </c>
      <c r="V415">
        <v>3.7</v>
      </c>
      <c r="W415">
        <v>8.4</v>
      </c>
      <c r="X415">
        <v>0.3</v>
      </c>
      <c r="Y415">
        <v>11.3</v>
      </c>
      <c r="Z415">
        <v>8.9</v>
      </c>
      <c r="AA415">
        <v>5.8</v>
      </c>
      <c r="AB415">
        <f t="shared" si="12"/>
        <v>84.3</v>
      </c>
      <c r="AC415">
        <v>93.2</v>
      </c>
      <c r="AD415">
        <v>18</v>
      </c>
      <c r="AE415">
        <f t="shared" si="13"/>
        <v>3</v>
      </c>
      <c r="AF415">
        <v>0</v>
      </c>
      <c r="AG415">
        <v>0</v>
      </c>
      <c r="AH415">
        <v>0</v>
      </c>
      <c r="AI415">
        <v>0</v>
      </c>
      <c r="AJ415">
        <v>0.17647058823529413</v>
      </c>
      <c r="AK415">
        <v>0</v>
      </c>
      <c r="AL415">
        <v>0</v>
      </c>
      <c r="AM415">
        <v>0</v>
      </c>
      <c r="AN415">
        <v>0</v>
      </c>
    </row>
    <row r="416" spans="1:40" x14ac:dyDescent="0.25">
      <c r="A416">
        <v>2024</v>
      </c>
      <c r="B416" t="s">
        <v>220</v>
      </c>
      <c r="C416" t="str">
        <f>IF(COUNTIF('Rookies 22-25'!$B$126:$B$197,E416)&gt;0,"(R)","No")</f>
        <v>No</v>
      </c>
      <c r="D416">
        <v>50</v>
      </c>
      <c r="E416" t="s">
        <v>267</v>
      </c>
      <c r="F416" t="s">
        <v>61</v>
      </c>
      <c r="G416">
        <f>VLOOKUP(E416,'24 Draft ADP'!$B$3:$D$436,3,FALSE)</f>
        <v>325</v>
      </c>
      <c r="H416">
        <v>17</v>
      </c>
      <c r="I416">
        <v>0.7</v>
      </c>
      <c r="J416">
        <v>4.2</v>
      </c>
      <c r="K416">
        <v>13.6</v>
      </c>
      <c r="L416">
        <v>6.3</v>
      </c>
      <c r="M416">
        <v>1.5</v>
      </c>
      <c r="N416">
        <v>3.4</v>
      </c>
      <c r="O416">
        <v>7.4</v>
      </c>
      <c r="P416">
        <v>0</v>
      </c>
      <c r="Q416">
        <v>2.2999999999999998</v>
      </c>
      <c r="R416">
        <v>6.2</v>
      </c>
      <c r="S416">
        <v>1.8</v>
      </c>
      <c r="T416" t="s">
        <v>22</v>
      </c>
      <c r="U416">
        <v>4.7</v>
      </c>
      <c r="V416">
        <v>13.5</v>
      </c>
      <c r="W416">
        <v>17.3</v>
      </c>
      <c r="X416">
        <v>3</v>
      </c>
      <c r="Y416">
        <v>3.5</v>
      </c>
      <c r="Z416">
        <v>2.2999999999999998</v>
      </c>
      <c r="AA416">
        <v>5.4</v>
      </c>
      <c r="AB416">
        <f t="shared" si="12"/>
        <v>89.4</v>
      </c>
      <c r="AC416">
        <v>91.7</v>
      </c>
      <c r="AD416">
        <v>20</v>
      </c>
      <c r="AE416">
        <f t="shared" si="13"/>
        <v>3</v>
      </c>
      <c r="AF416">
        <v>1</v>
      </c>
      <c r="AG416">
        <v>0</v>
      </c>
      <c r="AH416">
        <v>0</v>
      </c>
      <c r="AI416">
        <v>0</v>
      </c>
      <c r="AJ416">
        <v>0.17647058823529413</v>
      </c>
      <c r="AK416">
        <v>5.8823529411764705E-2</v>
      </c>
      <c r="AL416">
        <v>0</v>
      </c>
      <c r="AM416">
        <v>0</v>
      </c>
      <c r="AN416">
        <v>0</v>
      </c>
    </row>
    <row r="417" spans="1:40" x14ac:dyDescent="0.25">
      <c r="A417">
        <v>2024</v>
      </c>
      <c r="B417" t="s">
        <v>220</v>
      </c>
      <c r="C417" t="str">
        <f>IF(COUNTIF('Rookies 22-25'!$B$126:$B$197,E417)&gt;0,"(R)","No")</f>
        <v>(R)</v>
      </c>
      <c r="D417">
        <v>51</v>
      </c>
      <c r="E417" t="s">
        <v>318</v>
      </c>
      <c r="F417" t="s">
        <v>82</v>
      </c>
      <c r="G417">
        <f>VLOOKUP(E417,'24 Draft ADP'!$B$3:$D$436,3,FALSE)</f>
        <v>162</v>
      </c>
      <c r="H417">
        <v>17</v>
      </c>
      <c r="I417">
        <v>2.7</v>
      </c>
      <c r="J417">
        <v>19.600000000000001</v>
      </c>
      <c r="K417">
        <v>9.8000000000000007</v>
      </c>
      <c r="L417">
        <v>5.6</v>
      </c>
      <c r="M417">
        <v>3.8</v>
      </c>
      <c r="N417">
        <v>0.8</v>
      </c>
      <c r="O417">
        <v>1.6</v>
      </c>
      <c r="P417">
        <v>9.1999999999999993</v>
      </c>
      <c r="Q417">
        <v>0.9</v>
      </c>
      <c r="R417">
        <v>4.4000000000000004</v>
      </c>
      <c r="S417">
        <v>0.6</v>
      </c>
      <c r="T417" t="s">
        <v>22</v>
      </c>
      <c r="U417">
        <v>4.7</v>
      </c>
      <c r="V417">
        <v>12.1</v>
      </c>
      <c r="W417">
        <v>0.5</v>
      </c>
      <c r="X417">
        <v>2</v>
      </c>
      <c r="Y417">
        <v>2.6</v>
      </c>
      <c r="Z417">
        <v>4.3</v>
      </c>
      <c r="AA417">
        <v>5</v>
      </c>
      <c r="AB417">
        <f t="shared" si="12"/>
        <v>80.900000000000006</v>
      </c>
      <c r="AC417">
        <v>85.2</v>
      </c>
      <c r="AD417">
        <v>14</v>
      </c>
      <c r="AE417">
        <f t="shared" si="13"/>
        <v>2</v>
      </c>
      <c r="AF417">
        <v>1</v>
      </c>
      <c r="AG417">
        <v>0</v>
      </c>
      <c r="AH417">
        <v>0</v>
      </c>
      <c r="AI417">
        <v>0</v>
      </c>
      <c r="AJ417">
        <v>0.11764705882352941</v>
      </c>
      <c r="AK417">
        <v>5.8823529411764705E-2</v>
      </c>
      <c r="AL417">
        <v>0</v>
      </c>
      <c r="AM417">
        <v>0</v>
      </c>
      <c r="AN417">
        <v>0</v>
      </c>
    </row>
    <row r="418" spans="1:40" x14ac:dyDescent="0.25">
      <c r="A418">
        <v>2024</v>
      </c>
      <c r="B418" t="s">
        <v>220</v>
      </c>
      <c r="C418" t="str">
        <f>IF(COUNTIF('Rookies 22-25'!$B$126:$B$197,E418)&gt;0,"(R)","No")</f>
        <v>No</v>
      </c>
      <c r="D418">
        <v>52</v>
      </c>
      <c r="E418" t="s">
        <v>393</v>
      </c>
      <c r="F418" t="s">
        <v>89</v>
      </c>
      <c r="G418">
        <f>VLOOKUP(E418,'24 Draft ADP'!$B$3:$D$436,3,FALSE)</f>
        <v>105</v>
      </c>
      <c r="H418">
        <v>9</v>
      </c>
      <c r="I418">
        <v>14.1</v>
      </c>
      <c r="J418">
        <v>5.7</v>
      </c>
      <c r="K418">
        <v>20.7</v>
      </c>
      <c r="L418">
        <v>17.8</v>
      </c>
      <c r="M418">
        <v>8.1999999999999993</v>
      </c>
      <c r="N418">
        <v>0.5</v>
      </c>
      <c r="O418">
        <v>7</v>
      </c>
      <c r="P418">
        <v>7.9</v>
      </c>
      <c r="Q418" t="s">
        <v>33</v>
      </c>
      <c r="R418" t="s">
        <v>33</v>
      </c>
      <c r="S418">
        <v>0</v>
      </c>
      <c r="T418" t="s">
        <v>22</v>
      </c>
      <c r="U418" t="s">
        <v>33</v>
      </c>
      <c r="V418" t="s">
        <v>33</v>
      </c>
      <c r="W418" t="s">
        <v>33</v>
      </c>
      <c r="X418" t="s">
        <v>33</v>
      </c>
      <c r="Y418" t="s">
        <v>33</v>
      </c>
      <c r="Z418">
        <v>0</v>
      </c>
      <c r="AA418">
        <v>9.1</v>
      </c>
      <c r="AB418">
        <f t="shared" si="12"/>
        <v>81.900000000000006</v>
      </c>
      <c r="AC418">
        <v>81.900000000000006</v>
      </c>
      <c r="AD418">
        <v>9</v>
      </c>
      <c r="AE418">
        <f t="shared" si="13"/>
        <v>3</v>
      </c>
      <c r="AF418">
        <v>2</v>
      </c>
      <c r="AG418">
        <v>1</v>
      </c>
      <c r="AH418">
        <v>0</v>
      </c>
      <c r="AI418">
        <v>0</v>
      </c>
      <c r="AJ418">
        <v>0.17647058823529413</v>
      </c>
      <c r="AK418">
        <v>0.22222222222222221</v>
      </c>
      <c r="AL418">
        <v>0.1111111111111111</v>
      </c>
      <c r="AM418">
        <v>0</v>
      </c>
      <c r="AN418">
        <v>0</v>
      </c>
    </row>
    <row r="419" spans="1:40" x14ac:dyDescent="0.25">
      <c r="A419">
        <v>2024</v>
      </c>
      <c r="B419" t="s">
        <v>220</v>
      </c>
      <c r="C419" t="str">
        <f>IF(COUNTIF('Rookies 22-25'!$B$126:$B$197,E419)&gt;0,"(R)","No")</f>
        <v>No</v>
      </c>
      <c r="D419">
        <v>53</v>
      </c>
      <c r="E419" t="s">
        <v>277</v>
      </c>
      <c r="F419" t="s">
        <v>26</v>
      </c>
      <c r="G419">
        <v>300</v>
      </c>
      <c r="H419">
        <v>17</v>
      </c>
      <c r="I419">
        <v>2</v>
      </c>
      <c r="J419">
        <v>1.3</v>
      </c>
      <c r="K419">
        <v>7</v>
      </c>
      <c r="L419">
        <v>7.4</v>
      </c>
      <c r="M419">
        <v>3.4</v>
      </c>
      <c r="N419" t="s">
        <v>22</v>
      </c>
      <c r="O419">
        <v>3.8</v>
      </c>
      <c r="P419">
        <v>5</v>
      </c>
      <c r="Q419">
        <v>13.5</v>
      </c>
      <c r="R419">
        <v>5.7</v>
      </c>
      <c r="S419">
        <v>2.8</v>
      </c>
      <c r="T419">
        <v>4.4000000000000004</v>
      </c>
      <c r="U419">
        <v>2.5</v>
      </c>
      <c r="V419">
        <v>2.9</v>
      </c>
      <c r="W419">
        <v>4.4000000000000004</v>
      </c>
      <c r="X419">
        <v>8</v>
      </c>
      <c r="Y419">
        <v>4.9000000000000004</v>
      </c>
      <c r="Z419">
        <v>2.4</v>
      </c>
      <c r="AA419">
        <v>4.8</v>
      </c>
      <c r="AB419">
        <f t="shared" si="12"/>
        <v>79</v>
      </c>
      <c r="AC419">
        <v>81.400000000000006</v>
      </c>
      <c r="AD419">
        <v>16</v>
      </c>
      <c r="AE419">
        <f t="shared" si="13"/>
        <v>1</v>
      </c>
      <c r="AF419">
        <v>0</v>
      </c>
      <c r="AG419">
        <v>0</v>
      </c>
      <c r="AH419">
        <v>0</v>
      </c>
      <c r="AI419">
        <v>0</v>
      </c>
      <c r="AJ419">
        <v>5.8823529411764705E-2</v>
      </c>
      <c r="AK419">
        <v>0</v>
      </c>
      <c r="AL419">
        <v>0</v>
      </c>
      <c r="AM419">
        <v>0</v>
      </c>
      <c r="AN419">
        <v>0</v>
      </c>
    </row>
    <row r="420" spans="1:40" x14ac:dyDescent="0.25">
      <c r="A420">
        <v>2024</v>
      </c>
      <c r="B420" t="s">
        <v>220</v>
      </c>
      <c r="C420" t="str">
        <f>IF(COUNTIF('Rookies 22-25'!$B$126:$B$197,E420)&gt;0,"(R)","No")</f>
        <v>No</v>
      </c>
      <c r="D420">
        <v>54</v>
      </c>
      <c r="E420" t="s">
        <v>394</v>
      </c>
      <c r="F420" t="s">
        <v>45</v>
      </c>
      <c r="G420">
        <f>VLOOKUP(E420,'24 Draft ADP'!$B$3:$D$436,3,FALSE)</f>
        <v>200</v>
      </c>
      <c r="H420">
        <v>13</v>
      </c>
      <c r="I420" t="s">
        <v>33</v>
      </c>
      <c r="J420" t="s">
        <v>33</v>
      </c>
      <c r="K420">
        <v>10.199999999999999</v>
      </c>
      <c r="L420">
        <v>8.6</v>
      </c>
      <c r="M420">
        <v>14.5</v>
      </c>
      <c r="N420">
        <v>5.3</v>
      </c>
      <c r="O420" t="s">
        <v>22</v>
      </c>
      <c r="P420">
        <v>6.6</v>
      </c>
      <c r="Q420">
        <v>4.0999999999999996</v>
      </c>
      <c r="R420">
        <v>1.1000000000000001</v>
      </c>
      <c r="S420">
        <v>11.1</v>
      </c>
      <c r="T420">
        <v>8.1999999999999993</v>
      </c>
      <c r="U420">
        <v>0</v>
      </c>
      <c r="V420" t="s">
        <v>33</v>
      </c>
      <c r="W420" t="s">
        <v>33</v>
      </c>
      <c r="X420">
        <v>0.3</v>
      </c>
      <c r="Y420">
        <v>0.5</v>
      </c>
      <c r="Z420">
        <v>6.9</v>
      </c>
      <c r="AA420">
        <v>6</v>
      </c>
      <c r="AB420">
        <f t="shared" si="12"/>
        <v>70.5</v>
      </c>
      <c r="AC420">
        <v>77.400000000000006</v>
      </c>
      <c r="AD420">
        <v>17</v>
      </c>
      <c r="AE420">
        <f t="shared" si="13"/>
        <v>3</v>
      </c>
      <c r="AF420">
        <v>0</v>
      </c>
      <c r="AG420">
        <v>0</v>
      </c>
      <c r="AH420">
        <v>0</v>
      </c>
      <c r="AI420">
        <v>0</v>
      </c>
      <c r="AJ420">
        <v>0.17647058823529413</v>
      </c>
      <c r="AK420">
        <v>0</v>
      </c>
      <c r="AL420">
        <v>0</v>
      </c>
      <c r="AM420">
        <v>0</v>
      </c>
      <c r="AN420">
        <v>0</v>
      </c>
    </row>
    <row r="421" spans="1:40" x14ac:dyDescent="0.25">
      <c r="A421">
        <v>2024</v>
      </c>
      <c r="B421" t="s">
        <v>220</v>
      </c>
      <c r="C421" t="str">
        <f>IF(COUNTIF('Rookies 22-25'!$B$126:$B$197,E421)&gt;0,"(R)","No")</f>
        <v>No</v>
      </c>
      <c r="D421">
        <v>55</v>
      </c>
      <c r="E421" t="s">
        <v>305</v>
      </c>
      <c r="F421" t="s">
        <v>95</v>
      </c>
      <c r="G421">
        <f>VLOOKUP(E421,'24 Draft ADP'!$B$3:$D$436,3,FALSE)</f>
        <v>246</v>
      </c>
      <c r="H421">
        <v>11</v>
      </c>
      <c r="I421">
        <v>2.2000000000000002</v>
      </c>
      <c r="J421">
        <v>5.5</v>
      </c>
      <c r="K421">
        <v>11</v>
      </c>
      <c r="L421">
        <v>7.6</v>
      </c>
      <c r="M421">
        <v>5.3</v>
      </c>
      <c r="N421">
        <v>2.2999999999999998</v>
      </c>
      <c r="O421">
        <v>3.8</v>
      </c>
      <c r="P421">
        <v>11.5</v>
      </c>
      <c r="Q421">
        <v>1</v>
      </c>
      <c r="R421">
        <v>0.5</v>
      </c>
      <c r="S421" t="s">
        <v>22</v>
      </c>
      <c r="T421" t="s">
        <v>33</v>
      </c>
      <c r="U421" t="s">
        <v>33</v>
      </c>
      <c r="V421" t="s">
        <v>33</v>
      </c>
      <c r="W421" t="s">
        <v>33</v>
      </c>
      <c r="X421" t="s">
        <v>33</v>
      </c>
      <c r="Y421" t="s">
        <v>33</v>
      </c>
      <c r="Z421">
        <v>26.6</v>
      </c>
      <c r="AA421">
        <v>7</v>
      </c>
      <c r="AB421">
        <f t="shared" si="12"/>
        <v>50.699999999999996</v>
      </c>
      <c r="AC421">
        <v>77.3</v>
      </c>
      <c r="AD421">
        <v>19</v>
      </c>
      <c r="AE421">
        <f t="shared" si="13"/>
        <v>2</v>
      </c>
      <c r="AF421">
        <v>1</v>
      </c>
      <c r="AG421">
        <v>1</v>
      </c>
      <c r="AH421">
        <v>1</v>
      </c>
      <c r="AI421">
        <v>0</v>
      </c>
      <c r="AJ421">
        <v>0.17647058823529413</v>
      </c>
      <c r="AK421">
        <v>9.0909090909090912E-2</v>
      </c>
      <c r="AL421">
        <v>9.0909090909090912E-2</v>
      </c>
      <c r="AM421">
        <v>9.0909090909090912E-2</v>
      </c>
      <c r="AN421">
        <v>0</v>
      </c>
    </row>
    <row r="422" spans="1:40" x14ac:dyDescent="0.25">
      <c r="A422">
        <v>2024</v>
      </c>
      <c r="B422" t="s">
        <v>220</v>
      </c>
      <c r="C422" t="str">
        <f>IF(COUNTIF('Rookies 22-25'!$B$126:$B$197,E422)&gt;0,"(R)","No")</f>
        <v>No</v>
      </c>
      <c r="D422">
        <v>56</v>
      </c>
      <c r="E422" t="s">
        <v>304</v>
      </c>
      <c r="F422" t="s">
        <v>84</v>
      </c>
      <c r="G422">
        <f>VLOOKUP(E422,'24 Draft ADP'!$B$3:$D$436,3,FALSE)</f>
        <v>81</v>
      </c>
      <c r="H422">
        <v>13</v>
      </c>
      <c r="I422">
        <v>3.9</v>
      </c>
      <c r="J422" t="s">
        <v>33</v>
      </c>
      <c r="K422" t="s">
        <v>33</v>
      </c>
      <c r="L422" t="s">
        <v>33</v>
      </c>
      <c r="M422">
        <v>11.8</v>
      </c>
      <c r="N422" t="s">
        <v>22</v>
      </c>
      <c r="O422">
        <v>3</v>
      </c>
      <c r="P422">
        <v>16</v>
      </c>
      <c r="Q422">
        <v>8.8000000000000007</v>
      </c>
      <c r="R422">
        <v>5.4</v>
      </c>
      <c r="S422">
        <v>-0.2</v>
      </c>
      <c r="T422">
        <v>1.2</v>
      </c>
      <c r="U422">
        <v>5.4</v>
      </c>
      <c r="V422" t="s">
        <v>33</v>
      </c>
      <c r="W422">
        <v>5.0999999999999996</v>
      </c>
      <c r="X422">
        <v>6.6</v>
      </c>
      <c r="Y422">
        <v>3.9</v>
      </c>
      <c r="Z422">
        <v>0</v>
      </c>
      <c r="AA422">
        <v>5.5</v>
      </c>
      <c r="AB422">
        <f t="shared" si="12"/>
        <v>70.900000000000006</v>
      </c>
      <c r="AC422">
        <v>70.900000000000006</v>
      </c>
      <c r="AD422">
        <v>7</v>
      </c>
      <c r="AE422">
        <f t="shared" si="13"/>
        <v>2</v>
      </c>
      <c r="AF422">
        <v>1</v>
      </c>
      <c r="AG422">
        <v>0</v>
      </c>
      <c r="AH422">
        <v>0</v>
      </c>
      <c r="AI422">
        <v>0</v>
      </c>
      <c r="AJ422">
        <v>0.11764705882352941</v>
      </c>
      <c r="AK422">
        <v>7.6923076923076927E-2</v>
      </c>
      <c r="AL422">
        <v>0</v>
      </c>
      <c r="AM422">
        <v>0</v>
      </c>
      <c r="AN422">
        <v>0</v>
      </c>
    </row>
    <row r="423" spans="1:40" x14ac:dyDescent="0.25">
      <c r="A423">
        <v>2024</v>
      </c>
      <c r="B423" t="s">
        <v>220</v>
      </c>
      <c r="C423" t="str">
        <f>IF(COUNTIF('Rookies 22-25'!$B$126:$B$197,E423)&gt;0,"(R)","No")</f>
        <v>No</v>
      </c>
      <c r="D423">
        <v>57</v>
      </c>
      <c r="E423" t="s">
        <v>272</v>
      </c>
      <c r="F423" t="s">
        <v>65</v>
      </c>
      <c r="G423">
        <f>VLOOKUP(E423,'24 Draft ADP'!$B$3:$D$436,3,FALSE)</f>
        <v>340</v>
      </c>
      <c r="H423">
        <v>17</v>
      </c>
      <c r="I423">
        <v>0</v>
      </c>
      <c r="J423">
        <v>0</v>
      </c>
      <c r="K423">
        <v>0.4</v>
      </c>
      <c r="L423">
        <v>2.7</v>
      </c>
      <c r="M423">
        <v>0</v>
      </c>
      <c r="N423">
        <v>34.200000000000003</v>
      </c>
      <c r="O423">
        <v>4.8</v>
      </c>
      <c r="P423">
        <v>2.5</v>
      </c>
      <c r="Q423">
        <v>2.7</v>
      </c>
      <c r="R423">
        <v>0</v>
      </c>
      <c r="S423" t="s">
        <v>22</v>
      </c>
      <c r="T423">
        <v>8</v>
      </c>
      <c r="U423">
        <v>0</v>
      </c>
      <c r="V423">
        <v>4.7</v>
      </c>
      <c r="W423">
        <v>1.7</v>
      </c>
      <c r="X423">
        <v>0</v>
      </c>
      <c r="Y423">
        <v>5.4</v>
      </c>
      <c r="Z423">
        <v>1.6</v>
      </c>
      <c r="AA423">
        <v>4</v>
      </c>
      <c r="AB423">
        <f t="shared" si="12"/>
        <v>67.100000000000009</v>
      </c>
      <c r="AC423">
        <v>68.7</v>
      </c>
      <c r="AD423">
        <v>20</v>
      </c>
      <c r="AE423">
        <f t="shared" si="13"/>
        <v>1</v>
      </c>
      <c r="AF423">
        <v>1</v>
      </c>
      <c r="AG423">
        <v>1</v>
      </c>
      <c r="AH423">
        <v>1</v>
      </c>
      <c r="AI423">
        <v>1</v>
      </c>
      <c r="AJ423">
        <v>5.8823529411764705E-2</v>
      </c>
      <c r="AK423">
        <v>5.8823529411764705E-2</v>
      </c>
      <c r="AL423">
        <v>5.8823529411764705E-2</v>
      </c>
      <c r="AM423">
        <v>5.8823529411764705E-2</v>
      </c>
      <c r="AN423">
        <v>5.8823529411764705E-2</v>
      </c>
    </row>
    <row r="424" spans="1:40" x14ac:dyDescent="0.25">
      <c r="A424">
        <v>2024</v>
      </c>
      <c r="B424" t="s">
        <v>220</v>
      </c>
      <c r="C424" t="str">
        <f>IF(COUNTIF('Rookies 22-25'!$B$126:$B$197,E424)&gt;0,"(R)","No")</f>
        <v>No</v>
      </c>
      <c r="D424">
        <v>58</v>
      </c>
      <c r="E424" t="s">
        <v>395</v>
      </c>
      <c r="F424" t="s">
        <v>51</v>
      </c>
      <c r="G424">
        <f>VLOOKUP(E424,'24 Draft ADP'!$B$3:$D$436,3,FALSE)</f>
        <v>119</v>
      </c>
      <c r="H424">
        <v>11</v>
      </c>
      <c r="I424">
        <v>3.8</v>
      </c>
      <c r="J424">
        <v>5.9</v>
      </c>
      <c r="K424">
        <v>0.9</v>
      </c>
      <c r="L424">
        <v>1.9</v>
      </c>
      <c r="M424" t="s">
        <v>22</v>
      </c>
      <c r="N424" t="s">
        <v>33</v>
      </c>
      <c r="O424" t="s">
        <v>33</v>
      </c>
      <c r="P424" t="s">
        <v>33</v>
      </c>
      <c r="Q424" t="s">
        <v>33</v>
      </c>
      <c r="R424">
        <v>5.5</v>
      </c>
      <c r="S424">
        <v>2.7</v>
      </c>
      <c r="T424">
        <v>7.1</v>
      </c>
      <c r="U424">
        <v>4.3</v>
      </c>
      <c r="V424">
        <v>9.6</v>
      </c>
      <c r="W424">
        <v>2.2999999999999998</v>
      </c>
      <c r="X424">
        <v>20.100000000000001</v>
      </c>
      <c r="Y424" t="s">
        <v>33</v>
      </c>
      <c r="Z424">
        <v>0</v>
      </c>
      <c r="AA424">
        <v>5.8</v>
      </c>
      <c r="AB424">
        <f t="shared" si="12"/>
        <v>64.099999999999994</v>
      </c>
      <c r="AC424">
        <v>64.099999999999994</v>
      </c>
      <c r="AD424">
        <v>10</v>
      </c>
      <c r="AE424">
        <f t="shared" si="13"/>
        <v>1</v>
      </c>
      <c r="AF424">
        <v>1</v>
      </c>
      <c r="AG424">
        <v>1</v>
      </c>
      <c r="AH424">
        <v>0</v>
      </c>
      <c r="AI424">
        <v>0</v>
      </c>
      <c r="AJ424">
        <v>5.8823529411764705E-2</v>
      </c>
      <c r="AK424">
        <v>9.0909090909090912E-2</v>
      </c>
      <c r="AL424">
        <v>9.0909090909090912E-2</v>
      </c>
      <c r="AM424">
        <v>0</v>
      </c>
      <c r="AN424">
        <v>0</v>
      </c>
    </row>
    <row r="425" spans="1:40" x14ac:dyDescent="0.25">
      <c r="A425">
        <v>2024</v>
      </c>
      <c r="B425" t="s">
        <v>220</v>
      </c>
      <c r="C425" t="str">
        <f>IF(COUNTIF('Rookies 22-25'!$B$126:$B$197,E425)&gt;0,"(R)","No")</f>
        <v>No</v>
      </c>
      <c r="D425">
        <v>59</v>
      </c>
      <c r="E425" t="s">
        <v>278</v>
      </c>
      <c r="F425" t="s">
        <v>59</v>
      </c>
      <c r="G425">
        <f>VLOOKUP(E425,'24 Draft ADP'!$B$3:$D$436,3,FALSE)</f>
        <v>355</v>
      </c>
      <c r="H425">
        <v>17</v>
      </c>
      <c r="I425">
        <v>0</v>
      </c>
      <c r="J425">
        <v>0</v>
      </c>
      <c r="K425">
        <v>0.1</v>
      </c>
      <c r="L425">
        <v>20.399999999999999</v>
      </c>
      <c r="M425">
        <v>10.4</v>
      </c>
      <c r="N425">
        <v>0.9</v>
      </c>
      <c r="O425">
        <v>4.2</v>
      </c>
      <c r="P425">
        <v>-0.1</v>
      </c>
      <c r="Q425">
        <v>2</v>
      </c>
      <c r="R425">
        <v>6.7</v>
      </c>
      <c r="S425">
        <v>1.6</v>
      </c>
      <c r="T425">
        <v>2.2000000000000002</v>
      </c>
      <c r="U425">
        <v>3.2</v>
      </c>
      <c r="V425" t="s">
        <v>22</v>
      </c>
      <c r="W425">
        <v>1.4</v>
      </c>
      <c r="X425">
        <v>7.8</v>
      </c>
      <c r="Y425">
        <v>3</v>
      </c>
      <c r="Z425">
        <v>0</v>
      </c>
      <c r="AA425">
        <v>3.8</v>
      </c>
      <c r="AB425">
        <f t="shared" si="12"/>
        <v>63.8</v>
      </c>
      <c r="AC425">
        <v>63.8</v>
      </c>
      <c r="AD425">
        <v>20</v>
      </c>
      <c r="AE425">
        <f t="shared" si="13"/>
        <v>2</v>
      </c>
      <c r="AF425">
        <v>1</v>
      </c>
      <c r="AG425">
        <v>1</v>
      </c>
      <c r="AH425">
        <v>0</v>
      </c>
      <c r="AI425">
        <v>0</v>
      </c>
      <c r="AJ425">
        <v>0.11764705882352941</v>
      </c>
      <c r="AK425">
        <v>5.8823529411764705E-2</v>
      </c>
      <c r="AL425">
        <v>5.8823529411764705E-2</v>
      </c>
      <c r="AM425">
        <v>0</v>
      </c>
      <c r="AN425">
        <v>0</v>
      </c>
    </row>
    <row r="426" spans="1:40" x14ac:dyDescent="0.25">
      <c r="A426">
        <v>2024</v>
      </c>
      <c r="B426" t="s">
        <v>220</v>
      </c>
      <c r="C426" t="str">
        <f>IF(COUNTIF('Rookies 22-25'!$B$126:$B$197,E426)&gt;0,"(R)","No")</f>
        <v>No</v>
      </c>
      <c r="D426">
        <v>60</v>
      </c>
      <c r="E426" t="s">
        <v>274</v>
      </c>
      <c r="F426" t="s">
        <v>32</v>
      </c>
      <c r="G426">
        <f>VLOOKUP(E426,'24 Draft ADP'!$B$3:$D$436,3,FALSE)</f>
        <v>124</v>
      </c>
      <c r="H426">
        <v>8</v>
      </c>
      <c r="I426" t="s">
        <v>33</v>
      </c>
      <c r="J426" t="s">
        <v>33</v>
      </c>
      <c r="K426" t="s">
        <v>33</v>
      </c>
      <c r="L426" t="s">
        <v>33</v>
      </c>
      <c r="M426" t="s">
        <v>33</v>
      </c>
      <c r="N426" t="s">
        <v>33</v>
      </c>
      <c r="O426">
        <v>10.199999999999999</v>
      </c>
      <c r="P426">
        <v>5.2</v>
      </c>
      <c r="Q426">
        <v>4.5</v>
      </c>
      <c r="R426" t="s">
        <v>22</v>
      </c>
      <c r="S426">
        <v>5</v>
      </c>
      <c r="T426">
        <v>19</v>
      </c>
      <c r="U426">
        <v>12.5</v>
      </c>
      <c r="V426">
        <v>4.8</v>
      </c>
      <c r="W426">
        <v>2.1</v>
      </c>
      <c r="X426" t="s">
        <v>33</v>
      </c>
      <c r="Y426" t="s">
        <v>33</v>
      </c>
      <c r="Z426">
        <v>0</v>
      </c>
      <c r="AA426">
        <v>7.9</v>
      </c>
      <c r="AB426">
        <f t="shared" si="12"/>
        <v>63.3</v>
      </c>
      <c r="AC426">
        <v>63.3</v>
      </c>
      <c r="AD426">
        <v>11</v>
      </c>
      <c r="AE426">
        <f t="shared" si="13"/>
        <v>3</v>
      </c>
      <c r="AF426">
        <v>1</v>
      </c>
      <c r="AG426">
        <v>0</v>
      </c>
      <c r="AH426">
        <v>0</v>
      </c>
      <c r="AI426">
        <v>0</v>
      </c>
      <c r="AJ426">
        <v>0.17647058823529413</v>
      </c>
      <c r="AK426">
        <v>0.125</v>
      </c>
      <c r="AL426">
        <v>0</v>
      </c>
      <c r="AM426">
        <v>0</v>
      </c>
      <c r="AN426">
        <v>0</v>
      </c>
    </row>
    <row r="427" spans="1:40" x14ac:dyDescent="0.25">
      <c r="A427">
        <v>2024</v>
      </c>
      <c r="B427" t="s">
        <v>220</v>
      </c>
      <c r="C427" t="str">
        <f>IF(COUNTIF('Rookies 22-25'!$B$126:$B$197,E427)&gt;0,"(R)","No")</f>
        <v>No</v>
      </c>
      <c r="D427">
        <v>61</v>
      </c>
      <c r="E427" t="s">
        <v>236</v>
      </c>
      <c r="F427" t="s">
        <v>35</v>
      </c>
      <c r="G427">
        <f>VLOOKUP(E427,'24 Draft ADP'!$B$3:$D$436,3,FALSE)</f>
        <v>233</v>
      </c>
      <c r="H427">
        <v>17</v>
      </c>
      <c r="I427">
        <v>2.2000000000000002</v>
      </c>
      <c r="J427">
        <v>0.6</v>
      </c>
      <c r="K427">
        <v>3.2</v>
      </c>
      <c r="L427">
        <v>0.9</v>
      </c>
      <c r="M427" t="s">
        <v>22</v>
      </c>
      <c r="N427">
        <v>2.2999999999999998</v>
      </c>
      <c r="O427">
        <v>7.7</v>
      </c>
      <c r="P427">
        <v>1.9</v>
      </c>
      <c r="Q427">
        <v>2</v>
      </c>
      <c r="R427">
        <v>4.9000000000000004</v>
      </c>
      <c r="S427">
        <v>5.9</v>
      </c>
      <c r="T427">
        <v>8.1999999999999993</v>
      </c>
      <c r="U427">
        <v>0</v>
      </c>
      <c r="V427">
        <v>5.3</v>
      </c>
      <c r="W427">
        <v>9</v>
      </c>
      <c r="X427">
        <v>2.2999999999999998</v>
      </c>
      <c r="Y427">
        <v>1.9</v>
      </c>
      <c r="Z427">
        <v>4.3</v>
      </c>
      <c r="AA427">
        <v>3.7</v>
      </c>
      <c r="AB427">
        <f t="shared" si="12"/>
        <v>58.300000000000004</v>
      </c>
      <c r="AC427">
        <v>62.6</v>
      </c>
      <c r="AD427">
        <v>19</v>
      </c>
      <c r="AE427">
        <f t="shared" si="13"/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</row>
    <row r="428" spans="1:40" x14ac:dyDescent="0.25">
      <c r="A428">
        <v>2024</v>
      </c>
      <c r="B428" t="s">
        <v>220</v>
      </c>
      <c r="C428" t="str">
        <f>IF(COUNTIF('Rookies 22-25'!$B$126:$B$197,E428)&gt;0,"(R)","No")</f>
        <v>No</v>
      </c>
      <c r="D428">
        <v>62</v>
      </c>
      <c r="E428" t="s">
        <v>286</v>
      </c>
      <c r="F428" t="s">
        <v>47</v>
      </c>
      <c r="G428">
        <f>VLOOKUP(E428,'24 Draft ADP'!$B$3:$D$436,3,FALSE)</f>
        <v>385</v>
      </c>
      <c r="H428">
        <v>17</v>
      </c>
      <c r="I428">
        <v>6</v>
      </c>
      <c r="J428">
        <v>4.9000000000000004</v>
      </c>
      <c r="K428">
        <v>1.6</v>
      </c>
      <c r="L428">
        <v>2.2000000000000002</v>
      </c>
      <c r="M428">
        <v>0</v>
      </c>
      <c r="N428">
        <v>10.6</v>
      </c>
      <c r="O428">
        <v>1.4</v>
      </c>
      <c r="P428">
        <v>1.7</v>
      </c>
      <c r="Q428" t="s">
        <v>22</v>
      </c>
      <c r="R428">
        <v>0</v>
      </c>
      <c r="S428">
        <v>3.2</v>
      </c>
      <c r="T428">
        <v>2.4</v>
      </c>
      <c r="U428">
        <v>-2.1</v>
      </c>
      <c r="V428">
        <v>1.3</v>
      </c>
      <c r="W428">
        <v>0</v>
      </c>
      <c r="X428">
        <v>3.6</v>
      </c>
      <c r="Y428">
        <v>7.9</v>
      </c>
      <c r="Z428">
        <v>12.9</v>
      </c>
      <c r="AA428">
        <v>3.4</v>
      </c>
      <c r="AB428">
        <f t="shared" si="12"/>
        <v>44.7</v>
      </c>
      <c r="AC428">
        <v>57.6</v>
      </c>
      <c r="AD428">
        <v>20</v>
      </c>
      <c r="AE428">
        <f t="shared" si="13"/>
        <v>1</v>
      </c>
      <c r="AF428">
        <v>0</v>
      </c>
      <c r="AG428">
        <v>0</v>
      </c>
      <c r="AH428">
        <v>0</v>
      </c>
      <c r="AI428">
        <v>0</v>
      </c>
      <c r="AJ428">
        <v>0.11764705882352941</v>
      </c>
      <c r="AK428">
        <v>0</v>
      </c>
      <c r="AL428">
        <v>0</v>
      </c>
      <c r="AM428">
        <v>0</v>
      </c>
      <c r="AN428">
        <v>0</v>
      </c>
    </row>
    <row r="429" spans="1:40" x14ac:dyDescent="0.25">
      <c r="A429">
        <v>2024</v>
      </c>
      <c r="B429" t="s">
        <v>220</v>
      </c>
      <c r="C429" t="str">
        <f>IF(COUNTIF('Rookies 22-25'!$B$126:$B$197,E429)&gt;0,"(R)","No")</f>
        <v>No</v>
      </c>
      <c r="D429">
        <v>63</v>
      </c>
      <c r="E429" t="s">
        <v>396</v>
      </c>
      <c r="F429" t="s">
        <v>30</v>
      </c>
      <c r="G429">
        <f>VLOOKUP(E429,'24 Draft ADP'!$B$3:$D$436,3,FALSE)</f>
        <v>127</v>
      </c>
      <c r="H429">
        <v>15</v>
      </c>
      <c r="I429">
        <v>12.9</v>
      </c>
      <c r="J429">
        <v>5.2</v>
      </c>
      <c r="K429">
        <v>2.2000000000000002</v>
      </c>
      <c r="L429">
        <v>3.4</v>
      </c>
      <c r="M429">
        <v>1.7</v>
      </c>
      <c r="N429">
        <v>1.7</v>
      </c>
      <c r="O429" t="s">
        <v>22</v>
      </c>
      <c r="P429">
        <v>10.8</v>
      </c>
      <c r="Q429" t="s">
        <v>33</v>
      </c>
      <c r="R429">
        <v>0.2</v>
      </c>
      <c r="S429">
        <v>5.4</v>
      </c>
      <c r="T429">
        <v>0.6</v>
      </c>
      <c r="U429">
        <v>0.4</v>
      </c>
      <c r="V429">
        <v>1.6</v>
      </c>
      <c r="W429">
        <v>5.0999999999999996</v>
      </c>
      <c r="X429">
        <v>6.1</v>
      </c>
      <c r="Y429">
        <v>0.2</v>
      </c>
      <c r="Z429">
        <v>0</v>
      </c>
      <c r="AA429">
        <v>3.8</v>
      </c>
      <c r="AB429">
        <f t="shared" si="12"/>
        <v>57.5</v>
      </c>
      <c r="AC429">
        <v>57.5</v>
      </c>
      <c r="AD429">
        <v>11</v>
      </c>
      <c r="AE429">
        <f t="shared" si="13"/>
        <v>2</v>
      </c>
      <c r="AF429">
        <v>0</v>
      </c>
      <c r="AG429">
        <v>0</v>
      </c>
      <c r="AH429">
        <v>0</v>
      </c>
      <c r="AI429">
        <v>0</v>
      </c>
      <c r="AJ429">
        <v>0.11764705882352941</v>
      </c>
      <c r="AK429">
        <v>0</v>
      </c>
      <c r="AL429">
        <v>0</v>
      </c>
      <c r="AM429">
        <v>0</v>
      </c>
      <c r="AN429">
        <v>0</v>
      </c>
    </row>
    <row r="430" spans="1:40" x14ac:dyDescent="0.25">
      <c r="A430">
        <v>2024</v>
      </c>
      <c r="B430" t="s">
        <v>220</v>
      </c>
      <c r="C430" t="str">
        <f>IF(COUNTIF('Rookies 22-25'!$B$126:$B$197,E430)&gt;0,"(R)","No")</f>
        <v>No</v>
      </c>
      <c r="D430">
        <v>64</v>
      </c>
      <c r="E430" t="s">
        <v>276</v>
      </c>
      <c r="F430" t="s">
        <v>26</v>
      </c>
      <c r="G430">
        <f>VLOOKUP(E430,'24 Draft ADP'!$B$3:$D$436,3,FALSE)</f>
        <v>26</v>
      </c>
      <c r="H430">
        <v>7</v>
      </c>
      <c r="I430">
        <v>15.8</v>
      </c>
      <c r="J430">
        <v>16.100000000000001</v>
      </c>
      <c r="K430" t="s">
        <v>33</v>
      </c>
      <c r="L430" t="s">
        <v>33</v>
      </c>
      <c r="M430" t="s">
        <v>33</v>
      </c>
      <c r="N430" t="s">
        <v>22</v>
      </c>
      <c r="O430" t="s">
        <v>33</v>
      </c>
      <c r="P430" t="s">
        <v>33</v>
      </c>
      <c r="Q430" t="s">
        <v>33</v>
      </c>
      <c r="R430" t="s">
        <v>33</v>
      </c>
      <c r="S430" t="s">
        <v>33</v>
      </c>
      <c r="T430" t="s">
        <v>33</v>
      </c>
      <c r="U430">
        <v>5.9</v>
      </c>
      <c r="V430">
        <v>8.1</v>
      </c>
      <c r="W430">
        <v>5.7</v>
      </c>
      <c r="X430">
        <v>3.5</v>
      </c>
      <c r="Y430">
        <v>1.8</v>
      </c>
      <c r="Z430">
        <v>0</v>
      </c>
      <c r="AA430">
        <v>8.1</v>
      </c>
      <c r="AB430">
        <f t="shared" si="12"/>
        <v>56.9</v>
      </c>
      <c r="AC430">
        <v>56.9</v>
      </c>
      <c r="AD430">
        <v>3</v>
      </c>
      <c r="AE430">
        <f t="shared" si="13"/>
        <v>2</v>
      </c>
      <c r="AF430">
        <v>2</v>
      </c>
      <c r="AG430">
        <v>0</v>
      </c>
      <c r="AH430">
        <v>0</v>
      </c>
      <c r="AI430">
        <v>0</v>
      </c>
      <c r="AJ430">
        <v>0.11764705882352941</v>
      </c>
      <c r="AK430">
        <v>0.2857142857142857</v>
      </c>
      <c r="AL430">
        <v>0</v>
      </c>
      <c r="AM430">
        <v>0</v>
      </c>
      <c r="AN430">
        <v>0</v>
      </c>
    </row>
    <row r="431" spans="1:40" x14ac:dyDescent="0.25">
      <c r="A431">
        <v>2024</v>
      </c>
      <c r="B431" t="s">
        <v>220</v>
      </c>
      <c r="C431" t="str">
        <f>IF(COUNTIF('Rookies 22-25'!$B$126:$B$197,E431)&gt;0,"(R)","No")</f>
        <v>No</v>
      </c>
      <c r="D431">
        <v>65</v>
      </c>
      <c r="E431" t="s">
        <v>309</v>
      </c>
      <c r="F431" t="s">
        <v>41</v>
      </c>
      <c r="G431">
        <v>300</v>
      </c>
      <c r="H431">
        <v>17</v>
      </c>
      <c r="I431">
        <v>1.3</v>
      </c>
      <c r="J431">
        <v>4.3</v>
      </c>
      <c r="K431">
        <v>4.8</v>
      </c>
      <c r="L431">
        <v>15.4</v>
      </c>
      <c r="M431">
        <v>14.7</v>
      </c>
      <c r="N431">
        <v>0.8</v>
      </c>
      <c r="O431">
        <v>0.6</v>
      </c>
      <c r="P431">
        <v>0.4</v>
      </c>
      <c r="Q431">
        <v>-0.1</v>
      </c>
      <c r="R431">
        <v>1.1000000000000001</v>
      </c>
      <c r="S431">
        <v>2.1</v>
      </c>
      <c r="T431">
        <v>0</v>
      </c>
      <c r="U431">
        <v>0</v>
      </c>
      <c r="V431" t="s">
        <v>22</v>
      </c>
      <c r="W431">
        <v>3.5</v>
      </c>
      <c r="X431">
        <v>0</v>
      </c>
      <c r="Y431">
        <v>2.8</v>
      </c>
      <c r="Z431">
        <v>4.3</v>
      </c>
      <c r="AA431">
        <v>3.3</v>
      </c>
      <c r="AB431">
        <f t="shared" si="12"/>
        <v>51.7</v>
      </c>
      <c r="AC431">
        <v>56</v>
      </c>
      <c r="AD431">
        <v>20</v>
      </c>
      <c r="AE431">
        <f t="shared" si="13"/>
        <v>2</v>
      </c>
      <c r="AF431">
        <v>1</v>
      </c>
      <c r="AG431">
        <v>0</v>
      </c>
      <c r="AH431">
        <v>0</v>
      </c>
      <c r="AI431">
        <v>0</v>
      </c>
      <c r="AJ431">
        <v>0.11764705882352941</v>
      </c>
      <c r="AK431">
        <v>5.8823529411764705E-2</v>
      </c>
      <c r="AL431">
        <v>0</v>
      </c>
      <c r="AM431">
        <v>0</v>
      </c>
      <c r="AN431">
        <v>0</v>
      </c>
    </row>
    <row r="432" spans="1:40" x14ac:dyDescent="0.25">
      <c r="A432">
        <v>2024</v>
      </c>
      <c r="B432" t="s">
        <v>220</v>
      </c>
      <c r="C432" t="str">
        <f>IF(COUNTIF('Rookies 22-25'!$B$126:$B$197,E432)&gt;0,"(R)","No")</f>
        <v>No</v>
      </c>
      <c r="D432">
        <v>66</v>
      </c>
      <c r="E432" t="s">
        <v>285</v>
      </c>
      <c r="F432" t="s">
        <v>21</v>
      </c>
      <c r="G432">
        <f>VLOOKUP(E432,'24 Draft ADP'!$B$3:$D$436,3,FALSE)</f>
        <v>324</v>
      </c>
      <c r="H432">
        <v>13</v>
      </c>
      <c r="I432">
        <v>4.5999999999999996</v>
      </c>
      <c r="J432">
        <v>4.5999999999999996</v>
      </c>
      <c r="K432">
        <v>0.7</v>
      </c>
      <c r="L432">
        <v>3.4</v>
      </c>
      <c r="M432">
        <v>1</v>
      </c>
      <c r="N432">
        <v>11.4</v>
      </c>
      <c r="O432">
        <v>1.4</v>
      </c>
      <c r="P432">
        <v>0</v>
      </c>
      <c r="Q432">
        <v>16</v>
      </c>
      <c r="R432">
        <v>2.2000000000000002</v>
      </c>
      <c r="S432" t="s">
        <v>22</v>
      </c>
      <c r="T432">
        <v>1.4</v>
      </c>
      <c r="U432">
        <v>2.5</v>
      </c>
      <c r="V432">
        <v>5.5</v>
      </c>
      <c r="W432" t="s">
        <v>33</v>
      </c>
      <c r="X432" t="s">
        <v>33</v>
      </c>
      <c r="Y432" t="s">
        <v>33</v>
      </c>
      <c r="Z432">
        <v>0</v>
      </c>
      <c r="AA432">
        <v>4.2</v>
      </c>
      <c r="AB432">
        <f t="shared" si="12"/>
        <v>54.7</v>
      </c>
      <c r="AC432">
        <v>54.7</v>
      </c>
      <c r="AD432">
        <v>20</v>
      </c>
      <c r="AE432">
        <f t="shared" si="13"/>
        <v>2</v>
      </c>
      <c r="AF432">
        <v>1</v>
      </c>
      <c r="AG432">
        <v>0</v>
      </c>
      <c r="AH432">
        <v>0</v>
      </c>
      <c r="AI432">
        <v>0</v>
      </c>
      <c r="AJ432">
        <v>0.11764705882352941</v>
      </c>
      <c r="AK432">
        <v>7.6923076923076927E-2</v>
      </c>
      <c r="AL432">
        <v>0</v>
      </c>
      <c r="AM432">
        <v>0</v>
      </c>
      <c r="AN432">
        <v>0</v>
      </c>
    </row>
    <row r="433" spans="1:40" x14ac:dyDescent="0.25">
      <c r="A433">
        <v>2024</v>
      </c>
      <c r="B433" t="s">
        <v>220</v>
      </c>
      <c r="C433" t="str">
        <f>IF(COUNTIF('Rookies 22-25'!$B$126:$B$197,E433)&gt;0,"(R)","No")</f>
        <v>No</v>
      </c>
      <c r="D433">
        <v>67</v>
      </c>
      <c r="E433" t="s">
        <v>397</v>
      </c>
      <c r="F433" t="s">
        <v>28</v>
      </c>
      <c r="G433">
        <f>VLOOKUP(E433,'24 Draft ADP'!$B$3:$D$436,3,FALSE)</f>
        <v>240</v>
      </c>
      <c r="H433">
        <v>17</v>
      </c>
      <c r="I433">
        <v>0</v>
      </c>
      <c r="J433">
        <v>1.7</v>
      </c>
      <c r="K433">
        <v>7.6</v>
      </c>
      <c r="L433">
        <v>0.8</v>
      </c>
      <c r="M433">
        <v>18.3</v>
      </c>
      <c r="N433">
        <v>2.9</v>
      </c>
      <c r="O433">
        <v>5.9</v>
      </c>
      <c r="P433">
        <v>2.4</v>
      </c>
      <c r="Q433">
        <v>2.2999999999999998</v>
      </c>
      <c r="R433">
        <v>1.4</v>
      </c>
      <c r="S433">
        <v>1.3</v>
      </c>
      <c r="T433">
        <v>0</v>
      </c>
      <c r="U433">
        <v>0</v>
      </c>
      <c r="V433" t="s">
        <v>22</v>
      </c>
      <c r="W433">
        <v>3.2</v>
      </c>
      <c r="X433">
        <v>2.5</v>
      </c>
      <c r="Y433">
        <v>2</v>
      </c>
      <c r="Z433">
        <v>1.5</v>
      </c>
      <c r="AA433">
        <v>3.2</v>
      </c>
      <c r="AB433">
        <f t="shared" si="12"/>
        <v>52.3</v>
      </c>
      <c r="AC433">
        <v>53.8</v>
      </c>
      <c r="AD433">
        <v>20</v>
      </c>
      <c r="AE433">
        <f t="shared" si="13"/>
        <v>1</v>
      </c>
      <c r="AF433">
        <v>1</v>
      </c>
      <c r="AG433">
        <v>0</v>
      </c>
      <c r="AH433">
        <v>0</v>
      </c>
      <c r="AI433">
        <v>0</v>
      </c>
      <c r="AJ433">
        <v>5.8823529411764705E-2</v>
      </c>
      <c r="AK433">
        <v>5.8823529411764705E-2</v>
      </c>
      <c r="AL433">
        <v>0</v>
      </c>
      <c r="AM433">
        <v>0</v>
      </c>
      <c r="AN433">
        <v>0</v>
      </c>
    </row>
    <row r="434" spans="1:40" x14ac:dyDescent="0.25">
      <c r="A434">
        <v>2024</v>
      </c>
      <c r="B434" t="s">
        <v>220</v>
      </c>
      <c r="C434" t="str">
        <f>IF(COUNTIF('Rookies 22-25'!$B$126:$B$197,E434)&gt;0,"(R)","No")</f>
        <v>(R)</v>
      </c>
      <c r="D434">
        <v>68</v>
      </c>
      <c r="E434" t="s">
        <v>291</v>
      </c>
      <c r="F434" t="s">
        <v>78</v>
      </c>
      <c r="G434">
        <f>VLOOKUP(E434,'24 Draft ADP'!$B$3:$D$436,3,FALSE)</f>
        <v>201</v>
      </c>
      <c r="H434">
        <v>13</v>
      </c>
      <c r="I434">
        <v>1.4</v>
      </c>
      <c r="J434" t="s">
        <v>33</v>
      </c>
      <c r="K434" t="s">
        <v>33</v>
      </c>
      <c r="L434" t="s">
        <v>33</v>
      </c>
      <c r="M434" t="s">
        <v>33</v>
      </c>
      <c r="N434">
        <v>1.3</v>
      </c>
      <c r="O434">
        <v>0.9</v>
      </c>
      <c r="P434">
        <v>0.4</v>
      </c>
      <c r="Q434">
        <v>3.5</v>
      </c>
      <c r="R434">
        <v>5.3</v>
      </c>
      <c r="S434">
        <v>5.5</v>
      </c>
      <c r="T434">
        <v>1.5</v>
      </c>
      <c r="U434">
        <v>1.2</v>
      </c>
      <c r="V434" t="s">
        <v>22</v>
      </c>
      <c r="W434">
        <v>2.8</v>
      </c>
      <c r="X434">
        <v>10.8</v>
      </c>
      <c r="Y434">
        <v>4.7</v>
      </c>
      <c r="Z434">
        <v>9.4</v>
      </c>
      <c r="AA434">
        <v>3.7</v>
      </c>
      <c r="AB434">
        <f t="shared" si="12"/>
        <v>39.300000000000004</v>
      </c>
      <c r="AC434">
        <v>48.7</v>
      </c>
      <c r="AD434">
        <v>17</v>
      </c>
      <c r="AE434">
        <f t="shared" si="13"/>
        <v>1</v>
      </c>
      <c r="AF434">
        <v>0</v>
      </c>
      <c r="AG434">
        <v>0</v>
      </c>
      <c r="AH434">
        <v>0</v>
      </c>
      <c r="AI434">
        <v>0</v>
      </c>
      <c r="AJ434">
        <v>5.8823529411764705E-2</v>
      </c>
      <c r="AK434">
        <v>0</v>
      </c>
      <c r="AL434">
        <v>0</v>
      </c>
      <c r="AM434">
        <v>0</v>
      </c>
      <c r="AN434">
        <v>0</v>
      </c>
    </row>
    <row r="435" spans="1:40" x14ac:dyDescent="0.25">
      <c r="A435">
        <v>2024</v>
      </c>
      <c r="B435" t="s">
        <v>220</v>
      </c>
      <c r="C435" t="str">
        <f>IF(COUNTIF('Rookies 22-25'!$B$126:$B$197,E435)&gt;0,"(R)","No")</f>
        <v>No</v>
      </c>
      <c r="D435">
        <v>69</v>
      </c>
      <c r="E435" t="s">
        <v>221</v>
      </c>
      <c r="F435" t="s">
        <v>47</v>
      </c>
      <c r="G435">
        <f>VLOOKUP(E435,'24 Draft ADP'!$B$3:$D$436,3,FALSE)</f>
        <v>1</v>
      </c>
      <c r="H435">
        <v>4</v>
      </c>
      <c r="I435" t="s">
        <v>33</v>
      </c>
      <c r="J435" t="s">
        <v>33</v>
      </c>
      <c r="K435" t="s">
        <v>33</v>
      </c>
      <c r="L435" t="s">
        <v>33</v>
      </c>
      <c r="M435" t="s">
        <v>33</v>
      </c>
      <c r="N435" t="s">
        <v>33</v>
      </c>
      <c r="O435" t="s">
        <v>33</v>
      </c>
      <c r="P435" t="s">
        <v>33</v>
      </c>
      <c r="Q435" t="s">
        <v>22</v>
      </c>
      <c r="R435">
        <v>16.7</v>
      </c>
      <c r="S435">
        <v>14.6</v>
      </c>
      <c r="T435">
        <v>7.8</v>
      </c>
      <c r="U435">
        <v>8.6999999999999993</v>
      </c>
      <c r="V435" t="s">
        <v>33</v>
      </c>
      <c r="W435" t="s">
        <v>33</v>
      </c>
      <c r="X435" t="s">
        <v>33</v>
      </c>
      <c r="Y435" t="s">
        <v>33</v>
      </c>
      <c r="Z435">
        <v>0</v>
      </c>
      <c r="AA435">
        <v>12</v>
      </c>
      <c r="AB435">
        <f t="shared" si="12"/>
        <v>47.8</v>
      </c>
      <c r="AC435">
        <v>47.8</v>
      </c>
      <c r="AD435">
        <v>1</v>
      </c>
      <c r="AE435">
        <f t="shared" si="13"/>
        <v>2</v>
      </c>
      <c r="AF435">
        <v>1</v>
      </c>
      <c r="AG435">
        <v>0</v>
      </c>
      <c r="AH435">
        <v>0</v>
      </c>
      <c r="AI435">
        <v>0</v>
      </c>
      <c r="AJ435">
        <v>0.11764705882352941</v>
      </c>
      <c r="AK435">
        <v>0.25</v>
      </c>
      <c r="AL435">
        <v>0</v>
      </c>
      <c r="AM435">
        <v>0</v>
      </c>
      <c r="AN435">
        <v>0</v>
      </c>
    </row>
    <row r="436" spans="1:40" x14ac:dyDescent="0.25">
      <c r="A436">
        <v>2024</v>
      </c>
      <c r="B436" t="s">
        <v>220</v>
      </c>
      <c r="C436" t="str">
        <f>IF(COUNTIF('Rookies 22-25'!$B$126:$B$197,E436)&gt;0,"(R)","No")</f>
        <v>(R)</v>
      </c>
      <c r="D436">
        <v>70</v>
      </c>
      <c r="E436" t="s">
        <v>298</v>
      </c>
      <c r="F436" t="s">
        <v>21</v>
      </c>
      <c r="G436">
        <f>VLOOKUP(E436,'24 Draft ADP'!$B$3:$D$436,3,FALSE)</f>
        <v>122</v>
      </c>
      <c r="H436">
        <v>13</v>
      </c>
      <c r="I436">
        <v>2.8</v>
      </c>
      <c r="J436">
        <v>2.7</v>
      </c>
      <c r="K436">
        <v>0.8</v>
      </c>
      <c r="L436">
        <v>5</v>
      </c>
      <c r="M436" t="s">
        <v>33</v>
      </c>
      <c r="N436">
        <v>2.6</v>
      </c>
      <c r="O436">
        <v>0</v>
      </c>
      <c r="P436">
        <v>1</v>
      </c>
      <c r="Q436">
        <v>12.5</v>
      </c>
      <c r="R436">
        <v>10.7</v>
      </c>
      <c r="S436" t="s">
        <v>22</v>
      </c>
      <c r="T436">
        <v>1.8</v>
      </c>
      <c r="U436">
        <v>2</v>
      </c>
      <c r="V436">
        <v>2.9</v>
      </c>
      <c r="W436">
        <v>2.2000000000000002</v>
      </c>
      <c r="X436" t="s">
        <v>33</v>
      </c>
      <c r="Y436" t="s">
        <v>33</v>
      </c>
      <c r="Z436">
        <v>0</v>
      </c>
      <c r="AA436">
        <v>3.6</v>
      </c>
      <c r="AB436">
        <f t="shared" si="12"/>
        <v>47</v>
      </c>
      <c r="AC436">
        <v>47</v>
      </c>
      <c r="AD436">
        <v>11</v>
      </c>
      <c r="AE436">
        <f t="shared" si="13"/>
        <v>2</v>
      </c>
      <c r="AF436">
        <v>0</v>
      </c>
      <c r="AG436">
        <v>0</v>
      </c>
      <c r="AH436">
        <v>0</v>
      </c>
      <c r="AI436">
        <v>0</v>
      </c>
      <c r="AJ436">
        <v>0.11764705882352941</v>
      </c>
      <c r="AK436">
        <v>0</v>
      </c>
      <c r="AL436">
        <v>0</v>
      </c>
      <c r="AM436">
        <v>0</v>
      </c>
      <c r="AN436">
        <v>0</v>
      </c>
    </row>
    <row r="437" spans="1:40" x14ac:dyDescent="0.25">
      <c r="A437">
        <v>2024</v>
      </c>
      <c r="B437" t="s">
        <v>220</v>
      </c>
      <c r="C437" t="str">
        <f>IF(COUNTIF('Rookies 22-25'!$B$126:$B$197,E437)&gt;0,"(R)","No")</f>
        <v>(R)</v>
      </c>
      <c r="D437">
        <v>71</v>
      </c>
      <c r="E437" t="s">
        <v>279</v>
      </c>
      <c r="F437" t="s">
        <v>82</v>
      </c>
      <c r="G437">
        <f>VLOOKUP(E437,'24 Draft ADP'!$B$3:$D$436,3,FALSE)</f>
        <v>349</v>
      </c>
      <c r="H437">
        <v>14</v>
      </c>
      <c r="I437" t="s">
        <v>33</v>
      </c>
      <c r="J437" t="s">
        <v>33</v>
      </c>
      <c r="K437">
        <v>0.6</v>
      </c>
      <c r="L437" t="s">
        <v>33</v>
      </c>
      <c r="M437">
        <v>0</v>
      </c>
      <c r="N437">
        <v>0</v>
      </c>
      <c r="O437">
        <v>1.2</v>
      </c>
      <c r="P437">
        <v>0</v>
      </c>
      <c r="Q437">
        <v>0</v>
      </c>
      <c r="R437">
        <v>2</v>
      </c>
      <c r="S437">
        <v>0</v>
      </c>
      <c r="T437" t="s">
        <v>22</v>
      </c>
      <c r="U437">
        <v>12.2</v>
      </c>
      <c r="V437">
        <v>15.7</v>
      </c>
      <c r="W437">
        <v>3.6</v>
      </c>
      <c r="X437">
        <v>1.2</v>
      </c>
      <c r="Y437">
        <v>5.3</v>
      </c>
      <c r="Z437">
        <v>4.0999999999999996</v>
      </c>
      <c r="AA437">
        <v>3.3</v>
      </c>
      <c r="AB437">
        <f t="shared" si="12"/>
        <v>41.8</v>
      </c>
      <c r="AC437">
        <v>45.9</v>
      </c>
      <c r="AD437">
        <v>20</v>
      </c>
      <c r="AE437">
        <f t="shared" si="13"/>
        <v>2</v>
      </c>
      <c r="AF437">
        <v>1</v>
      </c>
      <c r="AG437">
        <v>0</v>
      </c>
      <c r="AH437">
        <v>0</v>
      </c>
      <c r="AI437">
        <v>0</v>
      </c>
      <c r="AJ437">
        <v>0.11764705882352941</v>
      </c>
      <c r="AK437">
        <v>7.1428571428571425E-2</v>
      </c>
      <c r="AL437">
        <v>0</v>
      </c>
      <c r="AM437">
        <v>0</v>
      </c>
      <c r="AN437">
        <v>0</v>
      </c>
    </row>
    <row r="438" spans="1:40" x14ac:dyDescent="0.25">
      <c r="A438">
        <v>2024</v>
      </c>
      <c r="B438" t="s">
        <v>220</v>
      </c>
      <c r="C438" t="str">
        <f>IF(COUNTIF('Rookies 22-25'!$B$126:$B$197,E438)&gt;0,"(R)","No")</f>
        <v>No</v>
      </c>
      <c r="D438">
        <v>72</v>
      </c>
      <c r="E438" t="s">
        <v>398</v>
      </c>
      <c r="F438" t="s">
        <v>28</v>
      </c>
      <c r="G438">
        <f>VLOOKUP(E438,'24 Draft ADP'!$B$3:$D$436,3,FALSE)</f>
        <v>302</v>
      </c>
      <c r="H438">
        <v>16</v>
      </c>
      <c r="I438" t="s">
        <v>33</v>
      </c>
      <c r="J438">
        <v>1.2</v>
      </c>
      <c r="K438">
        <v>0</v>
      </c>
      <c r="L438">
        <v>0</v>
      </c>
      <c r="M438">
        <v>8.6999999999999993</v>
      </c>
      <c r="N438">
        <v>10.5</v>
      </c>
      <c r="O438">
        <v>11.1</v>
      </c>
      <c r="P438">
        <v>0</v>
      </c>
      <c r="Q438">
        <v>0</v>
      </c>
      <c r="R438">
        <v>8.9</v>
      </c>
      <c r="S438">
        <v>0</v>
      </c>
      <c r="T438">
        <v>0</v>
      </c>
      <c r="U438">
        <v>0</v>
      </c>
      <c r="V438" t="s">
        <v>22</v>
      </c>
      <c r="W438">
        <v>0.3</v>
      </c>
      <c r="X438">
        <v>2.2000000000000002</v>
      </c>
      <c r="Y438">
        <v>0</v>
      </c>
      <c r="Z438">
        <v>1.5</v>
      </c>
      <c r="AA438">
        <v>2.8</v>
      </c>
      <c r="AB438">
        <f t="shared" si="12"/>
        <v>42.9</v>
      </c>
      <c r="AC438">
        <v>44.4</v>
      </c>
      <c r="AD438">
        <v>20</v>
      </c>
      <c r="AE438">
        <f t="shared" si="13"/>
        <v>2</v>
      </c>
      <c r="AF438">
        <v>0</v>
      </c>
      <c r="AG438">
        <v>0</v>
      </c>
      <c r="AH438">
        <v>0</v>
      </c>
      <c r="AI438">
        <v>0</v>
      </c>
      <c r="AJ438">
        <v>0.11764705882352941</v>
      </c>
      <c r="AK438">
        <v>0</v>
      </c>
      <c r="AL438">
        <v>0</v>
      </c>
      <c r="AM438">
        <v>0</v>
      </c>
      <c r="AN438">
        <v>0</v>
      </c>
    </row>
    <row r="439" spans="1:40" x14ac:dyDescent="0.25">
      <c r="A439">
        <v>2024</v>
      </c>
      <c r="B439" t="s">
        <v>220</v>
      </c>
      <c r="C439" t="str">
        <f>IF(COUNTIF('Rookies 22-25'!$B$126:$B$197,E439)&gt;0,"(R)","No")</f>
        <v>No</v>
      </c>
      <c r="D439">
        <v>73</v>
      </c>
      <c r="E439" t="s">
        <v>399</v>
      </c>
      <c r="F439" t="s">
        <v>41</v>
      </c>
      <c r="G439">
        <f>VLOOKUP(E439,'24 Draft ADP'!$B$3:$D$436,3,FALSE)</f>
        <v>220</v>
      </c>
      <c r="H439">
        <v>11</v>
      </c>
      <c r="I439">
        <v>1.6</v>
      </c>
      <c r="J439" t="s">
        <v>33</v>
      </c>
      <c r="K439" t="s">
        <v>33</v>
      </c>
      <c r="L439" t="s">
        <v>33</v>
      </c>
      <c r="M439" t="s">
        <v>33</v>
      </c>
      <c r="N439">
        <v>14.7</v>
      </c>
      <c r="O439">
        <v>0.2</v>
      </c>
      <c r="P439">
        <v>0.4</v>
      </c>
      <c r="Q439" t="s">
        <v>33</v>
      </c>
      <c r="R439" t="s">
        <v>33</v>
      </c>
      <c r="S439">
        <v>0.2</v>
      </c>
      <c r="T439">
        <v>0</v>
      </c>
      <c r="U439">
        <v>1.1000000000000001</v>
      </c>
      <c r="V439" t="s">
        <v>22</v>
      </c>
      <c r="W439">
        <v>0</v>
      </c>
      <c r="X439">
        <v>0.4</v>
      </c>
      <c r="Y439">
        <v>1.3</v>
      </c>
      <c r="Z439">
        <v>23.6</v>
      </c>
      <c r="AA439">
        <v>4</v>
      </c>
      <c r="AB439">
        <f t="shared" si="12"/>
        <v>19.899999999999999</v>
      </c>
      <c r="AC439">
        <v>43.5</v>
      </c>
      <c r="AD439">
        <v>18</v>
      </c>
      <c r="AE439">
        <f t="shared" si="13"/>
        <v>1</v>
      </c>
      <c r="AF439">
        <v>1</v>
      </c>
      <c r="AG439">
        <v>1</v>
      </c>
      <c r="AH439">
        <v>0</v>
      </c>
      <c r="AI439">
        <v>0</v>
      </c>
      <c r="AJ439">
        <v>0.11764705882352941</v>
      </c>
      <c r="AK439">
        <v>9.0909090909090912E-2</v>
      </c>
      <c r="AL439">
        <v>9.0909090909090912E-2</v>
      </c>
      <c r="AM439">
        <v>0</v>
      </c>
      <c r="AN439">
        <v>0</v>
      </c>
    </row>
    <row r="440" spans="1:40" x14ac:dyDescent="0.25">
      <c r="A440">
        <v>2024</v>
      </c>
      <c r="B440" t="s">
        <v>220</v>
      </c>
      <c r="C440" t="str">
        <f>IF(COUNTIF('Rookies 22-25'!$B$126:$B$197,E440)&gt;0,"(R)","No")</f>
        <v>No</v>
      </c>
      <c r="D440">
        <v>74</v>
      </c>
      <c r="E440" t="s">
        <v>301</v>
      </c>
      <c r="F440" t="s">
        <v>69</v>
      </c>
      <c r="G440">
        <v>300</v>
      </c>
      <c r="H440">
        <v>13</v>
      </c>
      <c r="I440" t="s">
        <v>33</v>
      </c>
      <c r="J440" t="s">
        <v>33</v>
      </c>
      <c r="K440">
        <v>0.3</v>
      </c>
      <c r="L440" t="s">
        <v>33</v>
      </c>
      <c r="M440" t="s">
        <v>33</v>
      </c>
      <c r="N440">
        <v>2.1</v>
      </c>
      <c r="O440">
        <v>0</v>
      </c>
      <c r="P440">
        <v>2.7</v>
      </c>
      <c r="Q440">
        <v>7.1</v>
      </c>
      <c r="R440" t="s">
        <v>22</v>
      </c>
      <c r="S440">
        <v>3.3</v>
      </c>
      <c r="T440">
        <v>3.6</v>
      </c>
      <c r="U440">
        <v>4.9000000000000004</v>
      </c>
      <c r="V440">
        <v>0.3</v>
      </c>
      <c r="W440">
        <v>2.5</v>
      </c>
      <c r="X440">
        <v>9.5</v>
      </c>
      <c r="Y440">
        <v>0</v>
      </c>
      <c r="Z440">
        <v>5.9</v>
      </c>
      <c r="AA440">
        <v>3.2</v>
      </c>
      <c r="AB440">
        <f t="shared" si="12"/>
        <v>36.300000000000004</v>
      </c>
      <c r="AC440">
        <v>42.2</v>
      </c>
      <c r="AD440">
        <v>20</v>
      </c>
      <c r="AE440">
        <f t="shared" si="13"/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</row>
    <row r="441" spans="1:40" x14ac:dyDescent="0.25">
      <c r="A441">
        <v>2024</v>
      </c>
      <c r="B441" t="s">
        <v>220</v>
      </c>
      <c r="C441" t="str">
        <f>IF(COUNTIF('Rookies 22-25'!$B$126:$B$197,E441)&gt;0,"(R)","No")</f>
        <v>No</v>
      </c>
      <c r="D441">
        <v>75</v>
      </c>
      <c r="E441" t="s">
        <v>400</v>
      </c>
      <c r="F441" t="s">
        <v>71</v>
      </c>
      <c r="G441">
        <f>VLOOKUP(E441,'24 Draft ADP'!$B$3:$D$436,3,FALSE)</f>
        <v>265</v>
      </c>
      <c r="H441">
        <v>13</v>
      </c>
      <c r="I441">
        <v>1.3</v>
      </c>
      <c r="J441">
        <v>0.3</v>
      </c>
      <c r="K441">
        <v>7.8</v>
      </c>
      <c r="L441">
        <v>8.1999999999999993</v>
      </c>
      <c r="M441" t="s">
        <v>33</v>
      </c>
      <c r="N441" t="s">
        <v>33</v>
      </c>
      <c r="O441" t="s">
        <v>33</v>
      </c>
      <c r="P441" t="s">
        <v>33</v>
      </c>
      <c r="Q441" t="s">
        <v>22</v>
      </c>
      <c r="R441">
        <v>1.4</v>
      </c>
      <c r="S441">
        <v>1</v>
      </c>
      <c r="T441">
        <v>-0.2</v>
      </c>
      <c r="U441">
        <v>8.3000000000000007</v>
      </c>
      <c r="V441">
        <v>-0.9</v>
      </c>
      <c r="W441">
        <v>1.8</v>
      </c>
      <c r="X441">
        <v>8.1999999999999993</v>
      </c>
      <c r="Y441">
        <v>0.2</v>
      </c>
      <c r="Z441">
        <v>0.1</v>
      </c>
      <c r="AA441">
        <v>2.9</v>
      </c>
      <c r="AB441">
        <f t="shared" si="12"/>
        <v>37.4</v>
      </c>
      <c r="AC441">
        <v>37.5</v>
      </c>
      <c r="AD441">
        <v>20</v>
      </c>
      <c r="AE441">
        <f t="shared" si="13"/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</row>
    <row r="442" spans="1:40" x14ac:dyDescent="0.25">
      <c r="A442">
        <v>2024</v>
      </c>
      <c r="B442" t="s">
        <v>220</v>
      </c>
      <c r="C442" t="str">
        <f>IF(COUNTIF('Rookies 22-25'!$B$126:$B$197,E442)&gt;0,"(R)","No")</f>
        <v>No</v>
      </c>
      <c r="D442">
        <v>76</v>
      </c>
      <c r="E442" t="s">
        <v>401</v>
      </c>
      <c r="F442" t="s">
        <v>37</v>
      </c>
      <c r="G442">
        <f>VLOOKUP(E442,'24 Draft ADP'!$B$3:$D$436,3,FALSE)</f>
        <v>225</v>
      </c>
      <c r="H442">
        <v>14</v>
      </c>
      <c r="I442">
        <v>12.1</v>
      </c>
      <c r="J442">
        <v>3.9</v>
      </c>
      <c r="K442">
        <v>0.9</v>
      </c>
      <c r="L442">
        <v>3.9</v>
      </c>
      <c r="M442">
        <v>0.9</v>
      </c>
      <c r="N442">
        <v>0.7</v>
      </c>
      <c r="O442">
        <v>1.7</v>
      </c>
      <c r="P442">
        <v>0.4</v>
      </c>
      <c r="Q442" t="s">
        <v>33</v>
      </c>
      <c r="R442" t="s">
        <v>33</v>
      </c>
      <c r="S442" t="s">
        <v>33</v>
      </c>
      <c r="T442" t="s">
        <v>22</v>
      </c>
      <c r="U442">
        <v>1.7</v>
      </c>
      <c r="V442">
        <v>3.5</v>
      </c>
      <c r="W442">
        <v>0</v>
      </c>
      <c r="X442">
        <v>0.8</v>
      </c>
      <c r="Y442">
        <v>3.4</v>
      </c>
      <c r="Z442">
        <v>3.2</v>
      </c>
      <c r="AA442">
        <v>2.7</v>
      </c>
      <c r="AB442">
        <f t="shared" si="12"/>
        <v>33.9</v>
      </c>
      <c r="AC442">
        <v>37.1</v>
      </c>
      <c r="AD442">
        <v>20</v>
      </c>
      <c r="AE442">
        <f t="shared" si="13"/>
        <v>1</v>
      </c>
      <c r="AF442">
        <v>0</v>
      </c>
      <c r="AG442">
        <v>0</v>
      </c>
      <c r="AH442">
        <v>0</v>
      </c>
      <c r="AI442">
        <v>0</v>
      </c>
      <c r="AJ442">
        <v>5.8823529411764705E-2</v>
      </c>
      <c r="AK442">
        <v>0</v>
      </c>
      <c r="AL442">
        <v>0</v>
      </c>
      <c r="AM442">
        <v>0</v>
      </c>
      <c r="AN442">
        <v>0</v>
      </c>
    </row>
    <row r="443" spans="1:40" x14ac:dyDescent="0.25">
      <c r="A443">
        <v>2024</v>
      </c>
      <c r="B443" t="s">
        <v>220</v>
      </c>
      <c r="C443" t="str">
        <f>IF(COUNTIF('Rookies 22-25'!$B$126:$B$197,E443)&gt;0,"(R)","No")</f>
        <v>No</v>
      </c>
      <c r="D443">
        <v>77</v>
      </c>
      <c r="E443" t="s">
        <v>402</v>
      </c>
      <c r="F443" t="s">
        <v>67</v>
      </c>
      <c r="G443">
        <f>VLOOKUP(E443,'24 Draft ADP'!$B$3:$D$436,3,FALSE)</f>
        <v>309</v>
      </c>
      <c r="H443">
        <v>13</v>
      </c>
      <c r="I443" t="s">
        <v>33</v>
      </c>
      <c r="J443">
        <v>2.6</v>
      </c>
      <c r="K443">
        <v>1.2</v>
      </c>
      <c r="L443">
        <v>0</v>
      </c>
      <c r="M443">
        <v>3</v>
      </c>
      <c r="N443">
        <v>6.4</v>
      </c>
      <c r="O443">
        <v>10</v>
      </c>
      <c r="P443">
        <v>3.3</v>
      </c>
      <c r="Q443">
        <v>0.6</v>
      </c>
      <c r="R443">
        <v>0</v>
      </c>
      <c r="S443">
        <v>0.3</v>
      </c>
      <c r="T443" t="s">
        <v>22</v>
      </c>
      <c r="U443" t="s">
        <v>33</v>
      </c>
      <c r="V443" t="s">
        <v>33</v>
      </c>
      <c r="W443" t="s">
        <v>33</v>
      </c>
      <c r="X443">
        <v>1.8</v>
      </c>
      <c r="Y443">
        <v>3.1</v>
      </c>
      <c r="Z443">
        <v>3.6</v>
      </c>
      <c r="AA443">
        <v>2.8</v>
      </c>
      <c r="AB443">
        <f t="shared" si="12"/>
        <v>32.299999999999997</v>
      </c>
      <c r="AC443">
        <v>35.9</v>
      </c>
      <c r="AD443">
        <v>20</v>
      </c>
      <c r="AE443">
        <f t="shared" si="13"/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</row>
    <row r="444" spans="1:40" x14ac:dyDescent="0.25">
      <c r="A444">
        <v>2024</v>
      </c>
      <c r="B444" t="s">
        <v>220</v>
      </c>
      <c r="C444" t="str">
        <f>IF(COUNTIF('Rookies 22-25'!$B$126:$B$197,E444)&gt;0,"(R)","No")</f>
        <v>No</v>
      </c>
      <c r="D444">
        <v>78</v>
      </c>
      <c r="E444" t="s">
        <v>268</v>
      </c>
      <c r="F444" t="s">
        <v>21</v>
      </c>
      <c r="G444">
        <f>VLOOKUP(E444,'24 Draft ADP'!$B$3:$D$436,3,FALSE)</f>
        <v>394</v>
      </c>
      <c r="H444">
        <v>4</v>
      </c>
      <c r="I444" t="s">
        <v>33</v>
      </c>
      <c r="J444" t="s">
        <v>33</v>
      </c>
      <c r="K444" t="s">
        <v>33</v>
      </c>
      <c r="L444" t="s">
        <v>33</v>
      </c>
      <c r="M444" t="s">
        <v>33</v>
      </c>
      <c r="N444" t="s">
        <v>33</v>
      </c>
      <c r="O444" t="s">
        <v>33</v>
      </c>
      <c r="P444" t="s">
        <v>33</v>
      </c>
      <c r="Q444" t="s">
        <v>33</v>
      </c>
      <c r="R444" t="s">
        <v>33</v>
      </c>
      <c r="S444" t="s">
        <v>22</v>
      </c>
      <c r="T444" t="s">
        <v>33</v>
      </c>
      <c r="U444" t="s">
        <v>33</v>
      </c>
      <c r="V444">
        <v>0</v>
      </c>
      <c r="W444" t="s">
        <v>33</v>
      </c>
      <c r="X444">
        <v>9.8000000000000007</v>
      </c>
      <c r="Y444">
        <v>10.1</v>
      </c>
      <c r="Z444">
        <v>15.9</v>
      </c>
      <c r="AA444">
        <v>9</v>
      </c>
      <c r="AB444">
        <f t="shared" si="12"/>
        <v>19.899999999999999</v>
      </c>
      <c r="AC444">
        <v>35.799999999999997</v>
      </c>
      <c r="AD444">
        <v>20</v>
      </c>
      <c r="AE444">
        <f t="shared" si="13"/>
        <v>1</v>
      </c>
      <c r="AF444">
        <v>1</v>
      </c>
      <c r="AG444">
        <v>0</v>
      </c>
      <c r="AH444">
        <v>0</v>
      </c>
      <c r="AI444">
        <v>0</v>
      </c>
      <c r="AJ444">
        <v>0.11764705882352941</v>
      </c>
      <c r="AK444">
        <v>0.25</v>
      </c>
      <c r="AL444">
        <v>0</v>
      </c>
      <c r="AM444">
        <v>0</v>
      </c>
      <c r="AN444">
        <v>0</v>
      </c>
    </row>
    <row r="445" spans="1:40" x14ac:dyDescent="0.25">
      <c r="A445">
        <v>2024</v>
      </c>
      <c r="B445" t="s">
        <v>220</v>
      </c>
      <c r="C445" t="str">
        <f>IF(COUNTIF('Rookies 22-25'!$B$126:$B$197,E445)&gt;0,"(R)","No")</f>
        <v>No</v>
      </c>
      <c r="D445">
        <v>79</v>
      </c>
      <c r="E445" t="s">
        <v>403</v>
      </c>
      <c r="F445" t="s">
        <v>32</v>
      </c>
      <c r="G445">
        <f>VLOOKUP(E445,'24 Draft ADP'!$B$3:$D$436,3,FALSE)</f>
        <v>314</v>
      </c>
      <c r="H445">
        <v>13</v>
      </c>
      <c r="I445">
        <v>5</v>
      </c>
      <c r="J445">
        <v>1.5</v>
      </c>
      <c r="K445" t="s">
        <v>33</v>
      </c>
      <c r="L445" t="s">
        <v>33</v>
      </c>
      <c r="M445">
        <v>0.2</v>
      </c>
      <c r="N445">
        <v>9.8000000000000007</v>
      </c>
      <c r="O445">
        <v>2.5</v>
      </c>
      <c r="P445">
        <v>1.3</v>
      </c>
      <c r="Q445">
        <v>0.8</v>
      </c>
      <c r="R445" t="s">
        <v>22</v>
      </c>
      <c r="S445">
        <v>0.5</v>
      </c>
      <c r="T445" t="s">
        <v>33</v>
      </c>
      <c r="U445">
        <v>0</v>
      </c>
      <c r="V445">
        <v>2.9</v>
      </c>
      <c r="W445">
        <v>0</v>
      </c>
      <c r="X445">
        <v>2.9</v>
      </c>
      <c r="Y445">
        <v>7.8</v>
      </c>
      <c r="Z445">
        <v>0</v>
      </c>
      <c r="AA445">
        <v>2.7</v>
      </c>
      <c r="AB445">
        <f t="shared" si="12"/>
        <v>35.200000000000003</v>
      </c>
      <c r="AC445">
        <v>35.200000000000003</v>
      </c>
      <c r="AD445">
        <v>20</v>
      </c>
      <c r="AE445">
        <f t="shared" si="13"/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</row>
    <row r="446" spans="1:40" x14ac:dyDescent="0.25">
      <c r="A446">
        <v>2024</v>
      </c>
      <c r="B446" t="s">
        <v>220</v>
      </c>
      <c r="C446" t="str">
        <f>IF(COUNTIF('Rookies 22-25'!$B$126:$B$197,E446)&gt;0,"(R)","No")</f>
        <v>(R)</v>
      </c>
      <c r="D446">
        <v>80</v>
      </c>
      <c r="E446" t="s">
        <v>260</v>
      </c>
      <c r="F446" t="s">
        <v>55</v>
      </c>
      <c r="G446">
        <f>VLOOKUP(E446,'24 Draft ADP'!$B$3:$D$436,3,FALSE)</f>
        <v>116</v>
      </c>
      <c r="H446">
        <v>15</v>
      </c>
      <c r="I446">
        <v>0</v>
      </c>
      <c r="J446">
        <v>2.8</v>
      </c>
      <c r="K446" t="s">
        <v>33</v>
      </c>
      <c r="L446" t="s">
        <v>33</v>
      </c>
      <c r="M446">
        <v>4.3</v>
      </c>
      <c r="N446" t="s">
        <v>22</v>
      </c>
      <c r="O446">
        <v>1.1000000000000001</v>
      </c>
      <c r="P446">
        <v>2.8</v>
      </c>
      <c r="Q446">
        <v>-0.1</v>
      </c>
      <c r="R446">
        <v>2.5</v>
      </c>
      <c r="S446">
        <v>3.8</v>
      </c>
      <c r="T446">
        <v>0.5</v>
      </c>
      <c r="U446">
        <v>4.2</v>
      </c>
      <c r="V446">
        <v>3.4</v>
      </c>
      <c r="W446">
        <v>4</v>
      </c>
      <c r="X446">
        <v>1.4</v>
      </c>
      <c r="Y446">
        <v>-0.4</v>
      </c>
      <c r="Z446">
        <v>3.2</v>
      </c>
      <c r="AA446">
        <v>2.2000000000000002</v>
      </c>
      <c r="AB446">
        <f t="shared" si="12"/>
        <v>30.3</v>
      </c>
      <c r="AC446">
        <v>33.5</v>
      </c>
      <c r="AD446">
        <v>10</v>
      </c>
      <c r="AE446">
        <f t="shared" si="13"/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</row>
    <row r="447" spans="1:40" x14ac:dyDescent="0.25">
      <c r="A447">
        <v>2024</v>
      </c>
      <c r="B447" t="s">
        <v>220</v>
      </c>
      <c r="C447" t="str">
        <f>IF(COUNTIF('Rookies 22-25'!$B$126:$B$197,E447)&gt;0,"(R)","No")</f>
        <v>No</v>
      </c>
      <c r="D447">
        <v>81</v>
      </c>
      <c r="E447" t="s">
        <v>326</v>
      </c>
      <c r="F447" t="s">
        <v>51</v>
      </c>
      <c r="G447">
        <f>VLOOKUP(E447,'24 Draft ADP'!$B$3:$D$436,3,FALSE)</f>
        <v>412</v>
      </c>
      <c r="H447">
        <v>15</v>
      </c>
      <c r="I447" t="s">
        <v>33</v>
      </c>
      <c r="J447">
        <v>1.1000000000000001</v>
      </c>
      <c r="K447" t="s">
        <v>33</v>
      </c>
      <c r="L447">
        <v>0</v>
      </c>
      <c r="M447" t="s">
        <v>22</v>
      </c>
      <c r="N447">
        <v>0.5</v>
      </c>
      <c r="O447">
        <v>0.2</v>
      </c>
      <c r="P447">
        <v>0</v>
      </c>
      <c r="Q447">
        <v>0</v>
      </c>
      <c r="R447">
        <v>6.4</v>
      </c>
      <c r="S447">
        <v>0.1</v>
      </c>
      <c r="T447">
        <v>0.3</v>
      </c>
      <c r="U447">
        <v>-2</v>
      </c>
      <c r="V447">
        <v>0</v>
      </c>
      <c r="W447">
        <v>0</v>
      </c>
      <c r="X447">
        <v>11.9</v>
      </c>
      <c r="Y447">
        <v>5</v>
      </c>
      <c r="Z447">
        <v>9.3000000000000007</v>
      </c>
      <c r="AA447">
        <v>2.2000000000000002</v>
      </c>
      <c r="AB447">
        <f t="shared" si="12"/>
        <v>23.499999999999996</v>
      </c>
      <c r="AC447">
        <v>32.799999999999997</v>
      </c>
      <c r="AD447">
        <v>20</v>
      </c>
      <c r="AE447">
        <f t="shared" si="13"/>
        <v>1</v>
      </c>
      <c r="AF447">
        <v>0</v>
      </c>
      <c r="AG447">
        <v>0</v>
      </c>
      <c r="AH447">
        <v>0</v>
      </c>
      <c r="AI447">
        <v>0</v>
      </c>
      <c r="AJ447">
        <v>5.8823529411764705E-2</v>
      </c>
      <c r="AK447">
        <v>0</v>
      </c>
      <c r="AL447">
        <v>0</v>
      </c>
      <c r="AM447">
        <v>0</v>
      </c>
      <c r="AN447">
        <v>0</v>
      </c>
    </row>
    <row r="448" spans="1:40" x14ac:dyDescent="0.25">
      <c r="A448">
        <v>2024</v>
      </c>
      <c r="B448" t="s">
        <v>220</v>
      </c>
      <c r="C448" t="str">
        <f>IF(COUNTIF('Rookies 22-25'!$B$126:$B$197,E448)&gt;0,"(R)","No")</f>
        <v>(R)</v>
      </c>
      <c r="D448">
        <v>82</v>
      </c>
      <c r="E448" t="s">
        <v>262</v>
      </c>
      <c r="F448" t="s">
        <v>51</v>
      </c>
      <c r="G448">
        <v>300</v>
      </c>
      <c r="H448">
        <v>10</v>
      </c>
      <c r="I448" t="s">
        <v>33</v>
      </c>
      <c r="J448" t="s">
        <v>33</v>
      </c>
      <c r="K448" t="s">
        <v>33</v>
      </c>
      <c r="L448" t="s">
        <v>33</v>
      </c>
      <c r="M448" t="s">
        <v>22</v>
      </c>
      <c r="N448">
        <v>13.1</v>
      </c>
      <c r="O448">
        <v>2.9</v>
      </c>
      <c r="P448">
        <v>1.6</v>
      </c>
      <c r="Q448">
        <v>0.7</v>
      </c>
      <c r="R448" t="s">
        <v>33</v>
      </c>
      <c r="S448" t="s">
        <v>33</v>
      </c>
      <c r="T448" t="s">
        <v>33</v>
      </c>
      <c r="U448">
        <v>2</v>
      </c>
      <c r="V448">
        <v>3.4</v>
      </c>
      <c r="W448">
        <v>4.2</v>
      </c>
      <c r="X448">
        <v>2.4</v>
      </c>
      <c r="Y448">
        <v>2.4</v>
      </c>
      <c r="Z448">
        <v>0</v>
      </c>
      <c r="AA448">
        <v>3.3</v>
      </c>
      <c r="AB448">
        <f t="shared" si="12"/>
        <v>32.700000000000003</v>
      </c>
      <c r="AC448">
        <v>32.700000000000003</v>
      </c>
      <c r="AD448">
        <v>14</v>
      </c>
      <c r="AE448">
        <f t="shared" si="13"/>
        <v>1</v>
      </c>
      <c r="AF448">
        <v>0</v>
      </c>
      <c r="AG448">
        <v>0</v>
      </c>
      <c r="AH448">
        <v>0</v>
      </c>
      <c r="AI448">
        <v>0</v>
      </c>
      <c r="AJ448">
        <v>5.8823529411764705E-2</v>
      </c>
      <c r="AK448">
        <v>0</v>
      </c>
      <c r="AL448">
        <v>0</v>
      </c>
      <c r="AM448">
        <v>0</v>
      </c>
      <c r="AN448">
        <v>0</v>
      </c>
    </row>
    <row r="449" spans="1:40" x14ac:dyDescent="0.25">
      <c r="A449">
        <v>2024</v>
      </c>
      <c r="B449" t="s">
        <v>220</v>
      </c>
      <c r="C449" t="str">
        <f>IF(COUNTIF('Rookies 22-25'!$B$126:$B$197,E449)&gt;0,"(R)","No")</f>
        <v>No</v>
      </c>
      <c r="D449">
        <v>83</v>
      </c>
      <c r="E449" t="s">
        <v>404</v>
      </c>
      <c r="F449" t="s">
        <v>32</v>
      </c>
      <c r="G449">
        <f>VLOOKUP(E449,'24 Draft ADP'!$B$3:$D$436,3,FALSE)</f>
        <v>235</v>
      </c>
      <c r="H449">
        <v>11</v>
      </c>
      <c r="I449">
        <v>0</v>
      </c>
      <c r="J449">
        <v>6.1</v>
      </c>
      <c r="K449">
        <v>0.5</v>
      </c>
      <c r="L449">
        <v>1.7</v>
      </c>
      <c r="M449">
        <v>7</v>
      </c>
      <c r="N449">
        <v>6.7</v>
      </c>
      <c r="O449">
        <v>0.5</v>
      </c>
      <c r="P449">
        <v>2.6</v>
      </c>
      <c r="Q449" t="s">
        <v>33</v>
      </c>
      <c r="R449" t="s">
        <v>22</v>
      </c>
      <c r="S449" t="s">
        <v>33</v>
      </c>
      <c r="T449" t="s">
        <v>33</v>
      </c>
      <c r="U449" t="s">
        <v>33</v>
      </c>
      <c r="V449" t="s">
        <v>33</v>
      </c>
      <c r="W449" t="s">
        <v>33</v>
      </c>
      <c r="X449">
        <v>-1.9</v>
      </c>
      <c r="Y449">
        <v>4.9000000000000004</v>
      </c>
      <c r="Z449">
        <v>4.5</v>
      </c>
      <c r="AA449">
        <v>3</v>
      </c>
      <c r="AB449">
        <f t="shared" si="12"/>
        <v>28.1</v>
      </c>
      <c r="AC449">
        <v>32.6</v>
      </c>
      <c r="AD449">
        <v>20</v>
      </c>
      <c r="AE449">
        <f t="shared" si="13"/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</row>
    <row r="450" spans="1:40" x14ac:dyDescent="0.25">
      <c r="A450">
        <v>2024</v>
      </c>
      <c r="B450" t="s">
        <v>220</v>
      </c>
      <c r="C450" t="str">
        <f>IF(COUNTIF('Rookies 22-25'!$B$126:$B$197,E450)&gt;0,"(R)","No")</f>
        <v>No</v>
      </c>
      <c r="D450">
        <v>84</v>
      </c>
      <c r="E450" t="s">
        <v>405</v>
      </c>
      <c r="F450" t="s">
        <v>89</v>
      </c>
      <c r="G450">
        <f>VLOOKUP(E450,'24 Draft ADP'!$B$3:$D$436,3,FALSE)</f>
        <v>167</v>
      </c>
      <c r="H450">
        <v>13</v>
      </c>
      <c r="I450">
        <v>0.4</v>
      </c>
      <c r="J450">
        <v>8.6999999999999993</v>
      </c>
      <c r="K450">
        <v>0.9</v>
      </c>
      <c r="L450" t="s">
        <v>33</v>
      </c>
      <c r="M450">
        <v>0</v>
      </c>
      <c r="N450">
        <v>0</v>
      </c>
      <c r="O450" t="s">
        <v>33</v>
      </c>
      <c r="P450" t="s">
        <v>33</v>
      </c>
      <c r="Q450" t="s">
        <v>33</v>
      </c>
      <c r="R450">
        <v>0</v>
      </c>
      <c r="S450">
        <v>0</v>
      </c>
      <c r="T450" t="s">
        <v>22</v>
      </c>
      <c r="U450">
        <v>1.4</v>
      </c>
      <c r="V450">
        <v>2.1</v>
      </c>
      <c r="W450">
        <v>0.4</v>
      </c>
      <c r="X450">
        <v>0</v>
      </c>
      <c r="Y450">
        <v>2.2999999999999998</v>
      </c>
      <c r="Z450">
        <v>15.3</v>
      </c>
      <c r="AA450">
        <v>2.4</v>
      </c>
      <c r="AB450">
        <f t="shared" si="12"/>
        <v>16.2</v>
      </c>
      <c r="AC450">
        <v>31.5</v>
      </c>
      <c r="AD450">
        <v>14</v>
      </c>
      <c r="AE450">
        <f t="shared" si="13"/>
        <v>0</v>
      </c>
      <c r="AF450">
        <v>1</v>
      </c>
      <c r="AG450">
        <v>0</v>
      </c>
      <c r="AH450">
        <v>0</v>
      </c>
      <c r="AI450">
        <v>0</v>
      </c>
      <c r="AJ450">
        <v>5.8823529411764705E-2</v>
      </c>
      <c r="AK450">
        <v>7.6923076923076927E-2</v>
      </c>
      <c r="AL450">
        <v>0</v>
      </c>
      <c r="AM450">
        <v>0</v>
      </c>
      <c r="AN450">
        <v>0</v>
      </c>
    </row>
    <row r="451" spans="1:40" x14ac:dyDescent="0.25">
      <c r="A451">
        <v>2024</v>
      </c>
      <c r="B451" t="s">
        <v>220</v>
      </c>
      <c r="C451" t="str">
        <f>IF(COUNTIF('Rookies 22-25'!$B$126:$B$197,E451)&gt;0,"(R)","No")</f>
        <v>No</v>
      </c>
      <c r="D451">
        <v>84</v>
      </c>
      <c r="E451" t="s">
        <v>271</v>
      </c>
      <c r="F451" t="s">
        <v>59</v>
      </c>
      <c r="G451">
        <v>300</v>
      </c>
      <c r="H451">
        <v>8</v>
      </c>
      <c r="I451">
        <v>0</v>
      </c>
      <c r="J451" t="s">
        <v>33</v>
      </c>
      <c r="K451" t="s">
        <v>33</v>
      </c>
      <c r="L451" t="s">
        <v>33</v>
      </c>
      <c r="M451" t="s">
        <v>33</v>
      </c>
      <c r="N451" t="s">
        <v>33</v>
      </c>
      <c r="O451" t="s">
        <v>33</v>
      </c>
      <c r="P451" t="s">
        <v>33</v>
      </c>
      <c r="Q451">
        <v>5.2</v>
      </c>
      <c r="R451">
        <v>0.4</v>
      </c>
      <c r="S451" t="s">
        <v>33</v>
      </c>
      <c r="T451" t="s">
        <v>33</v>
      </c>
      <c r="U451">
        <v>15.4</v>
      </c>
      <c r="V451" t="s">
        <v>22</v>
      </c>
      <c r="W451">
        <v>0.2</v>
      </c>
      <c r="X451">
        <v>0.5</v>
      </c>
      <c r="Y451">
        <v>9.8000000000000007</v>
      </c>
      <c r="Z451">
        <v>0</v>
      </c>
      <c r="AA451">
        <v>3.9</v>
      </c>
      <c r="AB451">
        <f t="shared" ref="AB451:AB514" si="14">AC451-Z451</f>
        <v>31.5</v>
      </c>
      <c r="AC451">
        <v>31.5</v>
      </c>
      <c r="AD451">
        <v>20</v>
      </c>
      <c r="AE451">
        <f t="shared" ref="AE451:AE514" si="15">COUNTIF(I451:Y451,"&gt;10")</f>
        <v>1</v>
      </c>
      <c r="AF451">
        <v>1</v>
      </c>
      <c r="AG451">
        <v>0</v>
      </c>
      <c r="AH451">
        <v>0</v>
      </c>
      <c r="AI451">
        <v>0</v>
      </c>
      <c r="AJ451">
        <v>5.8823529411764705E-2</v>
      </c>
      <c r="AK451">
        <v>0.125</v>
      </c>
      <c r="AL451">
        <v>0</v>
      </c>
      <c r="AM451">
        <v>0</v>
      </c>
      <c r="AN451">
        <v>0</v>
      </c>
    </row>
    <row r="452" spans="1:40" x14ac:dyDescent="0.25">
      <c r="A452">
        <v>2024</v>
      </c>
      <c r="B452" t="s">
        <v>220</v>
      </c>
      <c r="C452" t="str">
        <f>IF(COUNTIF('Rookies 22-25'!$B$126:$B$197,E452)&gt;0,"(R)","No")</f>
        <v>No</v>
      </c>
      <c r="D452">
        <v>86</v>
      </c>
      <c r="E452" t="s">
        <v>406</v>
      </c>
      <c r="F452" t="s">
        <v>47</v>
      </c>
      <c r="G452">
        <v>300</v>
      </c>
      <c r="H452">
        <v>9</v>
      </c>
      <c r="I452" t="s">
        <v>33</v>
      </c>
      <c r="J452" t="s">
        <v>33</v>
      </c>
      <c r="K452" t="s">
        <v>33</v>
      </c>
      <c r="L452">
        <v>0</v>
      </c>
      <c r="M452">
        <v>0</v>
      </c>
      <c r="N452">
        <v>3.8</v>
      </c>
      <c r="O452" t="s">
        <v>33</v>
      </c>
      <c r="P452">
        <v>0.9</v>
      </c>
      <c r="Q452" t="s">
        <v>22</v>
      </c>
      <c r="R452" t="s">
        <v>33</v>
      </c>
      <c r="S452" t="s">
        <v>33</v>
      </c>
      <c r="T452" t="s">
        <v>33</v>
      </c>
      <c r="U452" t="s">
        <v>33</v>
      </c>
      <c r="V452">
        <v>8.5</v>
      </c>
      <c r="W452">
        <v>0</v>
      </c>
      <c r="X452">
        <v>3.5</v>
      </c>
      <c r="Y452">
        <v>0</v>
      </c>
      <c r="Z452">
        <v>13.1</v>
      </c>
      <c r="AA452">
        <v>3.3</v>
      </c>
      <c r="AB452">
        <f t="shared" si="14"/>
        <v>16.700000000000003</v>
      </c>
      <c r="AC452">
        <v>29.8</v>
      </c>
      <c r="AD452">
        <v>20</v>
      </c>
      <c r="AE452">
        <f t="shared" si="15"/>
        <v>0</v>
      </c>
      <c r="AF452">
        <v>0</v>
      </c>
      <c r="AG452">
        <v>0</v>
      </c>
      <c r="AH452">
        <v>0</v>
      </c>
      <c r="AI452">
        <v>0</v>
      </c>
      <c r="AJ452">
        <v>5.8823529411764705E-2</v>
      </c>
      <c r="AK452">
        <v>0</v>
      </c>
      <c r="AL452">
        <v>0</v>
      </c>
      <c r="AM452">
        <v>0</v>
      </c>
      <c r="AN452">
        <v>0</v>
      </c>
    </row>
    <row r="453" spans="1:40" x14ac:dyDescent="0.25">
      <c r="A453">
        <v>2024</v>
      </c>
      <c r="B453" t="s">
        <v>220</v>
      </c>
      <c r="C453" t="str">
        <f>IF(COUNTIF('Rookies 22-25'!$B$126:$B$197,E453)&gt;0,"(R)","No")</f>
        <v>No</v>
      </c>
      <c r="D453">
        <v>87</v>
      </c>
      <c r="E453" t="s">
        <v>407</v>
      </c>
      <c r="F453" t="s">
        <v>78</v>
      </c>
      <c r="G453">
        <v>300</v>
      </c>
      <c r="H453">
        <v>17</v>
      </c>
      <c r="I453">
        <v>1.3</v>
      </c>
      <c r="J453">
        <v>1.1000000000000001</v>
      </c>
      <c r="K453">
        <v>0</v>
      </c>
      <c r="L453">
        <v>1.3</v>
      </c>
      <c r="M453">
        <v>1.5</v>
      </c>
      <c r="N453">
        <v>0</v>
      </c>
      <c r="O453">
        <v>0</v>
      </c>
      <c r="P453">
        <v>3.8</v>
      </c>
      <c r="Q453">
        <v>-0.1</v>
      </c>
      <c r="R453">
        <v>0</v>
      </c>
      <c r="S453">
        <v>1</v>
      </c>
      <c r="T453">
        <v>2.1</v>
      </c>
      <c r="U453">
        <v>6.1</v>
      </c>
      <c r="V453" t="s">
        <v>22</v>
      </c>
      <c r="W453">
        <v>0</v>
      </c>
      <c r="X453">
        <v>10.9</v>
      </c>
      <c r="Y453">
        <v>0</v>
      </c>
      <c r="Z453">
        <v>0.3</v>
      </c>
      <c r="AA453">
        <v>1.7</v>
      </c>
      <c r="AB453">
        <f t="shared" si="14"/>
        <v>29</v>
      </c>
      <c r="AC453">
        <v>29.3</v>
      </c>
      <c r="AD453">
        <v>20</v>
      </c>
      <c r="AE453">
        <f t="shared" si="15"/>
        <v>1</v>
      </c>
      <c r="AF453">
        <v>0</v>
      </c>
      <c r="AG453">
        <v>0</v>
      </c>
      <c r="AH453">
        <v>0</v>
      </c>
      <c r="AI453">
        <v>0</v>
      </c>
      <c r="AJ453">
        <v>5.8823529411764705E-2</v>
      </c>
      <c r="AK453">
        <v>0</v>
      </c>
      <c r="AL453">
        <v>0</v>
      </c>
      <c r="AM453">
        <v>0</v>
      </c>
      <c r="AN453">
        <v>0</v>
      </c>
    </row>
    <row r="454" spans="1:40" x14ac:dyDescent="0.25">
      <c r="A454">
        <v>2024</v>
      </c>
      <c r="B454" t="s">
        <v>220</v>
      </c>
      <c r="C454" t="str">
        <f>IF(COUNTIF('Rookies 22-25'!$B$126:$B$197,E454)&gt;0,"(R)","No")</f>
        <v>No</v>
      </c>
      <c r="D454">
        <v>87</v>
      </c>
      <c r="E454" t="s">
        <v>328</v>
      </c>
      <c r="F454" t="s">
        <v>43</v>
      </c>
      <c r="G454">
        <f>VLOOKUP(E454,'24 Draft ADP'!$B$3:$D$436,3,FALSE)</f>
        <v>80</v>
      </c>
      <c r="H454">
        <v>8</v>
      </c>
      <c r="I454">
        <v>4.5999999999999996</v>
      </c>
      <c r="J454">
        <v>6.8</v>
      </c>
      <c r="K454">
        <v>3.4</v>
      </c>
      <c r="L454">
        <v>3</v>
      </c>
      <c r="M454" t="s">
        <v>33</v>
      </c>
      <c r="N454" t="s">
        <v>33</v>
      </c>
      <c r="O454">
        <v>3.7</v>
      </c>
      <c r="P454">
        <v>-0.1</v>
      </c>
      <c r="Q454">
        <v>7</v>
      </c>
      <c r="R454" t="s">
        <v>22</v>
      </c>
      <c r="S454">
        <v>0.9</v>
      </c>
      <c r="T454" t="s">
        <v>33</v>
      </c>
      <c r="U454" t="s">
        <v>33</v>
      </c>
      <c r="V454" t="s">
        <v>33</v>
      </c>
      <c r="W454" t="s">
        <v>33</v>
      </c>
      <c r="X454" t="s">
        <v>33</v>
      </c>
      <c r="Y454" t="s">
        <v>33</v>
      </c>
      <c r="Z454">
        <v>0</v>
      </c>
      <c r="AA454">
        <v>3.7</v>
      </c>
      <c r="AB454">
        <f t="shared" si="14"/>
        <v>29.3</v>
      </c>
      <c r="AC454">
        <v>29.3</v>
      </c>
      <c r="AD454">
        <v>7</v>
      </c>
      <c r="AE454">
        <f t="shared" si="15"/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</row>
    <row r="455" spans="1:40" x14ac:dyDescent="0.25">
      <c r="A455">
        <v>2024</v>
      </c>
      <c r="B455" t="s">
        <v>220</v>
      </c>
      <c r="C455" t="str">
        <f>IF(COUNTIF('Rookies 22-25'!$B$126:$B$197,E455)&gt;0,"(R)","No")</f>
        <v>No</v>
      </c>
      <c r="D455">
        <v>89</v>
      </c>
      <c r="E455" t="s">
        <v>300</v>
      </c>
      <c r="F455" t="s">
        <v>37</v>
      </c>
      <c r="G455">
        <f>VLOOKUP(E455,'24 Draft ADP'!$B$3:$D$436,3,FALSE)</f>
        <v>208</v>
      </c>
      <c r="H455">
        <v>7</v>
      </c>
      <c r="I455">
        <v>0</v>
      </c>
      <c r="J455" t="s">
        <v>33</v>
      </c>
      <c r="K455" t="s">
        <v>33</v>
      </c>
      <c r="L455" t="s">
        <v>33</v>
      </c>
      <c r="M455" t="s">
        <v>33</v>
      </c>
      <c r="N455" t="s">
        <v>33</v>
      </c>
      <c r="O455">
        <v>5.7</v>
      </c>
      <c r="P455">
        <v>1.6</v>
      </c>
      <c r="Q455" t="s">
        <v>33</v>
      </c>
      <c r="R455" t="s">
        <v>33</v>
      </c>
      <c r="S455" t="s">
        <v>33</v>
      </c>
      <c r="T455" t="s">
        <v>22</v>
      </c>
      <c r="U455" t="s">
        <v>33</v>
      </c>
      <c r="V455">
        <v>9.1999999999999993</v>
      </c>
      <c r="W455">
        <v>4.5999999999999996</v>
      </c>
      <c r="X455">
        <v>5.0999999999999996</v>
      </c>
      <c r="Y455">
        <v>2.9</v>
      </c>
      <c r="Z455">
        <v>0</v>
      </c>
      <c r="AA455">
        <v>4.2</v>
      </c>
      <c r="AB455">
        <f t="shared" si="14"/>
        <v>29.1</v>
      </c>
      <c r="AC455">
        <v>29.1</v>
      </c>
      <c r="AD455">
        <v>19</v>
      </c>
      <c r="AE455">
        <f t="shared" si="15"/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</row>
    <row r="456" spans="1:40" x14ac:dyDescent="0.25">
      <c r="A456">
        <v>2024</v>
      </c>
      <c r="B456" t="s">
        <v>220</v>
      </c>
      <c r="C456" t="str">
        <f>IF(COUNTIF('Rookies 22-25'!$B$126:$B$197,E456)&gt;0,"(R)","No")</f>
        <v>No</v>
      </c>
      <c r="D456">
        <v>90</v>
      </c>
      <c r="E456" t="s">
        <v>408</v>
      </c>
      <c r="F456" t="s">
        <v>39</v>
      </c>
      <c r="G456">
        <f>VLOOKUP(E456,'24 Draft ADP'!$B$3:$D$436,3,FALSE)</f>
        <v>350</v>
      </c>
      <c r="H456">
        <v>14</v>
      </c>
      <c r="I456">
        <v>0</v>
      </c>
      <c r="J456">
        <v>0.2</v>
      </c>
      <c r="K456">
        <v>0.5</v>
      </c>
      <c r="L456">
        <v>1.5</v>
      </c>
      <c r="M456">
        <v>0</v>
      </c>
      <c r="N456">
        <v>3.1</v>
      </c>
      <c r="O456">
        <v>15.7</v>
      </c>
      <c r="P456" t="s">
        <v>33</v>
      </c>
      <c r="Q456">
        <v>0.7</v>
      </c>
      <c r="R456">
        <v>3.4</v>
      </c>
      <c r="S456">
        <v>0.2</v>
      </c>
      <c r="T456">
        <v>3.5</v>
      </c>
      <c r="U456">
        <v>0</v>
      </c>
      <c r="V456" t="s">
        <v>22</v>
      </c>
      <c r="W456">
        <v>0</v>
      </c>
      <c r="X456" t="s">
        <v>33</v>
      </c>
      <c r="Y456">
        <v>0</v>
      </c>
      <c r="Z456">
        <v>0</v>
      </c>
      <c r="AA456">
        <v>2.1</v>
      </c>
      <c r="AB456">
        <f t="shared" si="14"/>
        <v>28.8</v>
      </c>
      <c r="AC456">
        <v>28.8</v>
      </c>
      <c r="AD456">
        <v>20</v>
      </c>
      <c r="AE456">
        <f t="shared" si="15"/>
        <v>1</v>
      </c>
      <c r="AF456">
        <v>1</v>
      </c>
      <c r="AG456">
        <v>0</v>
      </c>
      <c r="AH456">
        <v>0</v>
      </c>
      <c r="AI456">
        <v>0</v>
      </c>
      <c r="AJ456">
        <v>5.8823529411764705E-2</v>
      </c>
      <c r="AK456">
        <v>7.1428571428571425E-2</v>
      </c>
      <c r="AL456">
        <v>0</v>
      </c>
      <c r="AM456">
        <v>0</v>
      </c>
      <c r="AN456">
        <v>0</v>
      </c>
    </row>
    <row r="457" spans="1:40" x14ac:dyDescent="0.25">
      <c r="A457">
        <v>2024</v>
      </c>
      <c r="B457" t="s">
        <v>99</v>
      </c>
      <c r="C457" t="str">
        <f>IF(COUNTIF('Rookies 22-25'!$B$126:$B$197,E457)&gt;0,"(R)","No")</f>
        <v>No</v>
      </c>
      <c r="D457">
        <v>1</v>
      </c>
      <c r="E457" t="s">
        <v>103</v>
      </c>
      <c r="F457" t="s">
        <v>89</v>
      </c>
      <c r="G457">
        <f>VLOOKUP(E457,'24 Draft ADP'!$B$3:$D$436,3,FALSE)</f>
        <v>7</v>
      </c>
      <c r="H457">
        <v>17</v>
      </c>
      <c r="I457">
        <v>12.2</v>
      </c>
      <c r="J457">
        <v>7.5</v>
      </c>
      <c r="K457">
        <v>29.8</v>
      </c>
      <c r="L457">
        <v>17.5</v>
      </c>
      <c r="M457">
        <v>41.3</v>
      </c>
      <c r="N457">
        <v>12.2</v>
      </c>
      <c r="O457">
        <v>17.600000000000001</v>
      </c>
      <c r="P457">
        <v>20.399999999999999</v>
      </c>
      <c r="Q457">
        <v>11.3</v>
      </c>
      <c r="R457">
        <v>55.4</v>
      </c>
      <c r="S457">
        <v>26.5</v>
      </c>
      <c r="T457" t="s">
        <v>22</v>
      </c>
      <c r="U457">
        <v>20.6</v>
      </c>
      <c r="V457">
        <v>45.1</v>
      </c>
      <c r="W457">
        <v>18.399999999999999</v>
      </c>
      <c r="X457">
        <v>22.4</v>
      </c>
      <c r="Y457">
        <v>19.2</v>
      </c>
      <c r="Z457">
        <v>25.6</v>
      </c>
      <c r="AA457">
        <v>23.7</v>
      </c>
      <c r="AB457">
        <f t="shared" si="14"/>
        <v>377.4</v>
      </c>
      <c r="AC457">
        <v>403</v>
      </c>
      <c r="AD457">
        <v>1</v>
      </c>
      <c r="AE457">
        <f t="shared" si="15"/>
        <v>15</v>
      </c>
      <c r="AF457">
        <v>13</v>
      </c>
      <c r="AG457">
        <v>9</v>
      </c>
      <c r="AH457">
        <v>6</v>
      </c>
      <c r="AI457">
        <v>3</v>
      </c>
      <c r="AJ457">
        <v>0.94117647058823528</v>
      </c>
      <c r="AK457">
        <v>0.76470588235294112</v>
      </c>
      <c r="AL457">
        <v>0.52941176470588236</v>
      </c>
      <c r="AM457">
        <v>0.35294117647058826</v>
      </c>
      <c r="AN457">
        <v>0.17647058823529413</v>
      </c>
    </row>
    <row r="458" spans="1:40" x14ac:dyDescent="0.25">
      <c r="A458">
        <v>2024</v>
      </c>
      <c r="B458" t="s">
        <v>99</v>
      </c>
      <c r="C458" t="str">
        <f>IF(COUNTIF('Rookies 22-25'!$B$126:$B$197,E458)&gt;0,"(R)","No")</f>
        <v>No</v>
      </c>
      <c r="D458">
        <v>2</v>
      </c>
      <c r="E458" t="s">
        <v>120</v>
      </c>
      <c r="F458" t="s">
        <v>73</v>
      </c>
      <c r="G458">
        <f>VLOOKUP(E458,'24 Draft ADP'!$B$3:$D$436,3,FALSE)</f>
        <v>8</v>
      </c>
      <c r="H458">
        <v>17</v>
      </c>
      <c r="I458">
        <v>15.9</v>
      </c>
      <c r="J458">
        <v>23.3</v>
      </c>
      <c r="K458">
        <v>20.100000000000001</v>
      </c>
      <c r="L458">
        <v>20.5</v>
      </c>
      <c r="M458">
        <v>15.2</v>
      </c>
      <c r="N458" t="s">
        <v>22</v>
      </c>
      <c r="O458">
        <v>21.4</v>
      </c>
      <c r="P458">
        <v>19.5</v>
      </c>
      <c r="Q458">
        <v>21.6</v>
      </c>
      <c r="R458">
        <v>9.8000000000000007</v>
      </c>
      <c r="S458">
        <v>14.1</v>
      </c>
      <c r="T458">
        <v>4.7</v>
      </c>
      <c r="U458">
        <v>16.899999999999999</v>
      </c>
      <c r="V458">
        <v>32.200000000000003</v>
      </c>
      <c r="W458">
        <v>20.3</v>
      </c>
      <c r="X458">
        <v>36.4</v>
      </c>
      <c r="Y458">
        <v>17.2</v>
      </c>
      <c r="Z458">
        <v>8.4</v>
      </c>
      <c r="AA458">
        <v>18.7</v>
      </c>
      <c r="AB458">
        <f t="shared" si="14"/>
        <v>309.10000000000002</v>
      </c>
      <c r="AC458">
        <v>317.5</v>
      </c>
      <c r="AD458">
        <v>1</v>
      </c>
      <c r="AE458">
        <f t="shared" si="15"/>
        <v>14</v>
      </c>
      <c r="AF458">
        <v>13</v>
      </c>
      <c r="AG458">
        <v>8</v>
      </c>
      <c r="AH458">
        <v>2</v>
      </c>
      <c r="AI458">
        <v>2</v>
      </c>
      <c r="AJ458">
        <v>0.82352941176470584</v>
      </c>
      <c r="AK458">
        <v>0.76470588235294112</v>
      </c>
      <c r="AL458">
        <v>0.47058823529411764</v>
      </c>
      <c r="AM458">
        <v>0.11764705882352941</v>
      </c>
      <c r="AN458">
        <v>0.11764705882352941</v>
      </c>
    </row>
    <row r="459" spans="1:40" x14ac:dyDescent="0.25">
      <c r="A459">
        <v>2024</v>
      </c>
      <c r="B459" t="s">
        <v>99</v>
      </c>
      <c r="C459" t="str">
        <f>IF(COUNTIF('Rookies 22-25'!$B$126:$B$197,E459)&gt;0,"(R)","No")</f>
        <v>No</v>
      </c>
      <c r="D459">
        <v>3</v>
      </c>
      <c r="E459" t="s">
        <v>102</v>
      </c>
      <c r="F459" t="s">
        <v>75</v>
      </c>
      <c r="G459">
        <f>VLOOKUP(E459,'24 Draft ADP'!$B$3:$D$436,3,FALSE)</f>
        <v>5</v>
      </c>
      <c r="H459">
        <v>17</v>
      </c>
      <c r="I459">
        <v>4.3</v>
      </c>
      <c r="J459">
        <v>22.9</v>
      </c>
      <c r="K459">
        <v>20.5</v>
      </c>
      <c r="L459">
        <v>20.8</v>
      </c>
      <c r="M459" t="s">
        <v>22</v>
      </c>
      <c r="N459">
        <v>13.7</v>
      </c>
      <c r="O459">
        <v>25.2</v>
      </c>
      <c r="P459">
        <v>8.6999999999999993</v>
      </c>
      <c r="Q459">
        <v>18.600000000000001</v>
      </c>
      <c r="R459">
        <v>18</v>
      </c>
      <c r="S459">
        <v>38.700000000000003</v>
      </c>
      <c r="T459">
        <v>12.2</v>
      </c>
      <c r="U459">
        <v>12.3</v>
      </c>
      <c r="V459">
        <v>10.3</v>
      </c>
      <c r="W459">
        <v>37.299999999999997</v>
      </c>
      <c r="X459">
        <v>19</v>
      </c>
      <c r="Y459">
        <v>20</v>
      </c>
      <c r="Z459">
        <v>13.7</v>
      </c>
      <c r="AA459">
        <v>18.600000000000001</v>
      </c>
      <c r="AB459">
        <f t="shared" si="14"/>
        <v>302.5</v>
      </c>
      <c r="AC459">
        <v>316.2</v>
      </c>
      <c r="AD459">
        <v>1</v>
      </c>
      <c r="AE459">
        <f t="shared" si="15"/>
        <v>14</v>
      </c>
      <c r="AF459">
        <v>10</v>
      </c>
      <c r="AG459">
        <v>6</v>
      </c>
      <c r="AH459">
        <v>3</v>
      </c>
      <c r="AI459">
        <v>2</v>
      </c>
      <c r="AJ459">
        <v>0.88235294117647056</v>
      </c>
      <c r="AK459">
        <v>0.58823529411764708</v>
      </c>
      <c r="AL459">
        <v>0.35294117647058826</v>
      </c>
      <c r="AM459">
        <v>0.17647058823529413</v>
      </c>
      <c r="AN459">
        <v>0.11764705882352941</v>
      </c>
    </row>
    <row r="460" spans="1:40" x14ac:dyDescent="0.25">
      <c r="A460">
        <v>2024</v>
      </c>
      <c r="B460" t="s">
        <v>99</v>
      </c>
      <c r="C460" t="str">
        <f>IF(COUNTIF('Rookies 22-25'!$B$126:$B$197,E460)&gt;0,"(R)","No")</f>
        <v>(R)</v>
      </c>
      <c r="D460">
        <v>4</v>
      </c>
      <c r="E460" t="s">
        <v>141</v>
      </c>
      <c r="F460" t="s">
        <v>67</v>
      </c>
      <c r="G460">
        <f>VLOOKUP(E460,'24 Draft ADP'!$B$3:$D$436,3,FALSE)</f>
        <v>87</v>
      </c>
      <c r="H460">
        <v>17</v>
      </c>
      <c r="I460">
        <v>14.7</v>
      </c>
      <c r="J460">
        <v>11.4</v>
      </c>
      <c r="K460">
        <v>9.8000000000000007</v>
      </c>
      <c r="L460">
        <v>21.9</v>
      </c>
      <c r="M460">
        <v>23.2</v>
      </c>
      <c r="N460">
        <v>5.7</v>
      </c>
      <c r="O460">
        <v>22.1</v>
      </c>
      <c r="P460">
        <v>15</v>
      </c>
      <c r="Q460">
        <v>6.2</v>
      </c>
      <c r="R460">
        <v>3.2</v>
      </c>
      <c r="S460">
        <v>13.6</v>
      </c>
      <c r="T460" t="s">
        <v>22</v>
      </c>
      <c r="U460">
        <v>18.7</v>
      </c>
      <c r="V460">
        <v>16.600000000000001</v>
      </c>
      <c r="W460">
        <v>32.5</v>
      </c>
      <c r="X460">
        <v>28.2</v>
      </c>
      <c r="Y460">
        <v>23.9</v>
      </c>
      <c r="Z460">
        <v>17.3</v>
      </c>
      <c r="AA460">
        <v>16.7</v>
      </c>
      <c r="AB460">
        <f t="shared" si="14"/>
        <v>266.7</v>
      </c>
      <c r="AC460">
        <v>284</v>
      </c>
      <c r="AD460">
        <v>8</v>
      </c>
      <c r="AE460">
        <f t="shared" si="15"/>
        <v>12</v>
      </c>
      <c r="AF460">
        <v>9</v>
      </c>
      <c r="AG460">
        <v>6</v>
      </c>
      <c r="AH460">
        <v>2</v>
      </c>
      <c r="AI460">
        <v>1</v>
      </c>
      <c r="AJ460">
        <v>0.76470588235294112</v>
      </c>
      <c r="AK460">
        <v>0.52941176470588236</v>
      </c>
      <c r="AL460">
        <v>0.35294117647058826</v>
      </c>
      <c r="AM460">
        <v>0.11764705882352941</v>
      </c>
      <c r="AN460">
        <v>5.8823529411764705E-2</v>
      </c>
    </row>
    <row r="461" spans="1:40" x14ac:dyDescent="0.25">
      <c r="A461">
        <v>2024</v>
      </c>
      <c r="B461" t="s">
        <v>99</v>
      </c>
      <c r="C461" t="str">
        <f>IF(COUNTIF('Rookies 22-25'!$B$126:$B$197,E461)&gt;0,"(R)","No")</f>
        <v>No</v>
      </c>
      <c r="D461">
        <v>5</v>
      </c>
      <c r="E461" t="s">
        <v>118</v>
      </c>
      <c r="F461" t="s">
        <v>24</v>
      </c>
      <c r="G461">
        <f>VLOOKUP(E461,'24 Draft ADP'!$B$3:$D$436,3,FALSE)</f>
        <v>16</v>
      </c>
      <c r="H461">
        <v>17</v>
      </c>
      <c r="I461">
        <v>3.5</v>
      </c>
      <c r="J461">
        <v>17.399999999999999</v>
      </c>
      <c r="K461">
        <v>18.7</v>
      </c>
      <c r="L461">
        <v>12.4</v>
      </c>
      <c r="M461">
        <v>33.4</v>
      </c>
      <c r="N461">
        <v>19.399999999999999</v>
      </c>
      <c r="O461">
        <v>18.3</v>
      </c>
      <c r="P461">
        <v>7.4</v>
      </c>
      <c r="Q461">
        <v>10.7</v>
      </c>
      <c r="R461">
        <v>17.7</v>
      </c>
      <c r="S461">
        <v>9.1</v>
      </c>
      <c r="T461" t="s">
        <v>22</v>
      </c>
      <c r="U461">
        <v>17.3</v>
      </c>
      <c r="V461">
        <v>12</v>
      </c>
      <c r="W461">
        <v>14.3</v>
      </c>
      <c r="X461">
        <v>10.9</v>
      </c>
      <c r="Y461">
        <v>17.600000000000001</v>
      </c>
      <c r="Z461">
        <v>40.700000000000003</v>
      </c>
      <c r="AA461">
        <v>16.5</v>
      </c>
      <c r="AB461">
        <f t="shared" si="14"/>
        <v>240.10000000000002</v>
      </c>
      <c r="AC461">
        <v>280.8</v>
      </c>
      <c r="AD461">
        <v>2</v>
      </c>
      <c r="AE461">
        <f t="shared" si="15"/>
        <v>13</v>
      </c>
      <c r="AF461">
        <v>9</v>
      </c>
      <c r="AG461">
        <v>2</v>
      </c>
      <c r="AH461">
        <v>2</v>
      </c>
      <c r="AI461">
        <v>2</v>
      </c>
      <c r="AJ461">
        <v>0.82352941176470584</v>
      </c>
      <c r="AK461">
        <v>0.52941176470588236</v>
      </c>
      <c r="AL461">
        <v>0.11764705882352941</v>
      </c>
      <c r="AM461">
        <v>0.11764705882352941</v>
      </c>
      <c r="AN461">
        <v>0.11764705882352941</v>
      </c>
    </row>
    <row r="462" spans="1:40" x14ac:dyDescent="0.25">
      <c r="A462">
        <v>2024</v>
      </c>
      <c r="B462" t="s">
        <v>99</v>
      </c>
      <c r="C462" t="str">
        <f>IF(COUNTIF('Rookies 22-25'!$B$126:$B$197,E462)&gt;0,"(R)","No")</f>
        <v>(R)</v>
      </c>
      <c r="D462">
        <v>6</v>
      </c>
      <c r="E462" t="s">
        <v>201</v>
      </c>
      <c r="F462" t="s">
        <v>57</v>
      </c>
      <c r="G462">
        <f>VLOOKUP(E462,'24 Draft ADP'!$B$3:$D$436,3,FALSE)</f>
        <v>32</v>
      </c>
      <c r="H462">
        <v>15</v>
      </c>
      <c r="I462">
        <v>11.6</v>
      </c>
      <c r="J462">
        <v>28.7</v>
      </c>
      <c r="K462">
        <v>28.2</v>
      </c>
      <c r="L462">
        <v>23.1</v>
      </c>
      <c r="M462" t="s">
        <v>33</v>
      </c>
      <c r="N462" t="s">
        <v>33</v>
      </c>
      <c r="O462">
        <v>8.1</v>
      </c>
      <c r="P462">
        <v>14.1</v>
      </c>
      <c r="Q462">
        <v>14.9</v>
      </c>
      <c r="R462">
        <v>10.8</v>
      </c>
      <c r="S462" t="s">
        <v>22</v>
      </c>
      <c r="T462">
        <v>12.4</v>
      </c>
      <c r="U462">
        <v>15.3</v>
      </c>
      <c r="V462">
        <v>14.9</v>
      </c>
      <c r="W462">
        <v>24.2</v>
      </c>
      <c r="X462">
        <v>13.8</v>
      </c>
      <c r="Y462">
        <v>36.1</v>
      </c>
      <c r="Z462">
        <v>17.399999999999999</v>
      </c>
      <c r="AA462">
        <v>18.2</v>
      </c>
      <c r="AB462">
        <f t="shared" si="14"/>
        <v>256.20000000000005</v>
      </c>
      <c r="AC462">
        <v>273.60000000000002</v>
      </c>
      <c r="AD462">
        <v>3</v>
      </c>
      <c r="AE462">
        <f t="shared" si="15"/>
        <v>13</v>
      </c>
      <c r="AF462">
        <v>7</v>
      </c>
      <c r="AG462">
        <v>5</v>
      </c>
      <c r="AH462">
        <v>3</v>
      </c>
      <c r="AI462">
        <v>1</v>
      </c>
      <c r="AJ462">
        <v>0.82352941176470584</v>
      </c>
      <c r="AK462">
        <v>0.46666666666666667</v>
      </c>
      <c r="AL462">
        <v>0.33333333333333331</v>
      </c>
      <c r="AM462">
        <v>0.2</v>
      </c>
      <c r="AN462">
        <v>6.6666666666666666E-2</v>
      </c>
    </row>
    <row r="463" spans="1:40" x14ac:dyDescent="0.25">
      <c r="A463">
        <v>2024</v>
      </c>
      <c r="B463" t="s">
        <v>99</v>
      </c>
      <c r="C463" t="str">
        <f>IF(COUNTIF('Rookies 22-25'!$B$126:$B$197,E463)&gt;0,"(R)","No")</f>
        <v>No</v>
      </c>
      <c r="D463">
        <v>7</v>
      </c>
      <c r="E463" t="s">
        <v>155</v>
      </c>
      <c r="F463" t="s">
        <v>59</v>
      </c>
      <c r="G463">
        <f>VLOOKUP(E463,'24 Draft ADP'!$B$3:$D$436,3,FALSE)</f>
        <v>56</v>
      </c>
      <c r="H463">
        <v>17</v>
      </c>
      <c r="I463">
        <v>3.7</v>
      </c>
      <c r="J463">
        <v>8.1999999999999993</v>
      </c>
      <c r="K463">
        <v>20</v>
      </c>
      <c r="L463">
        <v>18.2</v>
      </c>
      <c r="M463">
        <v>13.4</v>
      </c>
      <c r="N463">
        <v>23.3</v>
      </c>
      <c r="O463">
        <v>15.8</v>
      </c>
      <c r="P463">
        <v>17.5</v>
      </c>
      <c r="Q463">
        <v>15.9</v>
      </c>
      <c r="R463">
        <v>16.3</v>
      </c>
      <c r="S463">
        <v>2</v>
      </c>
      <c r="T463">
        <v>21.2</v>
      </c>
      <c r="U463">
        <v>27.3</v>
      </c>
      <c r="V463" t="s">
        <v>22</v>
      </c>
      <c r="W463">
        <v>26.3</v>
      </c>
      <c r="X463">
        <v>17</v>
      </c>
      <c r="Y463">
        <v>1.5</v>
      </c>
      <c r="Z463">
        <v>20.2</v>
      </c>
      <c r="AA463">
        <v>15.8</v>
      </c>
      <c r="AB463">
        <f t="shared" si="14"/>
        <v>247.60000000000002</v>
      </c>
      <c r="AC463">
        <v>267.8</v>
      </c>
      <c r="AD463">
        <v>5</v>
      </c>
      <c r="AE463">
        <f t="shared" si="15"/>
        <v>12</v>
      </c>
      <c r="AF463">
        <v>12</v>
      </c>
      <c r="AG463">
        <v>5</v>
      </c>
      <c r="AH463">
        <v>2</v>
      </c>
      <c r="AI463">
        <v>0</v>
      </c>
      <c r="AJ463">
        <v>0.76470588235294112</v>
      </c>
      <c r="AK463">
        <v>0.70588235294117652</v>
      </c>
      <c r="AL463">
        <v>0.29411764705882354</v>
      </c>
      <c r="AM463">
        <v>0.11764705882352941</v>
      </c>
      <c r="AN463">
        <v>0</v>
      </c>
    </row>
    <row r="464" spans="1:40" x14ac:dyDescent="0.25">
      <c r="A464">
        <v>2024</v>
      </c>
      <c r="B464" t="s">
        <v>99</v>
      </c>
      <c r="C464" t="str">
        <f>IF(COUNTIF('Rookies 22-25'!$B$126:$B$197,E464)&gt;0,"(R)","No")</f>
        <v>No</v>
      </c>
      <c r="D464">
        <v>8</v>
      </c>
      <c r="E464" t="s">
        <v>121</v>
      </c>
      <c r="F464" t="s">
        <v>30</v>
      </c>
      <c r="G464">
        <f>VLOOKUP(E464,'24 Draft ADP'!$B$3:$D$436,3,FALSE)</f>
        <v>2</v>
      </c>
      <c r="H464">
        <v>15</v>
      </c>
      <c r="I464">
        <v>13.6</v>
      </c>
      <c r="J464">
        <v>19</v>
      </c>
      <c r="K464">
        <v>8.6999999999999993</v>
      </c>
      <c r="L464">
        <v>23.6</v>
      </c>
      <c r="M464">
        <v>11.4</v>
      </c>
      <c r="N464">
        <v>16.100000000000001</v>
      </c>
      <c r="O464" t="s">
        <v>22</v>
      </c>
      <c r="P464">
        <v>39.6</v>
      </c>
      <c r="Q464">
        <v>16.2</v>
      </c>
      <c r="R464">
        <v>8.4</v>
      </c>
      <c r="S464">
        <v>18.600000000000001</v>
      </c>
      <c r="T464">
        <v>16.8</v>
      </c>
      <c r="U464">
        <v>5.9</v>
      </c>
      <c r="V464">
        <v>21.4</v>
      </c>
      <c r="W464">
        <v>26.6</v>
      </c>
      <c r="X464">
        <v>17.5</v>
      </c>
      <c r="Y464" t="s">
        <v>33</v>
      </c>
      <c r="Z464">
        <v>0</v>
      </c>
      <c r="AA464">
        <v>17.600000000000001</v>
      </c>
      <c r="AB464">
        <f t="shared" si="14"/>
        <v>263.39999999999998</v>
      </c>
      <c r="AC464">
        <v>263.39999999999998</v>
      </c>
      <c r="AD464">
        <v>1</v>
      </c>
      <c r="AE464">
        <f t="shared" si="15"/>
        <v>12</v>
      </c>
      <c r="AF464">
        <v>10</v>
      </c>
      <c r="AG464">
        <v>4</v>
      </c>
      <c r="AH464">
        <v>2</v>
      </c>
      <c r="AI464">
        <v>1</v>
      </c>
      <c r="AJ464">
        <v>0.70588235294117652</v>
      </c>
      <c r="AK464">
        <v>0.66666666666666663</v>
      </c>
      <c r="AL464">
        <v>0.26666666666666666</v>
      </c>
      <c r="AM464">
        <v>0.13333333333333333</v>
      </c>
      <c r="AN464">
        <v>6.6666666666666666E-2</v>
      </c>
    </row>
    <row r="465" spans="1:40" x14ac:dyDescent="0.25">
      <c r="A465">
        <v>2024</v>
      </c>
      <c r="B465" t="s">
        <v>99</v>
      </c>
      <c r="C465" t="str">
        <f>IF(COUNTIF('Rookies 22-25'!$B$126:$B$197,E465)&gt;0,"(R)","No")</f>
        <v>No</v>
      </c>
      <c r="D465">
        <v>9</v>
      </c>
      <c r="E465" t="s">
        <v>101</v>
      </c>
      <c r="F465" t="s">
        <v>49</v>
      </c>
      <c r="G465">
        <f>VLOOKUP(E465,'24 Draft ADP'!$B$3:$D$436,3,FALSE)</f>
        <v>82</v>
      </c>
      <c r="H465">
        <v>17</v>
      </c>
      <c r="I465">
        <v>3.9</v>
      </c>
      <c r="J465">
        <v>23.7</v>
      </c>
      <c r="K465">
        <v>6.9</v>
      </c>
      <c r="L465">
        <v>13.1</v>
      </c>
      <c r="M465">
        <v>13.1</v>
      </c>
      <c r="N465">
        <v>10.3</v>
      </c>
      <c r="O465">
        <v>5.3</v>
      </c>
      <c r="P465">
        <v>12.9</v>
      </c>
      <c r="Q465">
        <v>37</v>
      </c>
      <c r="R465" t="s">
        <v>22</v>
      </c>
      <c r="S465">
        <v>21.8</v>
      </c>
      <c r="T465">
        <v>19.7</v>
      </c>
      <c r="U465">
        <v>11.9</v>
      </c>
      <c r="V465">
        <v>19.600000000000001</v>
      </c>
      <c r="W465">
        <v>18.3</v>
      </c>
      <c r="X465">
        <v>24</v>
      </c>
      <c r="Y465">
        <v>6.2</v>
      </c>
      <c r="Z465">
        <v>5.3</v>
      </c>
      <c r="AA465">
        <v>14.9</v>
      </c>
      <c r="AB465">
        <f t="shared" si="14"/>
        <v>247.7</v>
      </c>
      <c r="AC465">
        <v>253</v>
      </c>
      <c r="AD465">
        <v>7</v>
      </c>
      <c r="AE465">
        <f t="shared" si="15"/>
        <v>12</v>
      </c>
      <c r="AF465">
        <v>7</v>
      </c>
      <c r="AG465">
        <v>4</v>
      </c>
      <c r="AH465">
        <v>1</v>
      </c>
      <c r="AI465">
        <v>1</v>
      </c>
      <c r="AJ465">
        <v>0.70588235294117652</v>
      </c>
      <c r="AK465">
        <v>0.41176470588235292</v>
      </c>
      <c r="AL465">
        <v>0.23529411764705882</v>
      </c>
      <c r="AM465">
        <v>5.8823529411764705E-2</v>
      </c>
      <c r="AN465">
        <v>5.8823529411764705E-2</v>
      </c>
    </row>
    <row r="466" spans="1:40" x14ac:dyDescent="0.25">
      <c r="A466">
        <v>2024</v>
      </c>
      <c r="B466" t="s">
        <v>99</v>
      </c>
      <c r="C466" t="str">
        <f>IF(COUNTIF('Rookies 22-25'!$B$126:$B$197,E466)&gt;0,"(R)","No")</f>
        <v>No</v>
      </c>
      <c r="D466">
        <v>10</v>
      </c>
      <c r="E466" t="s">
        <v>161</v>
      </c>
      <c r="F466" t="s">
        <v>82</v>
      </c>
      <c r="G466">
        <f>VLOOKUP(E466,'24 Draft ADP'!$B$3:$D$436,3,FALSE)</f>
        <v>10</v>
      </c>
      <c r="H466">
        <v>17</v>
      </c>
      <c r="I466">
        <v>12</v>
      </c>
      <c r="J466">
        <v>10.199999999999999</v>
      </c>
      <c r="K466">
        <v>14.3</v>
      </c>
      <c r="L466">
        <v>7.1</v>
      </c>
      <c r="M466">
        <v>29.1</v>
      </c>
      <c r="N466">
        <v>24.7</v>
      </c>
      <c r="O466">
        <v>13.1</v>
      </c>
      <c r="P466">
        <v>16.3</v>
      </c>
      <c r="Q466">
        <v>30</v>
      </c>
      <c r="R466">
        <v>9.1</v>
      </c>
      <c r="S466">
        <v>5.8</v>
      </c>
      <c r="T466" t="s">
        <v>22</v>
      </c>
      <c r="U466">
        <v>9.1</v>
      </c>
      <c r="V466">
        <v>18.399999999999999</v>
      </c>
      <c r="W466">
        <v>14.6</v>
      </c>
      <c r="X466">
        <v>11.4</v>
      </c>
      <c r="Y466">
        <v>17.600000000000001</v>
      </c>
      <c r="Z466">
        <v>9.1</v>
      </c>
      <c r="AA466">
        <v>14.8</v>
      </c>
      <c r="AB466">
        <f t="shared" si="14"/>
        <v>242.8</v>
      </c>
      <c r="AC466">
        <v>251.9</v>
      </c>
      <c r="AD466">
        <v>1</v>
      </c>
      <c r="AE466">
        <f t="shared" si="15"/>
        <v>12</v>
      </c>
      <c r="AF466">
        <v>6</v>
      </c>
      <c r="AG466">
        <v>3</v>
      </c>
      <c r="AH466">
        <v>2</v>
      </c>
      <c r="AI466">
        <v>0</v>
      </c>
      <c r="AJ466">
        <v>0.70588235294117652</v>
      </c>
      <c r="AK466">
        <v>0.35294117647058826</v>
      </c>
      <c r="AL466">
        <v>0.17647058823529413</v>
      </c>
      <c r="AM466">
        <v>0.11764705882352941</v>
      </c>
      <c r="AN466">
        <v>0</v>
      </c>
    </row>
    <row r="467" spans="1:40" x14ac:dyDescent="0.25">
      <c r="A467">
        <v>2024</v>
      </c>
      <c r="B467" t="s">
        <v>99</v>
      </c>
      <c r="C467" t="str">
        <f>IF(COUNTIF('Rookies 22-25'!$B$126:$B$197,E467)&gt;0,"(R)","No")</f>
        <v>No</v>
      </c>
      <c r="D467">
        <v>11</v>
      </c>
      <c r="E467" t="s">
        <v>108</v>
      </c>
      <c r="F467" t="s">
        <v>82</v>
      </c>
      <c r="G467">
        <f>VLOOKUP(E467,'24 Draft ADP'!$B$3:$D$436,3,FALSE)</f>
        <v>19</v>
      </c>
      <c r="H467">
        <v>14</v>
      </c>
      <c r="I467">
        <v>10.9</v>
      </c>
      <c r="J467">
        <v>26</v>
      </c>
      <c r="K467">
        <v>8</v>
      </c>
      <c r="L467" t="s">
        <v>33</v>
      </c>
      <c r="M467" t="s">
        <v>33</v>
      </c>
      <c r="N467" t="s">
        <v>33</v>
      </c>
      <c r="O467">
        <v>6</v>
      </c>
      <c r="P467">
        <v>9.4</v>
      </c>
      <c r="Q467">
        <v>22.1</v>
      </c>
      <c r="R467">
        <v>9.1</v>
      </c>
      <c r="S467">
        <v>13.2</v>
      </c>
      <c r="T467" t="s">
        <v>22</v>
      </c>
      <c r="U467">
        <v>17.600000000000001</v>
      </c>
      <c r="V467">
        <v>25.9</v>
      </c>
      <c r="W467">
        <v>42.8</v>
      </c>
      <c r="X467">
        <v>19.8</v>
      </c>
      <c r="Y467">
        <v>9.6999999999999993</v>
      </c>
      <c r="Z467">
        <v>20.8</v>
      </c>
      <c r="AA467">
        <v>17.2</v>
      </c>
      <c r="AB467">
        <f t="shared" si="14"/>
        <v>220.5</v>
      </c>
      <c r="AC467">
        <v>241.3</v>
      </c>
      <c r="AD467">
        <v>2</v>
      </c>
      <c r="AE467">
        <f t="shared" si="15"/>
        <v>8</v>
      </c>
      <c r="AF467">
        <v>7</v>
      </c>
      <c r="AG467">
        <v>5</v>
      </c>
      <c r="AH467">
        <v>3</v>
      </c>
      <c r="AI467">
        <v>1</v>
      </c>
      <c r="AJ467">
        <v>0.52941176470588236</v>
      </c>
      <c r="AK467">
        <v>0.5</v>
      </c>
      <c r="AL467">
        <v>0.35714285714285715</v>
      </c>
      <c r="AM467">
        <v>0.21428571428571427</v>
      </c>
      <c r="AN467">
        <v>7.1428571428571425E-2</v>
      </c>
    </row>
    <row r="468" spans="1:40" x14ac:dyDescent="0.25">
      <c r="A468">
        <v>2024</v>
      </c>
      <c r="B468" t="s">
        <v>99</v>
      </c>
      <c r="C468" t="str">
        <f>IF(COUNTIF('Rookies 22-25'!$B$126:$B$197,E468)&gt;0,"(R)","No")</f>
        <v>No</v>
      </c>
      <c r="D468">
        <v>12</v>
      </c>
      <c r="E468" t="s">
        <v>151</v>
      </c>
      <c r="F468" t="s">
        <v>32</v>
      </c>
      <c r="G468">
        <f>VLOOKUP(E468,'24 Draft ADP'!$B$3:$D$436,3,FALSE)</f>
        <v>133</v>
      </c>
      <c r="H468">
        <v>17</v>
      </c>
      <c r="I468">
        <v>11.5</v>
      </c>
      <c r="J468">
        <v>12.3</v>
      </c>
      <c r="K468">
        <v>8.6999999999999993</v>
      </c>
      <c r="L468">
        <v>13.2</v>
      </c>
      <c r="M468">
        <v>2.6</v>
      </c>
      <c r="N468">
        <v>4.5</v>
      </c>
      <c r="O468">
        <v>2.8</v>
      </c>
      <c r="P468">
        <v>12.9</v>
      </c>
      <c r="Q468">
        <v>14.3</v>
      </c>
      <c r="R468" t="s">
        <v>22</v>
      </c>
      <c r="S468">
        <v>26.2</v>
      </c>
      <c r="T468">
        <v>14.5</v>
      </c>
      <c r="U468">
        <v>40.5</v>
      </c>
      <c r="V468">
        <v>17.399999999999999</v>
      </c>
      <c r="W468">
        <v>21.8</v>
      </c>
      <c r="X468">
        <v>4</v>
      </c>
      <c r="Y468">
        <v>21.4</v>
      </c>
      <c r="Z468">
        <v>12.3</v>
      </c>
      <c r="AA468">
        <v>14.2</v>
      </c>
      <c r="AB468">
        <f t="shared" si="14"/>
        <v>228.6</v>
      </c>
      <c r="AC468">
        <v>240.9</v>
      </c>
      <c r="AD468">
        <v>12</v>
      </c>
      <c r="AE468">
        <f t="shared" si="15"/>
        <v>11</v>
      </c>
      <c r="AF468">
        <v>5</v>
      </c>
      <c r="AG468">
        <v>4</v>
      </c>
      <c r="AH468">
        <v>2</v>
      </c>
      <c r="AI468">
        <v>1</v>
      </c>
      <c r="AJ468">
        <v>0.70588235294117652</v>
      </c>
      <c r="AK468">
        <v>0.29411764705882354</v>
      </c>
      <c r="AL468">
        <v>0.23529411764705882</v>
      </c>
      <c r="AM468">
        <v>0.11764705882352941</v>
      </c>
      <c r="AN468">
        <v>5.8823529411764705E-2</v>
      </c>
    </row>
    <row r="469" spans="1:40" x14ac:dyDescent="0.25">
      <c r="A469">
        <v>2024</v>
      </c>
      <c r="B469" t="s">
        <v>99</v>
      </c>
      <c r="C469" t="str">
        <f>IF(COUNTIF('Rookies 22-25'!$B$126:$B$197,E469)&gt;0,"(R)","No")</f>
        <v>(R)</v>
      </c>
      <c r="D469">
        <v>12</v>
      </c>
      <c r="E469" t="s">
        <v>129</v>
      </c>
      <c r="F469" t="s">
        <v>51</v>
      </c>
      <c r="G469">
        <f>VLOOKUP(E469,'24 Draft ADP'!$B$3:$D$436,3,FALSE)</f>
        <v>94</v>
      </c>
      <c r="H469">
        <v>16</v>
      </c>
      <c r="I469">
        <v>14.9</v>
      </c>
      <c r="J469">
        <v>4.5999999999999996</v>
      </c>
      <c r="K469">
        <v>7.4</v>
      </c>
      <c r="L469">
        <v>17.7</v>
      </c>
      <c r="M469" t="s">
        <v>22</v>
      </c>
      <c r="N469">
        <v>8.3000000000000007</v>
      </c>
      <c r="O469">
        <v>9.6</v>
      </c>
      <c r="P469">
        <v>29.1</v>
      </c>
      <c r="Q469">
        <v>11.4</v>
      </c>
      <c r="R469">
        <v>7.2</v>
      </c>
      <c r="S469">
        <v>18.3</v>
      </c>
      <c r="T469">
        <v>14.3</v>
      </c>
      <c r="U469">
        <v>20.7</v>
      </c>
      <c r="V469" t="s">
        <v>33</v>
      </c>
      <c r="W469">
        <v>16.8</v>
      </c>
      <c r="X469">
        <v>14.7</v>
      </c>
      <c r="Y469">
        <v>29.4</v>
      </c>
      <c r="Z469">
        <v>16.5</v>
      </c>
      <c r="AA469">
        <v>15.1</v>
      </c>
      <c r="AB469">
        <f t="shared" si="14"/>
        <v>224.4</v>
      </c>
      <c r="AC469">
        <v>240.9</v>
      </c>
      <c r="AD469">
        <v>8</v>
      </c>
      <c r="AE469">
        <f t="shared" si="15"/>
        <v>10</v>
      </c>
      <c r="AF469">
        <v>7</v>
      </c>
      <c r="AG469">
        <v>3</v>
      </c>
      <c r="AH469">
        <v>2</v>
      </c>
      <c r="AI469">
        <v>0</v>
      </c>
      <c r="AJ469">
        <v>0.6470588235294118</v>
      </c>
      <c r="AK469">
        <v>0.4375</v>
      </c>
      <c r="AL469">
        <v>0.1875</v>
      </c>
      <c r="AM469">
        <v>0.125</v>
      </c>
      <c r="AN469">
        <v>0</v>
      </c>
    </row>
    <row r="470" spans="1:40" x14ac:dyDescent="0.25">
      <c r="A470">
        <v>2024</v>
      </c>
      <c r="B470" t="s">
        <v>99</v>
      </c>
      <c r="C470" t="str">
        <f>IF(COUNTIF('Rookies 22-25'!$B$126:$B$197,E470)&gt;0,"(R)","No")</f>
        <v>No</v>
      </c>
      <c r="D470">
        <v>14</v>
      </c>
      <c r="E470" t="s">
        <v>174</v>
      </c>
      <c r="F470" t="s">
        <v>65</v>
      </c>
      <c r="G470">
        <f>VLOOKUP(E470,'24 Draft ADP'!$B$3:$D$436,3,FALSE)</f>
        <v>33</v>
      </c>
      <c r="H470">
        <v>14</v>
      </c>
      <c r="I470">
        <v>23.1</v>
      </c>
      <c r="J470">
        <v>7.2</v>
      </c>
      <c r="K470">
        <v>3.7</v>
      </c>
      <c r="L470">
        <v>23.4</v>
      </c>
      <c r="M470">
        <v>23.2</v>
      </c>
      <c r="N470">
        <v>5.4</v>
      </c>
      <c r="O470">
        <v>9.5</v>
      </c>
      <c r="P470" t="s">
        <v>33</v>
      </c>
      <c r="Q470" t="s">
        <v>33</v>
      </c>
      <c r="R470" t="s">
        <v>33</v>
      </c>
      <c r="S470" t="s">
        <v>22</v>
      </c>
      <c r="T470">
        <v>11.8</v>
      </c>
      <c r="U470">
        <v>25.8</v>
      </c>
      <c r="V470">
        <v>10.9</v>
      </c>
      <c r="W470">
        <v>36.9</v>
      </c>
      <c r="X470">
        <v>11.9</v>
      </c>
      <c r="Y470">
        <v>29.7</v>
      </c>
      <c r="Z470">
        <v>17.899999999999999</v>
      </c>
      <c r="AA470">
        <v>17.2</v>
      </c>
      <c r="AB470">
        <f t="shared" si="14"/>
        <v>222.5</v>
      </c>
      <c r="AC470">
        <v>240.4</v>
      </c>
      <c r="AD470">
        <v>3</v>
      </c>
      <c r="AE470">
        <f t="shared" si="15"/>
        <v>9</v>
      </c>
      <c r="AF470">
        <v>7</v>
      </c>
      <c r="AG470">
        <v>6</v>
      </c>
      <c r="AH470">
        <v>3</v>
      </c>
      <c r="AI470">
        <v>1</v>
      </c>
      <c r="AJ470">
        <v>0.58823529411764708</v>
      </c>
      <c r="AK470">
        <v>0.5</v>
      </c>
      <c r="AL470">
        <v>0.42857142857142855</v>
      </c>
      <c r="AM470">
        <v>0.21428571428571427</v>
      </c>
      <c r="AN470">
        <v>7.1428571428571425E-2</v>
      </c>
    </row>
    <row r="471" spans="1:40" x14ac:dyDescent="0.25">
      <c r="A471">
        <v>2024</v>
      </c>
      <c r="B471" t="s">
        <v>99</v>
      </c>
      <c r="C471" t="str">
        <f>IF(COUNTIF('Rookies 22-25'!$B$126:$B$197,E471)&gt;0,"(R)","No")</f>
        <v>No</v>
      </c>
      <c r="D471">
        <v>15</v>
      </c>
      <c r="E471" t="s">
        <v>112</v>
      </c>
      <c r="F471" t="s">
        <v>78</v>
      </c>
      <c r="G471">
        <f>VLOOKUP(E471,'24 Draft ADP'!$B$3:$D$436,3,FALSE)</f>
        <v>92</v>
      </c>
      <c r="H471">
        <v>17</v>
      </c>
      <c r="I471">
        <v>7.8</v>
      </c>
      <c r="J471">
        <v>3.6</v>
      </c>
      <c r="K471">
        <v>13.8</v>
      </c>
      <c r="L471">
        <v>15</v>
      </c>
      <c r="M471">
        <v>5.2</v>
      </c>
      <c r="N471">
        <v>15.3</v>
      </c>
      <c r="O471">
        <v>0</v>
      </c>
      <c r="P471">
        <v>17.100000000000001</v>
      </c>
      <c r="Q471">
        <v>23.3</v>
      </c>
      <c r="R471">
        <v>19</v>
      </c>
      <c r="S471">
        <v>14.8</v>
      </c>
      <c r="T471">
        <v>29.7</v>
      </c>
      <c r="U471">
        <v>16.2</v>
      </c>
      <c r="V471" t="s">
        <v>22</v>
      </c>
      <c r="W471">
        <v>12.2</v>
      </c>
      <c r="X471">
        <v>10</v>
      </c>
      <c r="Y471">
        <v>16.5</v>
      </c>
      <c r="Z471">
        <v>20.8</v>
      </c>
      <c r="AA471">
        <v>14.1</v>
      </c>
      <c r="AB471">
        <f t="shared" si="14"/>
        <v>219.5</v>
      </c>
      <c r="AC471">
        <v>240.3</v>
      </c>
      <c r="AD471">
        <v>8</v>
      </c>
      <c r="AE471">
        <f t="shared" si="15"/>
        <v>11</v>
      </c>
      <c r="AF471">
        <v>8</v>
      </c>
      <c r="AG471">
        <v>3</v>
      </c>
      <c r="AH471">
        <v>1</v>
      </c>
      <c r="AI471">
        <v>0</v>
      </c>
      <c r="AJ471">
        <v>0.70588235294117652</v>
      </c>
      <c r="AK471">
        <v>0.47058823529411764</v>
      </c>
      <c r="AL471">
        <v>0.17647058823529413</v>
      </c>
      <c r="AM471">
        <v>5.8823529411764705E-2</v>
      </c>
      <c r="AN471">
        <v>0</v>
      </c>
    </row>
    <row r="472" spans="1:40" x14ac:dyDescent="0.25">
      <c r="A472">
        <v>2024</v>
      </c>
      <c r="B472" t="s">
        <v>99</v>
      </c>
      <c r="C472" t="str">
        <f>IF(COUNTIF('Rookies 22-25'!$B$126:$B$197,E472)&gt;0,"(R)","No")</f>
        <v>No</v>
      </c>
      <c r="D472">
        <v>16</v>
      </c>
      <c r="E472" t="s">
        <v>134</v>
      </c>
      <c r="F472" t="s">
        <v>45</v>
      </c>
      <c r="G472">
        <f>VLOOKUP(E472,'24 Draft ADP'!$B$3:$D$436,3,FALSE)</f>
        <v>30</v>
      </c>
      <c r="H472">
        <v>17</v>
      </c>
      <c r="I472">
        <v>10</v>
      </c>
      <c r="J472">
        <v>11.3</v>
      </c>
      <c r="K472">
        <v>15.2</v>
      </c>
      <c r="L472">
        <v>11.2</v>
      </c>
      <c r="M472">
        <v>27.5</v>
      </c>
      <c r="N472">
        <v>6</v>
      </c>
      <c r="O472" t="s">
        <v>22</v>
      </c>
      <c r="P472">
        <v>5.4</v>
      </c>
      <c r="Q472">
        <v>7.3</v>
      </c>
      <c r="R472">
        <v>5.7</v>
      </c>
      <c r="S472">
        <v>13.7</v>
      </c>
      <c r="T472">
        <v>26.9</v>
      </c>
      <c r="U472">
        <v>23.7</v>
      </c>
      <c r="V472">
        <v>10.9</v>
      </c>
      <c r="W472">
        <v>15</v>
      </c>
      <c r="X472">
        <v>14</v>
      </c>
      <c r="Y472">
        <v>12.2</v>
      </c>
      <c r="Z472">
        <v>22.1</v>
      </c>
      <c r="AA472">
        <v>14</v>
      </c>
      <c r="AB472">
        <f t="shared" si="14"/>
        <v>216</v>
      </c>
      <c r="AC472">
        <v>238.1</v>
      </c>
      <c r="AD472">
        <v>3</v>
      </c>
      <c r="AE472">
        <f t="shared" si="15"/>
        <v>11</v>
      </c>
      <c r="AF472">
        <v>5</v>
      </c>
      <c r="AG472">
        <v>4</v>
      </c>
      <c r="AH472">
        <v>2</v>
      </c>
      <c r="AI472">
        <v>0</v>
      </c>
      <c r="AJ472">
        <v>0.70588235294117652</v>
      </c>
      <c r="AK472">
        <v>0.29411764705882354</v>
      </c>
      <c r="AL472">
        <v>0.23529411764705882</v>
      </c>
      <c r="AM472">
        <v>0.11764705882352941</v>
      </c>
      <c r="AN472">
        <v>0</v>
      </c>
    </row>
    <row r="473" spans="1:40" x14ac:dyDescent="0.25">
      <c r="A473">
        <v>2024</v>
      </c>
      <c r="B473" t="s">
        <v>99</v>
      </c>
      <c r="C473" t="str">
        <f>IF(COUNTIF('Rookies 22-25'!$B$126:$B$197,E473)&gt;0,"(R)","No")</f>
        <v>No</v>
      </c>
      <c r="D473">
        <v>17</v>
      </c>
      <c r="E473" t="s">
        <v>114</v>
      </c>
      <c r="F473" t="s">
        <v>89</v>
      </c>
      <c r="G473">
        <f>VLOOKUP(E473,'24 Draft ADP'!$B$3:$D$436,3,FALSE)</f>
        <v>49</v>
      </c>
      <c r="H473">
        <v>12</v>
      </c>
      <c r="I473" t="s">
        <v>33</v>
      </c>
      <c r="J473" t="s">
        <v>33</v>
      </c>
      <c r="K473">
        <v>6.9</v>
      </c>
      <c r="L473">
        <v>12</v>
      </c>
      <c r="M473">
        <v>29.3</v>
      </c>
      <c r="N473">
        <v>14.7</v>
      </c>
      <c r="O473">
        <v>18.2</v>
      </c>
      <c r="P473" t="s">
        <v>33</v>
      </c>
      <c r="Q473" t="s">
        <v>33</v>
      </c>
      <c r="R473" t="s">
        <v>33</v>
      </c>
      <c r="S473">
        <v>29.8</v>
      </c>
      <c r="T473" t="s">
        <v>22</v>
      </c>
      <c r="U473">
        <v>17.899999999999999</v>
      </c>
      <c r="V473">
        <v>4.3</v>
      </c>
      <c r="W473">
        <v>19.8</v>
      </c>
      <c r="X473">
        <v>19.8</v>
      </c>
      <c r="Y473">
        <v>40.1</v>
      </c>
      <c r="Z473">
        <v>9.3000000000000007</v>
      </c>
      <c r="AA473">
        <v>18.5</v>
      </c>
      <c r="AB473">
        <f t="shared" si="14"/>
        <v>212.79999999999998</v>
      </c>
      <c r="AC473">
        <v>222.1</v>
      </c>
      <c r="AD473">
        <v>5</v>
      </c>
      <c r="AE473">
        <f t="shared" si="15"/>
        <v>9</v>
      </c>
      <c r="AF473">
        <v>7</v>
      </c>
      <c r="AG473">
        <v>3</v>
      </c>
      <c r="AH473">
        <v>3</v>
      </c>
      <c r="AI473">
        <v>1</v>
      </c>
      <c r="AJ473">
        <v>0.52941176470588236</v>
      </c>
      <c r="AK473">
        <v>0.58333333333333337</v>
      </c>
      <c r="AL473">
        <v>0.25</v>
      </c>
      <c r="AM473">
        <v>0.25</v>
      </c>
      <c r="AN473">
        <v>8.3333333333333329E-2</v>
      </c>
    </row>
    <row r="474" spans="1:40" x14ac:dyDescent="0.25">
      <c r="A474">
        <v>2024</v>
      </c>
      <c r="B474" t="s">
        <v>99</v>
      </c>
      <c r="C474" t="str">
        <f>IF(COUNTIF('Rookies 22-25'!$B$126:$B$197,E474)&gt;0,"(R)","No")</f>
        <v>No</v>
      </c>
      <c r="D474">
        <v>18</v>
      </c>
      <c r="E474" t="s">
        <v>204</v>
      </c>
      <c r="F474" t="s">
        <v>84</v>
      </c>
      <c r="G474">
        <f>VLOOKUP(E474,'24 Draft ADP'!$B$3:$D$436,3,FALSE)</f>
        <v>3</v>
      </c>
      <c r="H474">
        <v>17</v>
      </c>
      <c r="I474">
        <v>26</v>
      </c>
      <c r="J474">
        <v>6.6</v>
      </c>
      <c r="K474">
        <v>7</v>
      </c>
      <c r="L474">
        <v>8.1999999999999993</v>
      </c>
      <c r="M474">
        <v>12.9</v>
      </c>
      <c r="N474" t="s">
        <v>22</v>
      </c>
      <c r="O474">
        <v>2.2999999999999998</v>
      </c>
      <c r="P474">
        <v>13.2</v>
      </c>
      <c r="Q474">
        <v>12</v>
      </c>
      <c r="R474">
        <v>11.7</v>
      </c>
      <c r="S474">
        <v>19.100000000000001</v>
      </c>
      <c r="T474">
        <v>9.8000000000000007</v>
      </c>
      <c r="U474">
        <v>20.3</v>
      </c>
      <c r="V474">
        <v>28.1</v>
      </c>
      <c r="W474">
        <v>5.6</v>
      </c>
      <c r="X474">
        <v>11.9</v>
      </c>
      <c r="Y474">
        <v>19.5</v>
      </c>
      <c r="Z474">
        <v>4</v>
      </c>
      <c r="AA474">
        <v>12.8</v>
      </c>
      <c r="AB474">
        <f t="shared" si="14"/>
        <v>214.2</v>
      </c>
      <c r="AC474">
        <v>218.2</v>
      </c>
      <c r="AD474">
        <v>1</v>
      </c>
      <c r="AE474">
        <f t="shared" si="15"/>
        <v>10</v>
      </c>
      <c r="AF474">
        <v>5</v>
      </c>
      <c r="AG474">
        <v>3</v>
      </c>
      <c r="AH474">
        <v>2</v>
      </c>
      <c r="AI474">
        <v>0</v>
      </c>
      <c r="AJ474">
        <v>0.58823529411764708</v>
      </c>
      <c r="AK474">
        <v>0.29411764705882354</v>
      </c>
      <c r="AL474">
        <v>0.17647058823529413</v>
      </c>
      <c r="AM474">
        <v>0.11764705882352941</v>
      </c>
      <c r="AN474">
        <v>0</v>
      </c>
    </row>
    <row r="475" spans="1:40" x14ac:dyDescent="0.25">
      <c r="A475">
        <v>2024</v>
      </c>
      <c r="B475" t="s">
        <v>99</v>
      </c>
      <c r="C475" t="str">
        <f>IF(COUNTIF('Rookies 22-25'!$B$126:$B$197,E475)&gt;0,"(R)","No")</f>
        <v>No</v>
      </c>
      <c r="D475">
        <v>19</v>
      </c>
      <c r="E475" t="s">
        <v>131</v>
      </c>
      <c r="F475" t="s">
        <v>43</v>
      </c>
      <c r="G475">
        <f>VLOOKUP(E475,'24 Draft ADP'!$B$3:$D$436,3,FALSE)</f>
        <v>121</v>
      </c>
      <c r="H475">
        <v>15</v>
      </c>
      <c r="I475">
        <v>9.4</v>
      </c>
      <c r="J475">
        <v>6.9</v>
      </c>
      <c r="K475">
        <v>21.2</v>
      </c>
      <c r="L475">
        <v>9.9</v>
      </c>
      <c r="M475">
        <v>13.2</v>
      </c>
      <c r="N475" t="s">
        <v>33</v>
      </c>
      <c r="O475" t="s">
        <v>33</v>
      </c>
      <c r="P475">
        <v>17.2</v>
      </c>
      <c r="Q475">
        <v>18.5</v>
      </c>
      <c r="R475" t="s">
        <v>22</v>
      </c>
      <c r="S475">
        <v>8.8000000000000007</v>
      </c>
      <c r="T475">
        <v>22.1</v>
      </c>
      <c r="U475">
        <v>15.7</v>
      </c>
      <c r="V475">
        <v>13.7</v>
      </c>
      <c r="W475">
        <v>10.9</v>
      </c>
      <c r="X475">
        <v>6.1</v>
      </c>
      <c r="Y475">
        <v>17.100000000000001</v>
      </c>
      <c r="Z475">
        <v>27.3</v>
      </c>
      <c r="AA475">
        <v>14.5</v>
      </c>
      <c r="AB475">
        <f t="shared" si="14"/>
        <v>190.7</v>
      </c>
      <c r="AC475">
        <v>218</v>
      </c>
      <c r="AD475">
        <v>11</v>
      </c>
      <c r="AE475">
        <f t="shared" si="15"/>
        <v>9</v>
      </c>
      <c r="AF475">
        <v>7</v>
      </c>
      <c r="AG475">
        <v>3</v>
      </c>
      <c r="AH475">
        <v>1</v>
      </c>
      <c r="AI475">
        <v>0</v>
      </c>
      <c r="AJ475">
        <v>0.58823529411764708</v>
      </c>
      <c r="AK475">
        <v>0.46666666666666667</v>
      </c>
      <c r="AL475">
        <v>0.2</v>
      </c>
      <c r="AM475">
        <v>6.6666666666666666E-2</v>
      </c>
      <c r="AN475">
        <v>0</v>
      </c>
    </row>
    <row r="476" spans="1:40" x14ac:dyDescent="0.25">
      <c r="A476">
        <v>2024</v>
      </c>
      <c r="B476" t="s">
        <v>99</v>
      </c>
      <c r="C476" t="str">
        <f>IF(COUNTIF('Rookies 22-25'!$B$126:$B$197,E476)&gt;0,"(R)","No")</f>
        <v>No</v>
      </c>
      <c r="D476">
        <v>20</v>
      </c>
      <c r="E476" t="s">
        <v>110</v>
      </c>
      <c r="F476" t="s">
        <v>35</v>
      </c>
      <c r="G476">
        <f>VLOOKUP(E476,'24 Draft ADP'!$B$3:$D$436,3,FALSE)</f>
        <v>9</v>
      </c>
      <c r="H476">
        <v>13</v>
      </c>
      <c r="I476">
        <v>22.9</v>
      </c>
      <c r="J476" t="s">
        <v>33</v>
      </c>
      <c r="K476" t="s">
        <v>33</v>
      </c>
      <c r="L476" t="s">
        <v>33</v>
      </c>
      <c r="M476" t="s">
        <v>22</v>
      </c>
      <c r="N476">
        <v>23.6</v>
      </c>
      <c r="O476">
        <v>19.899999999999999</v>
      </c>
      <c r="P476">
        <v>13.4</v>
      </c>
      <c r="Q476">
        <v>5.6</v>
      </c>
      <c r="R476">
        <v>15.9</v>
      </c>
      <c r="S476">
        <v>11.5</v>
      </c>
      <c r="T476">
        <v>22.9</v>
      </c>
      <c r="U476">
        <v>11.6</v>
      </c>
      <c r="V476">
        <v>8.3000000000000007</v>
      </c>
      <c r="W476">
        <v>25</v>
      </c>
      <c r="X476">
        <v>23.7</v>
      </c>
      <c r="Y476">
        <v>12.6</v>
      </c>
      <c r="Z476">
        <v>0</v>
      </c>
      <c r="AA476">
        <v>16.7</v>
      </c>
      <c r="AB476">
        <f t="shared" si="14"/>
        <v>216.9</v>
      </c>
      <c r="AC476">
        <v>216.9</v>
      </c>
      <c r="AD476">
        <v>1</v>
      </c>
      <c r="AE476">
        <f t="shared" si="15"/>
        <v>11</v>
      </c>
      <c r="AF476">
        <v>7</v>
      </c>
      <c r="AG476">
        <v>5</v>
      </c>
      <c r="AH476">
        <v>0</v>
      </c>
      <c r="AI476">
        <v>0</v>
      </c>
      <c r="AJ476">
        <v>0.6470588235294118</v>
      </c>
      <c r="AK476">
        <v>0.53846153846153844</v>
      </c>
      <c r="AL476">
        <v>0.38461538461538464</v>
      </c>
      <c r="AM476">
        <v>0</v>
      </c>
      <c r="AN476">
        <v>0</v>
      </c>
    </row>
    <row r="477" spans="1:40" x14ac:dyDescent="0.25">
      <c r="A477">
        <v>2024</v>
      </c>
      <c r="B477" t="s">
        <v>99</v>
      </c>
      <c r="C477" t="str">
        <f>IF(COUNTIF('Rookies 22-25'!$B$126:$B$197,E477)&gt;0,"(R)","No")</f>
        <v>No</v>
      </c>
      <c r="D477">
        <v>21</v>
      </c>
      <c r="E477" t="s">
        <v>144</v>
      </c>
      <c r="F477" t="s">
        <v>73</v>
      </c>
      <c r="G477">
        <f>VLOOKUP(E477,'24 Draft ADP'!$B$3:$D$436,3,FALSE)</f>
        <v>103</v>
      </c>
      <c r="H477">
        <v>15</v>
      </c>
      <c r="I477">
        <v>6.5</v>
      </c>
      <c r="J477" t="s">
        <v>33</v>
      </c>
      <c r="K477" t="s">
        <v>33</v>
      </c>
      <c r="L477">
        <v>22.9</v>
      </c>
      <c r="M477">
        <v>6.6</v>
      </c>
      <c r="N477" t="s">
        <v>22</v>
      </c>
      <c r="O477">
        <v>9.6</v>
      </c>
      <c r="P477">
        <v>4.2</v>
      </c>
      <c r="Q477">
        <v>16.100000000000001</v>
      </c>
      <c r="R477">
        <v>4.9000000000000004</v>
      </c>
      <c r="S477">
        <v>15.1</v>
      </c>
      <c r="T477">
        <v>30.2</v>
      </c>
      <c r="U477">
        <v>9.4</v>
      </c>
      <c r="V477">
        <v>39.299999999999997</v>
      </c>
      <c r="W477">
        <v>13.3</v>
      </c>
      <c r="X477">
        <v>14.5</v>
      </c>
      <c r="Y477">
        <v>18.899999999999999</v>
      </c>
      <c r="Z477">
        <v>1</v>
      </c>
      <c r="AA477">
        <v>14.2</v>
      </c>
      <c r="AB477">
        <f t="shared" si="14"/>
        <v>211.5</v>
      </c>
      <c r="AC477">
        <v>212.5</v>
      </c>
      <c r="AD477">
        <v>9</v>
      </c>
      <c r="AE477">
        <f t="shared" si="15"/>
        <v>8</v>
      </c>
      <c r="AF477">
        <v>6</v>
      </c>
      <c r="AG477">
        <v>3</v>
      </c>
      <c r="AH477">
        <v>2</v>
      </c>
      <c r="AI477">
        <v>2</v>
      </c>
      <c r="AJ477">
        <v>0.47058823529411764</v>
      </c>
      <c r="AK477">
        <v>0.4</v>
      </c>
      <c r="AL477">
        <v>0.2</v>
      </c>
      <c r="AM477">
        <v>0.13333333333333333</v>
      </c>
      <c r="AN477">
        <v>0.13333333333333333</v>
      </c>
    </row>
    <row r="478" spans="1:40" x14ac:dyDescent="0.25">
      <c r="A478">
        <v>2024</v>
      </c>
      <c r="B478" t="s">
        <v>99</v>
      </c>
      <c r="C478" t="str">
        <f>IF(COUNTIF('Rookies 22-25'!$B$126:$B$197,E478)&gt;0,"(R)","No")</f>
        <v>No</v>
      </c>
      <c r="D478">
        <v>22</v>
      </c>
      <c r="E478" t="s">
        <v>111</v>
      </c>
      <c r="F478" t="s">
        <v>75</v>
      </c>
      <c r="G478">
        <f>VLOOKUP(E478,'24 Draft ADP'!$B$3:$D$436,3,FALSE)</f>
        <v>95</v>
      </c>
      <c r="H478">
        <v>15</v>
      </c>
      <c r="I478">
        <v>24.4</v>
      </c>
      <c r="J478">
        <v>14.4</v>
      </c>
      <c r="K478">
        <v>1.2</v>
      </c>
      <c r="L478">
        <v>16</v>
      </c>
      <c r="M478" t="s">
        <v>22</v>
      </c>
      <c r="N478">
        <v>17.7</v>
      </c>
      <c r="O478">
        <v>0.6</v>
      </c>
      <c r="P478" t="s">
        <v>33</v>
      </c>
      <c r="Q478" t="s">
        <v>33</v>
      </c>
      <c r="R478">
        <v>8.3000000000000007</v>
      </c>
      <c r="S478">
        <v>22.6</v>
      </c>
      <c r="T478">
        <v>11.8</v>
      </c>
      <c r="U478">
        <v>9.6</v>
      </c>
      <c r="V478">
        <v>13</v>
      </c>
      <c r="W478">
        <v>12.7</v>
      </c>
      <c r="X478">
        <v>26</v>
      </c>
      <c r="Y478">
        <v>24.5</v>
      </c>
      <c r="Z478">
        <v>9.4</v>
      </c>
      <c r="AA478">
        <v>14.1</v>
      </c>
      <c r="AB478">
        <f t="shared" si="14"/>
        <v>202.79999999999998</v>
      </c>
      <c r="AC478">
        <v>212.2</v>
      </c>
      <c r="AD478">
        <v>8</v>
      </c>
      <c r="AE478">
        <f t="shared" si="15"/>
        <v>10</v>
      </c>
      <c r="AF478">
        <v>6</v>
      </c>
      <c r="AG478">
        <v>4</v>
      </c>
      <c r="AH478">
        <v>1</v>
      </c>
      <c r="AI478">
        <v>0</v>
      </c>
      <c r="AJ478">
        <v>0.58823529411764708</v>
      </c>
      <c r="AK478">
        <v>0.4</v>
      </c>
      <c r="AL478">
        <v>0.26666666666666666</v>
      </c>
      <c r="AM478">
        <v>6.6666666666666666E-2</v>
      </c>
      <c r="AN478">
        <v>0</v>
      </c>
    </row>
    <row r="479" spans="1:40" x14ac:dyDescent="0.25">
      <c r="A479">
        <v>2024</v>
      </c>
      <c r="B479" t="s">
        <v>99</v>
      </c>
      <c r="C479" t="str">
        <f>IF(COUNTIF('Rookies 22-25'!$B$126:$B$197,E479)&gt;0,"(R)","No")</f>
        <v>No</v>
      </c>
      <c r="D479">
        <v>23</v>
      </c>
      <c r="E479" t="s">
        <v>107</v>
      </c>
      <c r="F479" t="s">
        <v>41</v>
      </c>
      <c r="G479">
        <f>VLOOKUP(E479,'24 Draft ADP'!$B$3:$D$436,3,FALSE)</f>
        <v>18</v>
      </c>
      <c r="H479">
        <v>12</v>
      </c>
      <c r="I479">
        <v>17.7</v>
      </c>
      <c r="J479">
        <v>27.5</v>
      </c>
      <c r="K479">
        <v>12.6</v>
      </c>
      <c r="L479">
        <v>33.1</v>
      </c>
      <c r="M479">
        <v>15.8</v>
      </c>
      <c r="N479" t="s">
        <v>33</v>
      </c>
      <c r="O479" t="s">
        <v>33</v>
      </c>
      <c r="P479" t="s">
        <v>33</v>
      </c>
      <c r="Q479" t="s">
        <v>33</v>
      </c>
      <c r="R479" t="s">
        <v>33</v>
      </c>
      <c r="S479">
        <v>9.4</v>
      </c>
      <c r="T479">
        <v>20.2</v>
      </c>
      <c r="U479">
        <v>19.899999999999999</v>
      </c>
      <c r="V479" t="s">
        <v>22</v>
      </c>
      <c r="W479">
        <v>17.7</v>
      </c>
      <c r="X479">
        <v>13</v>
      </c>
      <c r="Y479">
        <v>8.9</v>
      </c>
      <c r="Z479">
        <v>14.8</v>
      </c>
      <c r="AA479">
        <v>17.600000000000001</v>
      </c>
      <c r="AB479">
        <f t="shared" si="14"/>
        <v>195.79999999999998</v>
      </c>
      <c r="AC479">
        <v>210.6</v>
      </c>
      <c r="AD479">
        <v>2</v>
      </c>
      <c r="AE479">
        <f t="shared" si="15"/>
        <v>9</v>
      </c>
      <c r="AF479">
        <v>7</v>
      </c>
      <c r="AG479">
        <v>3</v>
      </c>
      <c r="AH479">
        <v>2</v>
      </c>
      <c r="AI479">
        <v>1</v>
      </c>
      <c r="AJ479">
        <v>0.58823529411764708</v>
      </c>
      <c r="AK479">
        <v>0.58333333333333337</v>
      </c>
      <c r="AL479">
        <v>0.25</v>
      </c>
      <c r="AM479">
        <v>0.16666666666666666</v>
      </c>
      <c r="AN479">
        <v>8.3333333333333329E-2</v>
      </c>
    </row>
    <row r="480" spans="1:40" x14ac:dyDescent="0.25">
      <c r="A480">
        <v>2024</v>
      </c>
      <c r="B480" t="s">
        <v>99</v>
      </c>
      <c r="C480" t="str">
        <f>IF(COUNTIF('Rookies 22-25'!$B$126:$B$197,E480)&gt;0,"(R)","No")</f>
        <v>No</v>
      </c>
      <c r="D480">
        <v>24</v>
      </c>
      <c r="E480" t="s">
        <v>132</v>
      </c>
      <c r="F480" t="s">
        <v>47</v>
      </c>
      <c r="G480">
        <f>VLOOKUP(E480,'24 Draft ADP'!$B$3:$D$436,3,FALSE)</f>
        <v>251</v>
      </c>
      <c r="H480">
        <v>15</v>
      </c>
      <c r="I480">
        <v>11.4</v>
      </c>
      <c r="J480">
        <v>5.7</v>
      </c>
      <c r="K480">
        <v>46.5</v>
      </c>
      <c r="L480">
        <v>11.8</v>
      </c>
      <c r="M480">
        <v>2.2999999999999998</v>
      </c>
      <c r="N480">
        <v>5.7</v>
      </c>
      <c r="O480" t="s">
        <v>33</v>
      </c>
      <c r="P480" t="s">
        <v>33</v>
      </c>
      <c r="Q480" t="s">
        <v>22</v>
      </c>
      <c r="R480">
        <v>16.3</v>
      </c>
      <c r="S480">
        <v>25.1</v>
      </c>
      <c r="T480">
        <v>9</v>
      </c>
      <c r="U480">
        <v>8.6</v>
      </c>
      <c r="V480">
        <v>28</v>
      </c>
      <c r="W480">
        <v>5.0999999999999996</v>
      </c>
      <c r="X480">
        <v>9.1</v>
      </c>
      <c r="Y480">
        <v>13.7</v>
      </c>
      <c r="Z480">
        <v>12.2</v>
      </c>
      <c r="AA480">
        <v>14</v>
      </c>
      <c r="AB480">
        <f t="shared" si="14"/>
        <v>198.3</v>
      </c>
      <c r="AC480">
        <v>210.5</v>
      </c>
      <c r="AD480">
        <v>20</v>
      </c>
      <c r="AE480">
        <f t="shared" si="15"/>
        <v>7</v>
      </c>
      <c r="AF480">
        <v>4</v>
      </c>
      <c r="AG480">
        <v>3</v>
      </c>
      <c r="AH480">
        <v>3</v>
      </c>
      <c r="AI480">
        <v>1</v>
      </c>
      <c r="AJ480">
        <v>0.47058823529411764</v>
      </c>
      <c r="AK480">
        <v>0.26666666666666666</v>
      </c>
      <c r="AL480">
        <v>0.2</v>
      </c>
      <c r="AM480">
        <v>0.2</v>
      </c>
      <c r="AN480">
        <v>6.6666666666666666E-2</v>
      </c>
    </row>
    <row r="481" spans="1:40" x14ac:dyDescent="0.25">
      <c r="A481">
        <v>2024</v>
      </c>
      <c r="B481" t="s">
        <v>99</v>
      </c>
      <c r="C481" t="str">
        <f>IF(COUNTIF('Rookies 22-25'!$B$126:$B$197,E481)&gt;0,"(R)","No")</f>
        <v>No</v>
      </c>
      <c r="D481">
        <v>25</v>
      </c>
      <c r="E481" t="s">
        <v>106</v>
      </c>
      <c r="F481" t="s">
        <v>53</v>
      </c>
      <c r="G481">
        <f>VLOOKUP(E481,'24 Draft ADP'!$B$3:$D$436,3,FALSE)</f>
        <v>51</v>
      </c>
      <c r="H481">
        <v>17</v>
      </c>
      <c r="I481">
        <v>11.1</v>
      </c>
      <c r="J481">
        <v>22.1</v>
      </c>
      <c r="K481">
        <v>5.3</v>
      </c>
      <c r="L481">
        <v>2</v>
      </c>
      <c r="M481">
        <v>19</v>
      </c>
      <c r="N481">
        <v>22.4</v>
      </c>
      <c r="O481">
        <v>4</v>
      </c>
      <c r="P481">
        <v>18.5</v>
      </c>
      <c r="Q481">
        <v>29.7</v>
      </c>
      <c r="R481">
        <v>7.4</v>
      </c>
      <c r="S481">
        <v>11.9</v>
      </c>
      <c r="T481">
        <v>11.2</v>
      </c>
      <c r="U481">
        <v>10.1</v>
      </c>
      <c r="V481" t="s">
        <v>22</v>
      </c>
      <c r="W481">
        <v>11.3</v>
      </c>
      <c r="X481">
        <v>15.3</v>
      </c>
      <c r="Y481">
        <v>5.0999999999999996</v>
      </c>
      <c r="Z481">
        <v>3.1</v>
      </c>
      <c r="AA481">
        <v>12.3</v>
      </c>
      <c r="AB481">
        <f t="shared" si="14"/>
        <v>206.4</v>
      </c>
      <c r="AC481">
        <v>209.5</v>
      </c>
      <c r="AD481">
        <v>5</v>
      </c>
      <c r="AE481">
        <f t="shared" si="15"/>
        <v>11</v>
      </c>
      <c r="AF481">
        <v>6</v>
      </c>
      <c r="AG481">
        <v>3</v>
      </c>
      <c r="AH481">
        <v>1</v>
      </c>
      <c r="AI481">
        <v>0</v>
      </c>
      <c r="AJ481">
        <v>0.6470588235294118</v>
      </c>
      <c r="AK481">
        <v>0.35294117647058826</v>
      </c>
      <c r="AL481">
        <v>0.17647058823529413</v>
      </c>
      <c r="AM481">
        <v>5.8823529411764705E-2</v>
      </c>
      <c r="AN481">
        <v>0</v>
      </c>
    </row>
    <row r="482" spans="1:40" x14ac:dyDescent="0.25">
      <c r="A482">
        <v>2024</v>
      </c>
      <c r="B482" t="s">
        <v>99</v>
      </c>
      <c r="C482" t="str">
        <f>IF(COUNTIF('Rookies 22-25'!$B$126:$B$197,E482)&gt;0,"(R)","No")</f>
        <v>No</v>
      </c>
      <c r="D482">
        <v>26</v>
      </c>
      <c r="E482" t="s">
        <v>100</v>
      </c>
      <c r="F482" t="s">
        <v>55</v>
      </c>
      <c r="G482">
        <f>VLOOKUP(E482,'24 Draft ADP'!$B$3:$D$436,3,FALSE)</f>
        <v>12</v>
      </c>
      <c r="H482">
        <v>11</v>
      </c>
      <c r="I482">
        <v>8.1999999999999993</v>
      </c>
      <c r="J482" t="s">
        <v>33</v>
      </c>
      <c r="K482" t="s">
        <v>33</v>
      </c>
      <c r="L482" t="s">
        <v>33</v>
      </c>
      <c r="M482" t="s">
        <v>33</v>
      </c>
      <c r="N482" t="s">
        <v>22</v>
      </c>
      <c r="O482" t="s">
        <v>33</v>
      </c>
      <c r="P482">
        <v>18.100000000000001</v>
      </c>
      <c r="Q482">
        <v>2.1</v>
      </c>
      <c r="R482">
        <v>18.8</v>
      </c>
      <c r="S482">
        <v>25.3</v>
      </c>
      <c r="T482">
        <v>20.7</v>
      </c>
      <c r="U482">
        <v>17.3</v>
      </c>
      <c r="V482">
        <v>41.8</v>
      </c>
      <c r="W482">
        <v>17.8</v>
      </c>
      <c r="X482">
        <v>13.6</v>
      </c>
      <c r="Y482">
        <v>22.9</v>
      </c>
      <c r="Z482">
        <v>0</v>
      </c>
      <c r="AA482">
        <v>18.8</v>
      </c>
      <c r="AB482">
        <f t="shared" si="14"/>
        <v>206.6</v>
      </c>
      <c r="AC482">
        <v>206.6</v>
      </c>
      <c r="AD482">
        <v>1</v>
      </c>
      <c r="AE482">
        <f t="shared" si="15"/>
        <v>9</v>
      </c>
      <c r="AF482">
        <v>8</v>
      </c>
      <c r="AG482">
        <v>4</v>
      </c>
      <c r="AH482">
        <v>2</v>
      </c>
      <c r="AI482">
        <v>1</v>
      </c>
      <c r="AJ482">
        <v>0.52941176470588236</v>
      </c>
      <c r="AK482">
        <v>0.72727272727272729</v>
      </c>
      <c r="AL482">
        <v>0.36363636363636365</v>
      </c>
      <c r="AM482">
        <v>0.18181818181818182</v>
      </c>
      <c r="AN482">
        <v>9.0909090909090912E-2</v>
      </c>
    </row>
    <row r="483" spans="1:40" x14ac:dyDescent="0.25">
      <c r="A483">
        <v>2024</v>
      </c>
      <c r="B483" t="s">
        <v>99</v>
      </c>
      <c r="C483" t="str">
        <f>IF(COUNTIF('Rookies 22-25'!$B$126:$B$197,E483)&gt;0,"(R)","No")</f>
        <v>No</v>
      </c>
      <c r="D483">
        <v>27</v>
      </c>
      <c r="E483" t="s">
        <v>119</v>
      </c>
      <c r="F483" t="s">
        <v>35</v>
      </c>
      <c r="G483">
        <f>VLOOKUP(E483,'24 Draft ADP'!$B$3:$D$436,3,FALSE)</f>
        <v>34</v>
      </c>
      <c r="H483">
        <v>13</v>
      </c>
      <c r="I483">
        <v>15.4</v>
      </c>
      <c r="J483">
        <v>20.6</v>
      </c>
      <c r="K483">
        <v>14.9</v>
      </c>
      <c r="L483" t="s">
        <v>33</v>
      </c>
      <c r="M483" t="s">
        <v>22</v>
      </c>
      <c r="N483">
        <v>15.4</v>
      </c>
      <c r="O483">
        <v>0.8</v>
      </c>
      <c r="P483">
        <v>20.5</v>
      </c>
      <c r="Q483">
        <v>18.7</v>
      </c>
      <c r="R483">
        <v>3.4</v>
      </c>
      <c r="S483">
        <v>6.9</v>
      </c>
      <c r="T483" t="s">
        <v>33</v>
      </c>
      <c r="U483" t="s">
        <v>33</v>
      </c>
      <c r="V483">
        <v>13.7</v>
      </c>
      <c r="W483">
        <v>28</v>
      </c>
      <c r="X483">
        <v>11.1</v>
      </c>
      <c r="Y483">
        <v>30</v>
      </c>
      <c r="Z483">
        <v>0</v>
      </c>
      <c r="AA483">
        <v>15.3</v>
      </c>
      <c r="AB483">
        <f t="shared" si="14"/>
        <v>199.4</v>
      </c>
      <c r="AC483">
        <v>199.4</v>
      </c>
      <c r="AD483">
        <v>3</v>
      </c>
      <c r="AE483">
        <f t="shared" si="15"/>
        <v>10</v>
      </c>
      <c r="AF483">
        <v>7</v>
      </c>
      <c r="AG483">
        <v>4</v>
      </c>
      <c r="AH483">
        <v>2</v>
      </c>
      <c r="AI483">
        <v>0</v>
      </c>
      <c r="AJ483">
        <v>0.58823529411764708</v>
      </c>
      <c r="AK483">
        <v>0.53846153846153844</v>
      </c>
      <c r="AL483">
        <v>0.30769230769230771</v>
      </c>
      <c r="AM483">
        <v>0.15384615384615385</v>
      </c>
      <c r="AN483">
        <v>0</v>
      </c>
    </row>
    <row r="484" spans="1:40" x14ac:dyDescent="0.25">
      <c r="A484">
        <v>2024</v>
      </c>
      <c r="B484" t="s">
        <v>99</v>
      </c>
      <c r="C484" t="str">
        <f>IF(COUNTIF('Rookies 22-25'!$B$126:$B$197,E484)&gt;0,"(R)","No")</f>
        <v>No</v>
      </c>
      <c r="D484">
        <v>28</v>
      </c>
      <c r="E484" t="s">
        <v>216</v>
      </c>
      <c r="F484" t="s">
        <v>63</v>
      </c>
      <c r="G484">
        <f>VLOOKUP(E484,'24 Draft ADP'!$B$3:$D$436,3,FALSE)</f>
        <v>63</v>
      </c>
      <c r="H484">
        <v>17</v>
      </c>
      <c r="I484">
        <v>8</v>
      </c>
      <c r="J484">
        <v>24.7</v>
      </c>
      <c r="K484">
        <v>1.9</v>
      </c>
      <c r="L484">
        <v>2.5</v>
      </c>
      <c r="M484" t="s">
        <v>22</v>
      </c>
      <c r="N484">
        <v>0.9</v>
      </c>
      <c r="O484">
        <v>7.2</v>
      </c>
      <c r="P484">
        <v>22.6</v>
      </c>
      <c r="Q484">
        <v>12.3</v>
      </c>
      <c r="R484">
        <v>25.4</v>
      </c>
      <c r="S484">
        <v>9.8000000000000007</v>
      </c>
      <c r="T484">
        <v>14.3</v>
      </c>
      <c r="U484">
        <v>6.5</v>
      </c>
      <c r="V484">
        <v>12.9</v>
      </c>
      <c r="W484">
        <v>9</v>
      </c>
      <c r="X484">
        <v>16.8</v>
      </c>
      <c r="Y484">
        <v>14.1</v>
      </c>
      <c r="Z484">
        <v>10.3</v>
      </c>
      <c r="AA484">
        <v>11.7</v>
      </c>
      <c r="AB484">
        <f t="shared" si="14"/>
        <v>188.89999999999998</v>
      </c>
      <c r="AC484">
        <v>199.2</v>
      </c>
      <c r="AD484">
        <v>6</v>
      </c>
      <c r="AE484">
        <f t="shared" si="15"/>
        <v>8</v>
      </c>
      <c r="AF484">
        <v>4</v>
      </c>
      <c r="AG484">
        <v>3</v>
      </c>
      <c r="AH484">
        <v>1</v>
      </c>
      <c r="AI484">
        <v>0</v>
      </c>
      <c r="AJ484">
        <v>0.52941176470588236</v>
      </c>
      <c r="AK484">
        <v>0.23529411764705882</v>
      </c>
      <c r="AL484">
        <v>0.17647058823529413</v>
      </c>
      <c r="AM484">
        <v>5.8823529411764705E-2</v>
      </c>
      <c r="AN484">
        <v>0</v>
      </c>
    </row>
    <row r="485" spans="1:40" x14ac:dyDescent="0.25">
      <c r="A485">
        <v>2024</v>
      </c>
      <c r="B485" t="s">
        <v>99</v>
      </c>
      <c r="C485" t="str">
        <f>IF(COUNTIF('Rookies 22-25'!$B$126:$B$197,E485)&gt;0,"(R)","No")</f>
        <v>No</v>
      </c>
      <c r="D485">
        <v>29</v>
      </c>
      <c r="E485" t="s">
        <v>214</v>
      </c>
      <c r="F485" t="s">
        <v>69</v>
      </c>
      <c r="G485">
        <f>VLOOKUP(E485,'24 Draft ADP'!$B$3:$D$436,3,FALSE)</f>
        <v>72</v>
      </c>
      <c r="H485">
        <v>17</v>
      </c>
      <c r="I485">
        <v>33.1</v>
      </c>
      <c r="J485">
        <v>6.6</v>
      </c>
      <c r="K485">
        <v>10.9</v>
      </c>
      <c r="L485">
        <v>27.1</v>
      </c>
      <c r="M485">
        <v>13.7</v>
      </c>
      <c r="N485">
        <v>14.8</v>
      </c>
      <c r="O485">
        <v>3</v>
      </c>
      <c r="P485">
        <v>7.5</v>
      </c>
      <c r="Q485">
        <v>16.3</v>
      </c>
      <c r="R485" t="s">
        <v>22</v>
      </c>
      <c r="S485">
        <v>9.8000000000000007</v>
      </c>
      <c r="T485">
        <v>5.6</v>
      </c>
      <c r="U485">
        <v>19.7</v>
      </c>
      <c r="V485">
        <v>0</v>
      </c>
      <c r="W485">
        <v>11.1</v>
      </c>
      <c r="X485">
        <v>11.1</v>
      </c>
      <c r="Y485">
        <v>1.6</v>
      </c>
      <c r="Z485">
        <v>5.0999999999999996</v>
      </c>
      <c r="AA485">
        <v>11.6</v>
      </c>
      <c r="AB485">
        <f t="shared" si="14"/>
        <v>191.9</v>
      </c>
      <c r="AC485">
        <v>197</v>
      </c>
      <c r="AD485">
        <v>6</v>
      </c>
      <c r="AE485">
        <f t="shared" si="15"/>
        <v>9</v>
      </c>
      <c r="AF485">
        <v>4</v>
      </c>
      <c r="AG485">
        <v>2</v>
      </c>
      <c r="AH485">
        <v>2</v>
      </c>
      <c r="AI485">
        <v>1</v>
      </c>
      <c r="AJ485">
        <v>0.52941176470588236</v>
      </c>
      <c r="AK485">
        <v>0.23529411764705882</v>
      </c>
      <c r="AL485">
        <v>0.11764705882352941</v>
      </c>
      <c r="AM485">
        <v>0.11764705882352941</v>
      </c>
      <c r="AN485">
        <v>5.8823529411764705E-2</v>
      </c>
    </row>
    <row r="486" spans="1:40" x14ac:dyDescent="0.25">
      <c r="A486">
        <v>2024</v>
      </c>
      <c r="B486" t="s">
        <v>99</v>
      </c>
      <c r="C486" t="str">
        <f>IF(COUNTIF('Rookies 22-25'!$B$126:$B$197,E486)&gt;0,"(R)","No")</f>
        <v>(R)</v>
      </c>
      <c r="D486">
        <v>30</v>
      </c>
      <c r="E486" t="s">
        <v>148</v>
      </c>
      <c r="F486" t="s">
        <v>21</v>
      </c>
      <c r="G486">
        <f>VLOOKUP(E486,'24 Draft ADP'!$B$3:$D$436,3,FALSE)</f>
        <v>14</v>
      </c>
      <c r="H486">
        <v>17</v>
      </c>
      <c r="I486">
        <v>1.4</v>
      </c>
      <c r="J486">
        <v>29</v>
      </c>
      <c r="K486">
        <v>17.399999999999999</v>
      </c>
      <c r="L486">
        <v>15.5</v>
      </c>
      <c r="M486">
        <v>5.6</v>
      </c>
      <c r="N486">
        <v>0</v>
      </c>
      <c r="O486">
        <v>5.0999999999999996</v>
      </c>
      <c r="P486">
        <v>23.1</v>
      </c>
      <c r="Q486">
        <v>3.4</v>
      </c>
      <c r="R486">
        <v>16.399999999999999</v>
      </c>
      <c r="S486" t="s">
        <v>22</v>
      </c>
      <c r="T486">
        <v>7.7</v>
      </c>
      <c r="U486">
        <v>17</v>
      </c>
      <c r="V486">
        <v>8.9</v>
      </c>
      <c r="W486">
        <v>5.2</v>
      </c>
      <c r="X486">
        <v>7.9</v>
      </c>
      <c r="Y486">
        <v>15.6</v>
      </c>
      <c r="Z486">
        <v>17.3</v>
      </c>
      <c r="AA486">
        <v>11.6</v>
      </c>
      <c r="AB486">
        <f t="shared" si="14"/>
        <v>179.2</v>
      </c>
      <c r="AC486">
        <v>196.5</v>
      </c>
      <c r="AD486">
        <v>2</v>
      </c>
      <c r="AE486">
        <f t="shared" si="15"/>
        <v>7</v>
      </c>
      <c r="AF486">
        <v>8</v>
      </c>
      <c r="AG486">
        <v>2</v>
      </c>
      <c r="AH486">
        <v>1</v>
      </c>
      <c r="AI486">
        <v>0</v>
      </c>
      <c r="AJ486">
        <v>0.47058823529411764</v>
      </c>
      <c r="AK486">
        <v>0.47058823529411764</v>
      </c>
      <c r="AL486">
        <v>0.11764705882352941</v>
      </c>
      <c r="AM486">
        <v>5.8823529411764705E-2</v>
      </c>
      <c r="AN486">
        <v>0</v>
      </c>
    </row>
    <row r="487" spans="1:40" x14ac:dyDescent="0.25">
      <c r="A487">
        <v>2024</v>
      </c>
      <c r="B487" t="s">
        <v>99</v>
      </c>
      <c r="C487" t="str">
        <f>IF(COUNTIF('Rookies 22-25'!$B$126:$B$197,E487)&gt;0,"(R)","No")</f>
        <v>No</v>
      </c>
      <c r="D487">
        <v>31</v>
      </c>
      <c r="E487" t="s">
        <v>178</v>
      </c>
      <c r="F487" t="s">
        <v>24</v>
      </c>
      <c r="G487">
        <f>VLOOKUP(E487,'24 Draft ADP'!$B$3:$D$436,3,FALSE)</f>
        <v>147</v>
      </c>
      <c r="H487">
        <v>16</v>
      </c>
      <c r="I487">
        <v>2.5</v>
      </c>
      <c r="J487">
        <v>17.8</v>
      </c>
      <c r="K487">
        <v>14.6</v>
      </c>
      <c r="L487">
        <v>8.6</v>
      </c>
      <c r="M487">
        <v>31.5</v>
      </c>
      <c r="N487">
        <v>6.8</v>
      </c>
      <c r="O487">
        <v>9.6</v>
      </c>
      <c r="P487">
        <v>18.600000000000001</v>
      </c>
      <c r="Q487">
        <v>19.8</v>
      </c>
      <c r="R487">
        <v>14.6</v>
      </c>
      <c r="S487">
        <v>4.7</v>
      </c>
      <c r="T487" t="s">
        <v>22</v>
      </c>
      <c r="U487">
        <v>5</v>
      </c>
      <c r="V487">
        <v>20.2</v>
      </c>
      <c r="W487">
        <v>0</v>
      </c>
      <c r="X487">
        <v>13.2</v>
      </c>
      <c r="Y487">
        <v>5.7</v>
      </c>
      <c r="Z487">
        <v>0</v>
      </c>
      <c r="AA487">
        <v>12.1</v>
      </c>
      <c r="AB487">
        <f t="shared" si="14"/>
        <v>193.2</v>
      </c>
      <c r="AC487">
        <v>193.2</v>
      </c>
      <c r="AD487">
        <v>13</v>
      </c>
      <c r="AE487">
        <f t="shared" si="15"/>
        <v>8</v>
      </c>
      <c r="AF487">
        <v>5</v>
      </c>
      <c r="AG487">
        <v>2</v>
      </c>
      <c r="AH487">
        <v>1</v>
      </c>
      <c r="AI487">
        <v>1</v>
      </c>
      <c r="AJ487">
        <v>0.47058823529411764</v>
      </c>
      <c r="AK487">
        <v>0.3125</v>
      </c>
      <c r="AL487">
        <v>0.125</v>
      </c>
      <c r="AM487">
        <v>6.25E-2</v>
      </c>
      <c r="AN487">
        <v>6.25E-2</v>
      </c>
    </row>
    <row r="488" spans="1:40" x14ac:dyDescent="0.25">
      <c r="A488">
        <v>2024</v>
      </c>
      <c r="B488" t="s">
        <v>99</v>
      </c>
      <c r="C488" t="str">
        <f>IF(COUNTIF('Rookies 22-25'!$B$126:$B$197,E488)&gt;0,"(R)","No")</f>
        <v>No</v>
      </c>
      <c r="D488">
        <v>32</v>
      </c>
      <c r="E488" t="s">
        <v>125</v>
      </c>
      <c r="F488" t="s">
        <v>49</v>
      </c>
      <c r="G488">
        <f>VLOOKUP(E488,'24 Draft ADP'!$B$3:$D$436,3,FALSE)</f>
        <v>29</v>
      </c>
      <c r="H488">
        <v>15</v>
      </c>
      <c r="I488">
        <v>5.9</v>
      </c>
      <c r="J488">
        <v>28.9</v>
      </c>
      <c r="K488">
        <v>20.399999999999999</v>
      </c>
      <c r="L488">
        <v>15.4</v>
      </c>
      <c r="M488">
        <v>7.5</v>
      </c>
      <c r="N488">
        <v>7.8</v>
      </c>
      <c r="O488">
        <v>19.899999999999999</v>
      </c>
      <c r="P488" t="s">
        <v>33</v>
      </c>
      <c r="Q488" t="s">
        <v>33</v>
      </c>
      <c r="R488" t="s">
        <v>22</v>
      </c>
      <c r="S488">
        <v>14</v>
      </c>
      <c r="T488">
        <v>9.9</v>
      </c>
      <c r="U488">
        <v>10.6</v>
      </c>
      <c r="V488">
        <v>8.9</v>
      </c>
      <c r="W488">
        <v>5.8</v>
      </c>
      <c r="X488">
        <v>14.7</v>
      </c>
      <c r="Y488">
        <v>7.2</v>
      </c>
      <c r="Z488">
        <v>14.3</v>
      </c>
      <c r="AA488">
        <v>12.7</v>
      </c>
      <c r="AB488">
        <f t="shared" si="14"/>
        <v>176.89999999999998</v>
      </c>
      <c r="AC488">
        <v>191.2</v>
      </c>
      <c r="AD488">
        <v>3</v>
      </c>
      <c r="AE488">
        <f t="shared" si="15"/>
        <v>7</v>
      </c>
      <c r="AF488">
        <v>4</v>
      </c>
      <c r="AG488">
        <v>2</v>
      </c>
      <c r="AH488">
        <v>1</v>
      </c>
      <c r="AI488">
        <v>0</v>
      </c>
      <c r="AJ488">
        <v>0.47058823529411764</v>
      </c>
      <c r="AK488">
        <v>0.26666666666666666</v>
      </c>
      <c r="AL488">
        <v>0.13333333333333333</v>
      </c>
      <c r="AM488">
        <v>6.6666666666666666E-2</v>
      </c>
      <c r="AN488">
        <v>0</v>
      </c>
    </row>
    <row r="489" spans="1:40" x14ac:dyDescent="0.25">
      <c r="A489">
        <v>2024</v>
      </c>
      <c r="B489" t="s">
        <v>99</v>
      </c>
      <c r="C489" t="str">
        <f>IF(COUNTIF('Rookies 22-25'!$B$126:$B$197,E489)&gt;0,"(R)","No")</f>
        <v>(R)</v>
      </c>
      <c r="D489">
        <v>33</v>
      </c>
      <c r="E489" t="s">
        <v>158</v>
      </c>
      <c r="F489" t="s">
        <v>26</v>
      </c>
      <c r="G489">
        <f>VLOOKUP(E489,'24 Draft ADP'!$B$3:$D$436,3,FALSE)</f>
        <v>70</v>
      </c>
      <c r="H489">
        <v>17</v>
      </c>
      <c r="I489">
        <v>20.8</v>
      </c>
      <c r="J489">
        <v>4.2</v>
      </c>
      <c r="K489">
        <v>5</v>
      </c>
      <c r="L489">
        <v>16.3</v>
      </c>
      <c r="M489">
        <v>11.8</v>
      </c>
      <c r="N489" t="s">
        <v>22</v>
      </c>
      <c r="O489">
        <v>5.4</v>
      </c>
      <c r="P489">
        <v>13.7</v>
      </c>
      <c r="Q489">
        <v>-1</v>
      </c>
      <c r="R489">
        <v>2.1</v>
      </c>
      <c r="S489">
        <v>16.8</v>
      </c>
      <c r="T489">
        <v>9.1</v>
      </c>
      <c r="U489">
        <v>10.4</v>
      </c>
      <c r="V489">
        <v>9.6</v>
      </c>
      <c r="W489">
        <v>19.600000000000001</v>
      </c>
      <c r="X489">
        <v>20.5</v>
      </c>
      <c r="Y489">
        <v>22.9</v>
      </c>
      <c r="Z489">
        <v>0</v>
      </c>
      <c r="AA489">
        <v>11</v>
      </c>
      <c r="AB489">
        <f t="shared" si="14"/>
        <v>187.2</v>
      </c>
      <c r="AC489">
        <v>187.2</v>
      </c>
      <c r="AD489">
        <v>6</v>
      </c>
      <c r="AE489">
        <f t="shared" si="15"/>
        <v>9</v>
      </c>
      <c r="AF489">
        <v>6</v>
      </c>
      <c r="AG489">
        <v>3</v>
      </c>
      <c r="AH489">
        <v>0</v>
      </c>
      <c r="AI489">
        <v>0</v>
      </c>
      <c r="AJ489">
        <v>0.52941176470588236</v>
      </c>
      <c r="AK489">
        <v>0.35294117647058826</v>
      </c>
      <c r="AL489">
        <v>0.17647058823529413</v>
      </c>
      <c r="AM489">
        <v>0</v>
      </c>
      <c r="AN489">
        <v>0</v>
      </c>
    </row>
    <row r="490" spans="1:40" x14ac:dyDescent="0.25">
      <c r="A490">
        <v>2024</v>
      </c>
      <c r="B490" t="s">
        <v>99</v>
      </c>
      <c r="C490" t="str">
        <f>IF(COUNTIF('Rookies 22-25'!$B$126:$B$197,E490)&gt;0,"(R)","No")</f>
        <v>No</v>
      </c>
      <c r="D490">
        <v>34</v>
      </c>
      <c r="E490" t="s">
        <v>128</v>
      </c>
      <c r="F490" t="s">
        <v>45</v>
      </c>
      <c r="G490">
        <f>VLOOKUP(E490,'24 Draft ADP'!$B$3:$D$436,3,FALSE)</f>
        <v>65</v>
      </c>
      <c r="H490">
        <v>15</v>
      </c>
      <c r="I490">
        <v>6.9</v>
      </c>
      <c r="J490" t="s">
        <v>33</v>
      </c>
      <c r="K490" t="s">
        <v>33</v>
      </c>
      <c r="L490">
        <v>4.9000000000000004</v>
      </c>
      <c r="M490">
        <v>6.3</v>
      </c>
      <c r="N490">
        <v>21.1</v>
      </c>
      <c r="O490" t="s">
        <v>22</v>
      </c>
      <c r="P490">
        <v>5.9</v>
      </c>
      <c r="Q490">
        <v>7.6</v>
      </c>
      <c r="R490">
        <v>9.4</v>
      </c>
      <c r="S490">
        <v>8.1</v>
      </c>
      <c r="T490">
        <v>23.6</v>
      </c>
      <c r="U490">
        <v>24.3</v>
      </c>
      <c r="V490">
        <v>6</v>
      </c>
      <c r="W490">
        <v>20.2</v>
      </c>
      <c r="X490">
        <v>29.1</v>
      </c>
      <c r="Y490">
        <v>7.5</v>
      </c>
      <c r="Z490">
        <v>4.5</v>
      </c>
      <c r="AA490">
        <v>12.4</v>
      </c>
      <c r="AB490">
        <f t="shared" si="14"/>
        <v>180.9</v>
      </c>
      <c r="AC490">
        <v>185.4</v>
      </c>
      <c r="AD490">
        <v>6</v>
      </c>
      <c r="AE490">
        <f t="shared" si="15"/>
        <v>5</v>
      </c>
      <c r="AF490">
        <v>5</v>
      </c>
      <c r="AG490">
        <v>5</v>
      </c>
      <c r="AH490">
        <v>1</v>
      </c>
      <c r="AI490">
        <v>0</v>
      </c>
      <c r="AJ490">
        <v>0.29411764705882354</v>
      </c>
      <c r="AK490">
        <v>0.33333333333333331</v>
      </c>
      <c r="AL490">
        <v>0.33333333333333331</v>
      </c>
      <c r="AM490">
        <v>6.6666666666666666E-2</v>
      </c>
      <c r="AN490">
        <v>0</v>
      </c>
    </row>
    <row r="491" spans="1:40" x14ac:dyDescent="0.25">
      <c r="A491">
        <v>2024</v>
      </c>
      <c r="B491" t="s">
        <v>99</v>
      </c>
      <c r="C491" t="str">
        <f>IF(COUNTIF('Rookies 22-25'!$B$126:$B$197,E491)&gt;0,"(R)","No")</f>
        <v>No</v>
      </c>
      <c r="D491">
        <v>35</v>
      </c>
      <c r="E491" t="s">
        <v>143</v>
      </c>
      <c r="F491" t="s">
        <v>28</v>
      </c>
      <c r="G491">
        <f>VLOOKUP(E491,'24 Draft ADP'!$B$3:$D$436,3,FALSE)</f>
        <v>160</v>
      </c>
      <c r="H491">
        <v>14</v>
      </c>
      <c r="I491" t="s">
        <v>33</v>
      </c>
      <c r="J491" t="s">
        <v>33</v>
      </c>
      <c r="K491">
        <v>5.2</v>
      </c>
      <c r="L491">
        <v>22.2</v>
      </c>
      <c r="M491">
        <v>15.9</v>
      </c>
      <c r="N491">
        <v>19.5</v>
      </c>
      <c r="O491">
        <v>1.3</v>
      </c>
      <c r="P491">
        <v>22.2</v>
      </c>
      <c r="Q491">
        <v>12</v>
      </c>
      <c r="R491">
        <v>14.2</v>
      </c>
      <c r="S491">
        <v>19.399999999999999</v>
      </c>
      <c r="T491">
        <v>5.7</v>
      </c>
      <c r="U491" t="s">
        <v>33</v>
      </c>
      <c r="V491" t="s">
        <v>22</v>
      </c>
      <c r="W491">
        <v>6.2</v>
      </c>
      <c r="X491">
        <v>15.1</v>
      </c>
      <c r="Y491">
        <v>5.2</v>
      </c>
      <c r="Z491">
        <v>19.399999999999999</v>
      </c>
      <c r="AA491">
        <v>13.1</v>
      </c>
      <c r="AB491">
        <f t="shared" si="14"/>
        <v>164.1</v>
      </c>
      <c r="AC491">
        <v>183.5</v>
      </c>
      <c r="AD491">
        <v>14</v>
      </c>
      <c r="AE491">
        <f t="shared" si="15"/>
        <v>8</v>
      </c>
      <c r="AF491">
        <v>7</v>
      </c>
      <c r="AG491">
        <v>2</v>
      </c>
      <c r="AH491">
        <v>0</v>
      </c>
      <c r="AI491">
        <v>0</v>
      </c>
      <c r="AJ491">
        <v>0.52941176470588236</v>
      </c>
      <c r="AK491">
        <v>0.5</v>
      </c>
      <c r="AL491">
        <v>0.14285714285714285</v>
      </c>
      <c r="AM491">
        <v>0</v>
      </c>
      <c r="AN491">
        <v>0</v>
      </c>
    </row>
    <row r="492" spans="1:40" x14ac:dyDescent="0.25">
      <c r="A492">
        <v>2024</v>
      </c>
      <c r="B492" t="s">
        <v>99</v>
      </c>
      <c r="C492" t="str">
        <f>IF(COUNTIF('Rookies 22-25'!$B$126:$B$197,E492)&gt;0,"(R)","No")</f>
        <v>No</v>
      </c>
      <c r="D492">
        <v>36</v>
      </c>
      <c r="E492" t="s">
        <v>113</v>
      </c>
      <c r="F492" t="s">
        <v>57</v>
      </c>
      <c r="G492">
        <f>VLOOKUP(E492,'24 Draft ADP'!$B$3:$D$436,3,FALSE)</f>
        <v>180</v>
      </c>
      <c r="H492">
        <v>17</v>
      </c>
      <c r="I492">
        <v>11.8</v>
      </c>
      <c r="J492">
        <v>9.8000000000000007</v>
      </c>
      <c r="K492">
        <v>13.1</v>
      </c>
      <c r="L492">
        <v>18.100000000000001</v>
      </c>
      <c r="M492">
        <v>16</v>
      </c>
      <c r="N492">
        <v>10</v>
      </c>
      <c r="O492">
        <v>8.3000000000000007</v>
      </c>
      <c r="P492">
        <v>8</v>
      </c>
      <c r="Q492">
        <v>4</v>
      </c>
      <c r="R492">
        <v>10.1</v>
      </c>
      <c r="S492" t="s">
        <v>22</v>
      </c>
      <c r="T492">
        <v>9.6999999999999993</v>
      </c>
      <c r="U492">
        <v>2.6</v>
      </c>
      <c r="V492">
        <v>7.8</v>
      </c>
      <c r="W492">
        <v>7.8</v>
      </c>
      <c r="X492">
        <v>13.2</v>
      </c>
      <c r="Y492">
        <v>18.100000000000001</v>
      </c>
      <c r="Z492">
        <v>14.3</v>
      </c>
      <c r="AA492">
        <v>10.7</v>
      </c>
      <c r="AB492">
        <f t="shared" si="14"/>
        <v>168.39999999999998</v>
      </c>
      <c r="AC492">
        <v>182.7</v>
      </c>
      <c r="AD492">
        <v>15</v>
      </c>
      <c r="AE492">
        <f t="shared" si="15"/>
        <v>7</v>
      </c>
      <c r="AF492">
        <v>3</v>
      </c>
      <c r="AG492">
        <v>0</v>
      </c>
      <c r="AH492">
        <v>0</v>
      </c>
      <c r="AI492">
        <v>0</v>
      </c>
      <c r="AJ492">
        <v>0.47058823529411764</v>
      </c>
      <c r="AK492">
        <v>0.17647058823529413</v>
      </c>
      <c r="AL492">
        <v>0</v>
      </c>
      <c r="AM492">
        <v>0</v>
      </c>
      <c r="AN492">
        <v>0</v>
      </c>
    </row>
    <row r="493" spans="1:40" x14ac:dyDescent="0.25">
      <c r="A493">
        <v>2024</v>
      </c>
      <c r="B493" t="s">
        <v>99</v>
      </c>
      <c r="C493" t="str">
        <f>IF(COUNTIF('Rookies 22-25'!$B$126:$B$197,E493)&gt;0,"(R)","No")</f>
        <v>No</v>
      </c>
      <c r="D493">
        <v>37</v>
      </c>
      <c r="E493" t="s">
        <v>135</v>
      </c>
      <c r="F493" t="s">
        <v>61</v>
      </c>
      <c r="G493">
        <f>VLOOKUP(E493,'24 Draft ADP'!$B$3:$D$436,3,FALSE)</f>
        <v>107</v>
      </c>
      <c r="H493">
        <v>15</v>
      </c>
      <c r="I493">
        <v>13.2</v>
      </c>
      <c r="J493">
        <v>10.6</v>
      </c>
      <c r="K493">
        <v>19.2</v>
      </c>
      <c r="L493">
        <v>10.199999999999999</v>
      </c>
      <c r="M493" t="s">
        <v>33</v>
      </c>
      <c r="N493">
        <v>3.9</v>
      </c>
      <c r="O493">
        <v>13.5</v>
      </c>
      <c r="P493">
        <v>19.899999999999999</v>
      </c>
      <c r="Q493">
        <v>11</v>
      </c>
      <c r="R493">
        <v>11.8</v>
      </c>
      <c r="S493">
        <v>15</v>
      </c>
      <c r="T493" t="s">
        <v>22</v>
      </c>
      <c r="U493">
        <v>7</v>
      </c>
      <c r="V493">
        <v>21.6</v>
      </c>
      <c r="W493">
        <v>15.9</v>
      </c>
      <c r="X493">
        <v>4.2</v>
      </c>
      <c r="Y493">
        <v>5.5</v>
      </c>
      <c r="Z493">
        <v>0</v>
      </c>
      <c r="AA493">
        <v>12.2</v>
      </c>
      <c r="AB493">
        <f t="shared" si="14"/>
        <v>182.5</v>
      </c>
      <c r="AC493">
        <v>182.5</v>
      </c>
      <c r="AD493">
        <v>9</v>
      </c>
      <c r="AE493">
        <f t="shared" si="15"/>
        <v>11</v>
      </c>
      <c r="AF493">
        <v>4</v>
      </c>
      <c r="AG493">
        <v>1</v>
      </c>
      <c r="AH493">
        <v>0</v>
      </c>
      <c r="AI493">
        <v>0</v>
      </c>
      <c r="AJ493">
        <v>0.6470588235294118</v>
      </c>
      <c r="AK493">
        <v>0.26666666666666666</v>
      </c>
      <c r="AL493">
        <v>6.6666666666666666E-2</v>
      </c>
      <c r="AM493">
        <v>0</v>
      </c>
      <c r="AN493">
        <v>0</v>
      </c>
    </row>
    <row r="494" spans="1:40" x14ac:dyDescent="0.25">
      <c r="A494">
        <v>2024</v>
      </c>
      <c r="B494" t="s">
        <v>99</v>
      </c>
      <c r="C494" t="str">
        <f>IF(COUNTIF('Rookies 22-25'!$B$126:$B$197,E494)&gt;0,"(R)","No")</f>
        <v>No</v>
      </c>
      <c r="D494">
        <v>38</v>
      </c>
      <c r="E494" t="s">
        <v>152</v>
      </c>
      <c r="F494" t="s">
        <v>55</v>
      </c>
      <c r="G494">
        <f>VLOOKUP(E494,'24 Draft ADP'!$B$3:$D$436,3,FALSE)</f>
        <v>23</v>
      </c>
      <c r="H494">
        <v>12</v>
      </c>
      <c r="I494">
        <v>32</v>
      </c>
      <c r="J494">
        <v>7.7</v>
      </c>
      <c r="K494" t="s">
        <v>33</v>
      </c>
      <c r="L494" t="s">
        <v>33</v>
      </c>
      <c r="M494" t="s">
        <v>33</v>
      </c>
      <c r="N494" t="s">
        <v>22</v>
      </c>
      <c r="O494" t="s">
        <v>33</v>
      </c>
      <c r="P494">
        <v>16.100000000000001</v>
      </c>
      <c r="Q494">
        <v>21.4</v>
      </c>
      <c r="R494">
        <v>15</v>
      </c>
      <c r="S494">
        <v>28.6</v>
      </c>
      <c r="T494">
        <v>20</v>
      </c>
      <c r="U494">
        <v>4.7</v>
      </c>
      <c r="V494">
        <v>20.2</v>
      </c>
      <c r="W494">
        <v>0</v>
      </c>
      <c r="X494">
        <v>5.4</v>
      </c>
      <c r="Y494">
        <v>3.9</v>
      </c>
      <c r="Z494">
        <v>0</v>
      </c>
      <c r="AA494">
        <v>14.6</v>
      </c>
      <c r="AB494">
        <f t="shared" si="14"/>
        <v>175</v>
      </c>
      <c r="AC494">
        <v>175</v>
      </c>
      <c r="AD494">
        <v>2</v>
      </c>
      <c r="AE494">
        <f t="shared" si="15"/>
        <v>7</v>
      </c>
      <c r="AF494">
        <v>6</v>
      </c>
      <c r="AG494">
        <v>4</v>
      </c>
      <c r="AH494">
        <v>2</v>
      </c>
      <c r="AI494">
        <v>1</v>
      </c>
      <c r="AJ494">
        <v>0.41176470588235292</v>
      </c>
      <c r="AK494">
        <v>0.5</v>
      </c>
      <c r="AL494">
        <v>0.33333333333333331</v>
      </c>
      <c r="AM494">
        <v>0.16666666666666666</v>
      </c>
      <c r="AN494">
        <v>8.3333333333333329E-2</v>
      </c>
    </row>
    <row r="495" spans="1:40" x14ac:dyDescent="0.25">
      <c r="A495">
        <v>2024</v>
      </c>
      <c r="B495" t="s">
        <v>99</v>
      </c>
      <c r="C495" t="str">
        <f>IF(COUNTIF('Rookies 22-25'!$B$126:$B$197,E495)&gt;0,"(R)","No")</f>
        <v>No</v>
      </c>
      <c r="D495">
        <v>39</v>
      </c>
      <c r="E495" t="s">
        <v>133</v>
      </c>
      <c r="F495" t="s">
        <v>51</v>
      </c>
      <c r="G495">
        <f>VLOOKUP(E495,'24 Draft ADP'!$B$3:$D$436,3,FALSE)</f>
        <v>178</v>
      </c>
      <c r="H495">
        <v>15</v>
      </c>
      <c r="I495">
        <v>6.8</v>
      </c>
      <c r="J495">
        <v>22.1</v>
      </c>
      <c r="K495">
        <v>12.4</v>
      </c>
      <c r="L495">
        <v>2.2999999999999998</v>
      </c>
      <c r="M495" t="s">
        <v>22</v>
      </c>
      <c r="N495">
        <v>5.2</v>
      </c>
      <c r="O495" t="s">
        <v>33</v>
      </c>
      <c r="P495" t="s">
        <v>33</v>
      </c>
      <c r="Q495">
        <v>22</v>
      </c>
      <c r="R495">
        <v>10.4</v>
      </c>
      <c r="S495">
        <v>12.8</v>
      </c>
      <c r="T495">
        <v>0</v>
      </c>
      <c r="U495">
        <v>3.2</v>
      </c>
      <c r="V495">
        <v>15.8</v>
      </c>
      <c r="W495">
        <v>15.5</v>
      </c>
      <c r="X495">
        <v>4.8</v>
      </c>
      <c r="Y495">
        <v>9.8000000000000007</v>
      </c>
      <c r="Z495">
        <v>31.6</v>
      </c>
      <c r="AA495">
        <v>11.6</v>
      </c>
      <c r="AB495">
        <f t="shared" si="14"/>
        <v>143.1</v>
      </c>
      <c r="AC495">
        <v>174.7</v>
      </c>
      <c r="AD495">
        <v>15</v>
      </c>
      <c r="AE495">
        <f t="shared" si="15"/>
        <v>7</v>
      </c>
      <c r="AF495">
        <v>5</v>
      </c>
      <c r="AG495">
        <v>3</v>
      </c>
      <c r="AH495">
        <v>1</v>
      </c>
      <c r="AI495">
        <v>1</v>
      </c>
      <c r="AJ495">
        <v>0.47058823529411764</v>
      </c>
      <c r="AK495">
        <v>0.33333333333333331</v>
      </c>
      <c r="AL495">
        <v>0.2</v>
      </c>
      <c r="AM495">
        <v>6.6666666666666666E-2</v>
      </c>
      <c r="AN495">
        <v>6.6666666666666666E-2</v>
      </c>
    </row>
    <row r="496" spans="1:40" x14ac:dyDescent="0.25">
      <c r="A496">
        <v>2024</v>
      </c>
      <c r="B496" t="s">
        <v>99</v>
      </c>
      <c r="C496" t="str">
        <f>IF(COUNTIF('Rookies 22-25'!$B$126:$B$197,E496)&gt;0,"(R)","No")</f>
        <v>No</v>
      </c>
      <c r="D496">
        <v>40</v>
      </c>
      <c r="E496" t="s">
        <v>202</v>
      </c>
      <c r="F496" t="s">
        <v>53</v>
      </c>
      <c r="G496">
        <f>VLOOKUP(E496,'24 Draft ADP'!$B$3:$D$436,3,FALSE)</f>
        <v>186</v>
      </c>
      <c r="H496">
        <v>17</v>
      </c>
      <c r="I496">
        <v>7.3</v>
      </c>
      <c r="J496">
        <v>7</v>
      </c>
      <c r="K496">
        <v>11.8</v>
      </c>
      <c r="L496">
        <v>3.3</v>
      </c>
      <c r="M496">
        <v>15.8</v>
      </c>
      <c r="N496">
        <v>11.1</v>
      </c>
      <c r="O496">
        <v>22.1</v>
      </c>
      <c r="P496">
        <v>3.8</v>
      </c>
      <c r="Q496">
        <v>5.5</v>
      </c>
      <c r="R496">
        <v>17.399999999999999</v>
      </c>
      <c r="S496">
        <v>5</v>
      </c>
      <c r="T496">
        <v>12.3</v>
      </c>
      <c r="U496">
        <v>0</v>
      </c>
      <c r="V496" t="s">
        <v>22</v>
      </c>
      <c r="W496">
        <v>23</v>
      </c>
      <c r="X496">
        <v>8.4</v>
      </c>
      <c r="Y496">
        <v>2.2000000000000002</v>
      </c>
      <c r="Z496">
        <v>18.600000000000001</v>
      </c>
      <c r="AA496">
        <v>10.3</v>
      </c>
      <c r="AB496">
        <f t="shared" si="14"/>
        <v>156</v>
      </c>
      <c r="AC496">
        <v>174.6</v>
      </c>
      <c r="AD496">
        <v>16</v>
      </c>
      <c r="AE496">
        <f t="shared" si="15"/>
        <v>7</v>
      </c>
      <c r="AF496">
        <v>5</v>
      </c>
      <c r="AG496">
        <v>2</v>
      </c>
      <c r="AH496">
        <v>0</v>
      </c>
      <c r="AI496">
        <v>0</v>
      </c>
      <c r="AJ496">
        <v>0.47058823529411764</v>
      </c>
      <c r="AK496">
        <v>0.29411764705882354</v>
      </c>
      <c r="AL496">
        <v>0.11764705882352941</v>
      </c>
      <c r="AM496">
        <v>0</v>
      </c>
      <c r="AN496">
        <v>0</v>
      </c>
    </row>
    <row r="497" spans="1:40" x14ac:dyDescent="0.25">
      <c r="A497">
        <v>2024</v>
      </c>
      <c r="B497" t="s">
        <v>99</v>
      </c>
      <c r="C497" t="str">
        <f>IF(COUNTIF('Rookies 22-25'!$B$126:$B$197,E497)&gt;0,"(R)","No")</f>
        <v>No</v>
      </c>
      <c r="D497">
        <v>41</v>
      </c>
      <c r="E497" t="s">
        <v>117</v>
      </c>
      <c r="F497" t="s">
        <v>28</v>
      </c>
      <c r="G497">
        <f>VLOOKUP(E497,'24 Draft ADP'!$B$3:$D$436,3,FALSE)</f>
        <v>35</v>
      </c>
      <c r="H497">
        <v>16</v>
      </c>
      <c r="I497">
        <v>7.1</v>
      </c>
      <c r="J497">
        <v>5.0999999999999996</v>
      </c>
      <c r="K497">
        <v>7.6</v>
      </c>
      <c r="L497">
        <v>17.3</v>
      </c>
      <c r="M497">
        <v>14.7</v>
      </c>
      <c r="N497">
        <v>12.5</v>
      </c>
      <c r="O497">
        <v>9.3000000000000007</v>
      </c>
      <c r="P497">
        <v>2.6</v>
      </c>
      <c r="Q497">
        <v>2.4</v>
      </c>
      <c r="R497" t="s">
        <v>33</v>
      </c>
      <c r="S497">
        <v>9.6</v>
      </c>
      <c r="T497">
        <v>15.6</v>
      </c>
      <c r="U497">
        <v>9.1999999999999993</v>
      </c>
      <c r="V497" t="s">
        <v>22</v>
      </c>
      <c r="W497">
        <v>9.8000000000000007</v>
      </c>
      <c r="X497">
        <v>3.9</v>
      </c>
      <c r="Y497">
        <v>25.9</v>
      </c>
      <c r="Z497">
        <v>13.2</v>
      </c>
      <c r="AA497">
        <v>10.4</v>
      </c>
      <c r="AB497">
        <f t="shared" si="14"/>
        <v>152.60000000000002</v>
      </c>
      <c r="AC497">
        <v>165.8</v>
      </c>
      <c r="AD497">
        <v>3</v>
      </c>
      <c r="AE497">
        <f t="shared" si="15"/>
        <v>5</v>
      </c>
      <c r="AF497">
        <v>3</v>
      </c>
      <c r="AG497">
        <v>1</v>
      </c>
      <c r="AH497">
        <v>1</v>
      </c>
      <c r="AI497">
        <v>0</v>
      </c>
      <c r="AJ497">
        <v>0.35294117647058826</v>
      </c>
      <c r="AK497">
        <v>0.1875</v>
      </c>
      <c r="AL497">
        <v>6.25E-2</v>
      </c>
      <c r="AM497">
        <v>6.25E-2</v>
      </c>
      <c r="AN497">
        <v>0</v>
      </c>
    </row>
    <row r="498" spans="1:40" x14ac:dyDescent="0.25">
      <c r="A498">
        <v>2024</v>
      </c>
      <c r="B498" t="s">
        <v>99</v>
      </c>
      <c r="C498" t="str">
        <f>IF(COUNTIF('Rookies 22-25'!$B$126:$B$197,E498)&gt;0,"(R)","No")</f>
        <v>No</v>
      </c>
      <c r="D498">
        <v>42</v>
      </c>
      <c r="E498" t="s">
        <v>104</v>
      </c>
      <c r="F498" t="s">
        <v>71</v>
      </c>
      <c r="G498">
        <f>VLOOKUP(E498,'24 Draft ADP'!$B$3:$D$436,3,FALSE)</f>
        <v>57</v>
      </c>
      <c r="H498">
        <v>14</v>
      </c>
      <c r="I498">
        <v>13.5</v>
      </c>
      <c r="J498">
        <v>4.9000000000000004</v>
      </c>
      <c r="K498">
        <v>10.7</v>
      </c>
      <c r="L498">
        <v>16.3</v>
      </c>
      <c r="M498">
        <v>5.6</v>
      </c>
      <c r="N498">
        <v>8.3000000000000007</v>
      </c>
      <c r="O498">
        <v>22.1</v>
      </c>
      <c r="P498">
        <v>11.4</v>
      </c>
      <c r="Q498" t="s">
        <v>22</v>
      </c>
      <c r="R498">
        <v>20.5</v>
      </c>
      <c r="S498">
        <v>16.899999999999999</v>
      </c>
      <c r="T498">
        <v>8.8000000000000007</v>
      </c>
      <c r="U498">
        <v>16.399999999999999</v>
      </c>
      <c r="V498" t="s">
        <v>33</v>
      </c>
      <c r="W498" t="s">
        <v>33</v>
      </c>
      <c r="X498" t="s">
        <v>33</v>
      </c>
      <c r="Y498">
        <v>8</v>
      </c>
      <c r="Z498">
        <v>1</v>
      </c>
      <c r="AA498">
        <v>11.7</v>
      </c>
      <c r="AB498">
        <f t="shared" si="14"/>
        <v>163.4</v>
      </c>
      <c r="AC498">
        <v>164.4</v>
      </c>
      <c r="AD498">
        <v>5</v>
      </c>
      <c r="AE498">
        <f t="shared" si="15"/>
        <v>8</v>
      </c>
      <c r="AF498">
        <v>5</v>
      </c>
      <c r="AG498">
        <v>2</v>
      </c>
      <c r="AH498">
        <v>0</v>
      </c>
      <c r="AI498">
        <v>0</v>
      </c>
      <c r="AJ498">
        <v>0.47058823529411764</v>
      </c>
      <c r="AK498">
        <v>0.35714285714285715</v>
      </c>
      <c r="AL498">
        <v>0.14285714285714285</v>
      </c>
      <c r="AM498">
        <v>0</v>
      </c>
      <c r="AN498">
        <v>0</v>
      </c>
    </row>
    <row r="499" spans="1:40" x14ac:dyDescent="0.25">
      <c r="A499">
        <v>2024</v>
      </c>
      <c r="B499" t="s">
        <v>99</v>
      </c>
      <c r="C499" t="str">
        <f>IF(COUNTIF('Rookies 22-25'!$B$126:$B$197,E499)&gt;0,"(R)","No")</f>
        <v>No</v>
      </c>
      <c r="D499">
        <v>43</v>
      </c>
      <c r="E499" t="s">
        <v>127</v>
      </c>
      <c r="F499" t="s">
        <v>28</v>
      </c>
      <c r="G499">
        <f>VLOOKUP(E499,'24 Draft ADP'!$B$3:$D$436,3,FALSE)</f>
        <v>263</v>
      </c>
      <c r="H499">
        <v>16</v>
      </c>
      <c r="I499">
        <v>21.5</v>
      </c>
      <c r="J499">
        <v>16.600000000000001</v>
      </c>
      <c r="K499">
        <v>5.4</v>
      </c>
      <c r="L499">
        <v>1.9</v>
      </c>
      <c r="M499">
        <v>22.4</v>
      </c>
      <c r="N499">
        <v>0</v>
      </c>
      <c r="O499">
        <v>3.5</v>
      </c>
      <c r="P499">
        <v>2.1</v>
      </c>
      <c r="Q499">
        <v>7.1</v>
      </c>
      <c r="R499">
        <v>18.100000000000001</v>
      </c>
      <c r="S499">
        <v>10.4</v>
      </c>
      <c r="T499">
        <v>4.9000000000000004</v>
      </c>
      <c r="U499">
        <v>9.6</v>
      </c>
      <c r="V499" t="s">
        <v>22</v>
      </c>
      <c r="W499">
        <v>0</v>
      </c>
      <c r="X499" t="s">
        <v>33</v>
      </c>
      <c r="Y499">
        <v>24.2</v>
      </c>
      <c r="Z499">
        <v>13.7</v>
      </c>
      <c r="AA499">
        <v>10.1</v>
      </c>
      <c r="AB499">
        <f t="shared" si="14"/>
        <v>147.70000000000002</v>
      </c>
      <c r="AC499">
        <v>161.4</v>
      </c>
      <c r="AD499">
        <v>20</v>
      </c>
      <c r="AE499">
        <f t="shared" si="15"/>
        <v>6</v>
      </c>
      <c r="AF499">
        <v>5</v>
      </c>
      <c r="AG499">
        <v>3</v>
      </c>
      <c r="AH499">
        <v>0</v>
      </c>
      <c r="AI499">
        <v>0</v>
      </c>
      <c r="AJ499">
        <v>0.41176470588235292</v>
      </c>
      <c r="AK499">
        <v>0.3125</v>
      </c>
      <c r="AL499">
        <v>0.1875</v>
      </c>
      <c r="AM499">
        <v>0</v>
      </c>
      <c r="AN499">
        <v>0</v>
      </c>
    </row>
    <row r="500" spans="1:40" x14ac:dyDescent="0.25">
      <c r="A500">
        <v>2024</v>
      </c>
      <c r="B500" t="s">
        <v>99</v>
      </c>
      <c r="C500" t="str">
        <f>IF(COUNTIF('Rookies 22-25'!$B$126:$B$197,E500)&gt;0,"(R)","No")</f>
        <v>No</v>
      </c>
      <c r="D500">
        <v>44</v>
      </c>
      <c r="E500" t="s">
        <v>124</v>
      </c>
      <c r="F500" t="s">
        <v>47</v>
      </c>
      <c r="G500">
        <f>VLOOKUP(E500,'24 Draft ADP'!$B$3:$D$436,3,FALSE)</f>
        <v>20</v>
      </c>
      <c r="H500">
        <v>15</v>
      </c>
      <c r="I500">
        <v>18.7</v>
      </c>
      <c r="J500">
        <v>18</v>
      </c>
      <c r="K500" t="s">
        <v>33</v>
      </c>
      <c r="L500">
        <v>10.199999999999999</v>
      </c>
      <c r="M500">
        <v>3</v>
      </c>
      <c r="N500">
        <v>20.7</v>
      </c>
      <c r="O500">
        <v>0</v>
      </c>
      <c r="P500">
        <v>12.6</v>
      </c>
      <c r="Q500" t="s">
        <v>22</v>
      </c>
      <c r="R500">
        <v>12.6</v>
      </c>
      <c r="S500">
        <v>6.1</v>
      </c>
      <c r="T500">
        <v>3.1</v>
      </c>
      <c r="U500">
        <v>4</v>
      </c>
      <c r="V500">
        <v>5.5</v>
      </c>
      <c r="W500">
        <v>4.9000000000000004</v>
      </c>
      <c r="X500">
        <v>25.1</v>
      </c>
      <c r="Y500">
        <v>9.1</v>
      </c>
      <c r="Z500">
        <v>0</v>
      </c>
      <c r="AA500">
        <v>10.199999999999999</v>
      </c>
      <c r="AB500">
        <f t="shared" si="14"/>
        <v>153.6</v>
      </c>
      <c r="AC500">
        <v>153.6</v>
      </c>
      <c r="AD500">
        <v>2</v>
      </c>
      <c r="AE500">
        <f t="shared" si="15"/>
        <v>7</v>
      </c>
      <c r="AF500">
        <v>4</v>
      </c>
      <c r="AG500">
        <v>2</v>
      </c>
      <c r="AH500">
        <v>1</v>
      </c>
      <c r="AI500">
        <v>0</v>
      </c>
      <c r="AJ500">
        <v>0.41176470588235292</v>
      </c>
      <c r="AK500">
        <v>0.26666666666666666</v>
      </c>
      <c r="AL500">
        <v>0.13333333333333333</v>
      </c>
      <c r="AM500">
        <v>6.6666666666666666E-2</v>
      </c>
      <c r="AN500">
        <v>0</v>
      </c>
    </row>
    <row r="501" spans="1:40" x14ac:dyDescent="0.25">
      <c r="A501">
        <v>2024</v>
      </c>
      <c r="B501" t="s">
        <v>99</v>
      </c>
      <c r="C501" t="str">
        <f>IF(COUNTIF('Rookies 22-25'!$B$126:$B$197,E501)&gt;0,"(R)","No")</f>
        <v>No</v>
      </c>
      <c r="D501">
        <v>45</v>
      </c>
      <c r="E501" t="s">
        <v>217</v>
      </c>
      <c r="F501" t="s">
        <v>30</v>
      </c>
      <c r="G501">
        <f>VLOOKUP(E501,'24 Draft ADP'!$B$3:$D$436,3,FALSE)</f>
        <v>185</v>
      </c>
      <c r="H501">
        <v>17</v>
      </c>
      <c r="I501">
        <v>2.2000000000000002</v>
      </c>
      <c r="J501">
        <v>14.2</v>
      </c>
      <c r="K501">
        <v>13.2</v>
      </c>
      <c r="L501">
        <v>5.4</v>
      </c>
      <c r="M501">
        <v>21.7</v>
      </c>
      <c r="N501">
        <v>8.3000000000000007</v>
      </c>
      <c r="O501" t="s">
        <v>22</v>
      </c>
      <c r="P501">
        <v>7.4</v>
      </c>
      <c r="Q501">
        <v>10.9</v>
      </c>
      <c r="R501">
        <v>4.4000000000000004</v>
      </c>
      <c r="S501">
        <v>4.0999999999999996</v>
      </c>
      <c r="T501">
        <v>10.199999999999999</v>
      </c>
      <c r="U501">
        <v>6.1</v>
      </c>
      <c r="V501">
        <v>0</v>
      </c>
      <c r="W501">
        <v>8.1</v>
      </c>
      <c r="X501">
        <v>10</v>
      </c>
      <c r="Y501">
        <v>12</v>
      </c>
      <c r="Z501">
        <v>13.8</v>
      </c>
      <c r="AA501">
        <v>8.9</v>
      </c>
      <c r="AB501">
        <f t="shared" si="14"/>
        <v>138.19999999999999</v>
      </c>
      <c r="AC501">
        <v>152</v>
      </c>
      <c r="AD501">
        <v>16</v>
      </c>
      <c r="AE501">
        <f t="shared" si="15"/>
        <v>6</v>
      </c>
      <c r="AF501">
        <v>1</v>
      </c>
      <c r="AG501">
        <v>1</v>
      </c>
      <c r="AH501">
        <v>0</v>
      </c>
      <c r="AI501">
        <v>0</v>
      </c>
      <c r="AJ501">
        <v>0.41176470588235292</v>
      </c>
      <c r="AK501">
        <v>5.8823529411764705E-2</v>
      </c>
      <c r="AL501">
        <v>5.8823529411764705E-2</v>
      </c>
      <c r="AM501">
        <v>0</v>
      </c>
      <c r="AN501">
        <v>0</v>
      </c>
    </row>
    <row r="502" spans="1:40" x14ac:dyDescent="0.25">
      <c r="A502">
        <v>2024</v>
      </c>
      <c r="B502" t="s">
        <v>99</v>
      </c>
      <c r="C502" t="str">
        <f>IF(COUNTIF('Rookies 22-25'!$B$126:$B$197,E502)&gt;0,"(R)","No")</f>
        <v>No</v>
      </c>
      <c r="D502">
        <v>46</v>
      </c>
      <c r="E502" t="s">
        <v>123</v>
      </c>
      <c r="F502" t="s">
        <v>84</v>
      </c>
      <c r="G502">
        <f>VLOOKUP(E502,'24 Draft ADP'!$B$3:$D$436,3,FALSE)</f>
        <v>27</v>
      </c>
      <c r="H502">
        <v>16</v>
      </c>
      <c r="I502">
        <v>16.2</v>
      </c>
      <c r="J502">
        <v>8.5</v>
      </c>
      <c r="K502">
        <v>6.6</v>
      </c>
      <c r="L502">
        <v>7.6</v>
      </c>
      <c r="M502">
        <v>8.6</v>
      </c>
      <c r="N502" t="s">
        <v>22</v>
      </c>
      <c r="O502">
        <v>2.1</v>
      </c>
      <c r="P502">
        <v>8.5</v>
      </c>
      <c r="Q502">
        <v>7.6</v>
      </c>
      <c r="R502">
        <v>8.6</v>
      </c>
      <c r="S502">
        <v>5.7</v>
      </c>
      <c r="T502">
        <v>28.4</v>
      </c>
      <c r="U502">
        <v>11.3</v>
      </c>
      <c r="V502">
        <v>20.9</v>
      </c>
      <c r="W502">
        <v>0</v>
      </c>
      <c r="X502" t="s">
        <v>33</v>
      </c>
      <c r="Y502">
        <v>0</v>
      </c>
      <c r="Z502">
        <v>9</v>
      </c>
      <c r="AA502">
        <v>9.4</v>
      </c>
      <c r="AB502">
        <f t="shared" si="14"/>
        <v>140.6</v>
      </c>
      <c r="AC502">
        <v>149.6</v>
      </c>
      <c r="AD502">
        <v>3</v>
      </c>
      <c r="AE502">
        <f t="shared" si="15"/>
        <v>4</v>
      </c>
      <c r="AF502">
        <v>3</v>
      </c>
      <c r="AG502">
        <v>2</v>
      </c>
      <c r="AH502">
        <v>1</v>
      </c>
      <c r="AI502">
        <v>0</v>
      </c>
      <c r="AJ502">
        <v>0.23529411764705882</v>
      </c>
      <c r="AK502">
        <v>0.1875</v>
      </c>
      <c r="AL502">
        <v>0.125</v>
      </c>
      <c r="AM502">
        <v>6.25E-2</v>
      </c>
      <c r="AN502">
        <v>0</v>
      </c>
    </row>
    <row r="503" spans="1:40" x14ac:dyDescent="0.25">
      <c r="A503">
        <v>2024</v>
      </c>
      <c r="B503" t="s">
        <v>99</v>
      </c>
      <c r="C503" t="str">
        <f>IF(COUNTIF('Rookies 22-25'!$B$126:$B$197,E503)&gt;0,"(R)","No")</f>
        <v>No</v>
      </c>
      <c r="D503">
        <v>47</v>
      </c>
      <c r="E503" t="s">
        <v>164</v>
      </c>
      <c r="F503" t="s">
        <v>39</v>
      </c>
      <c r="G503">
        <f>VLOOKUP(E503,'24 Draft ADP'!$B$3:$D$436,3,FALSE)</f>
        <v>173</v>
      </c>
      <c r="H503">
        <v>17</v>
      </c>
      <c r="I503">
        <v>3.2</v>
      </c>
      <c r="J503">
        <v>0</v>
      </c>
      <c r="K503">
        <v>14.8</v>
      </c>
      <c r="L503">
        <v>4.3</v>
      </c>
      <c r="M503">
        <v>11.9</v>
      </c>
      <c r="N503">
        <v>21.2</v>
      </c>
      <c r="O503">
        <v>3.4</v>
      </c>
      <c r="P503">
        <v>3.2</v>
      </c>
      <c r="Q503">
        <v>10.5</v>
      </c>
      <c r="R503">
        <v>9</v>
      </c>
      <c r="S503">
        <v>9.9</v>
      </c>
      <c r="T503">
        <v>11.3</v>
      </c>
      <c r="U503">
        <v>6</v>
      </c>
      <c r="V503" t="s">
        <v>22</v>
      </c>
      <c r="W503">
        <v>10.1</v>
      </c>
      <c r="X503">
        <v>7.9</v>
      </c>
      <c r="Y503">
        <v>14.6</v>
      </c>
      <c r="Z503">
        <v>6.4</v>
      </c>
      <c r="AA503">
        <v>8.6999999999999993</v>
      </c>
      <c r="AB503">
        <f t="shared" si="14"/>
        <v>141.29999999999998</v>
      </c>
      <c r="AC503">
        <v>147.69999999999999</v>
      </c>
      <c r="AD503">
        <v>15</v>
      </c>
      <c r="AE503">
        <f t="shared" si="15"/>
        <v>7</v>
      </c>
      <c r="AF503">
        <v>1</v>
      </c>
      <c r="AG503">
        <v>1</v>
      </c>
      <c r="AH503">
        <v>0</v>
      </c>
      <c r="AI503">
        <v>0</v>
      </c>
      <c r="AJ503">
        <v>0.41176470588235292</v>
      </c>
      <c r="AK503">
        <v>5.8823529411764705E-2</v>
      </c>
      <c r="AL503">
        <v>5.8823529411764705E-2</v>
      </c>
      <c r="AM503">
        <v>0</v>
      </c>
      <c r="AN503">
        <v>0</v>
      </c>
    </row>
    <row r="504" spans="1:40" x14ac:dyDescent="0.25">
      <c r="A504">
        <v>2024</v>
      </c>
      <c r="B504" t="s">
        <v>99</v>
      </c>
      <c r="C504" t="str">
        <f>IF(COUNTIF('Rookies 22-25'!$B$126:$B$197,E504)&gt;0,"(R)","No")</f>
        <v>No</v>
      </c>
      <c r="D504">
        <v>48</v>
      </c>
      <c r="E504" t="s">
        <v>192</v>
      </c>
      <c r="F504" t="s">
        <v>26</v>
      </c>
      <c r="G504">
        <f>VLOOKUP(E504,'24 Draft ADP'!$B$3:$D$436,3,FALSE)</f>
        <v>90</v>
      </c>
      <c r="H504">
        <v>16</v>
      </c>
      <c r="I504">
        <v>1.8</v>
      </c>
      <c r="J504">
        <v>1.9</v>
      </c>
      <c r="K504">
        <v>19.3</v>
      </c>
      <c r="L504">
        <v>5.0999999999999996</v>
      </c>
      <c r="M504" t="s">
        <v>33</v>
      </c>
      <c r="N504">
        <v>9.4</v>
      </c>
      <c r="O504">
        <v>0.8</v>
      </c>
      <c r="P504">
        <v>4.9000000000000004</v>
      </c>
      <c r="Q504">
        <v>28.6</v>
      </c>
      <c r="R504">
        <v>9.6</v>
      </c>
      <c r="S504">
        <v>5.9</v>
      </c>
      <c r="T504">
        <v>14.5</v>
      </c>
      <c r="U504">
        <v>13</v>
      </c>
      <c r="V504">
        <v>13.2</v>
      </c>
      <c r="W504">
        <v>8.6</v>
      </c>
      <c r="X504">
        <v>7.7</v>
      </c>
      <c r="Y504">
        <v>2.7</v>
      </c>
      <c r="Z504">
        <v>0</v>
      </c>
      <c r="AA504">
        <v>9.1999999999999993</v>
      </c>
      <c r="AB504">
        <f t="shared" si="14"/>
        <v>147</v>
      </c>
      <c r="AC504">
        <v>147</v>
      </c>
      <c r="AD504">
        <v>8</v>
      </c>
      <c r="AE504">
        <f t="shared" si="15"/>
        <v>5</v>
      </c>
      <c r="AF504">
        <v>2</v>
      </c>
      <c r="AG504">
        <v>1</v>
      </c>
      <c r="AH504">
        <v>1</v>
      </c>
      <c r="AI504">
        <v>0</v>
      </c>
      <c r="AJ504">
        <v>0.29411764705882354</v>
      </c>
      <c r="AK504">
        <v>0.125</v>
      </c>
      <c r="AL504">
        <v>6.25E-2</v>
      </c>
      <c r="AM504">
        <v>6.25E-2</v>
      </c>
      <c r="AN504">
        <v>0</v>
      </c>
    </row>
    <row r="505" spans="1:40" x14ac:dyDescent="0.25">
      <c r="A505">
        <v>2024</v>
      </c>
      <c r="B505" t="s">
        <v>99</v>
      </c>
      <c r="C505" t="str">
        <f>IF(COUNTIF('Rookies 22-25'!$B$126:$B$197,E505)&gt;0,"(R)","No")</f>
        <v>(R)</v>
      </c>
      <c r="D505">
        <v>49</v>
      </c>
      <c r="E505" t="s">
        <v>140</v>
      </c>
      <c r="F505" t="s">
        <v>45</v>
      </c>
      <c r="G505">
        <f>VLOOKUP(E505,'24 Draft ADP'!$B$3:$D$436,3,FALSE)</f>
        <v>79</v>
      </c>
      <c r="H505">
        <v>17</v>
      </c>
      <c r="I505">
        <v>2.1</v>
      </c>
      <c r="J505">
        <v>5.3</v>
      </c>
      <c r="K505">
        <v>23.4</v>
      </c>
      <c r="L505">
        <v>2</v>
      </c>
      <c r="M505">
        <v>9</v>
      </c>
      <c r="N505">
        <v>6</v>
      </c>
      <c r="O505" t="s">
        <v>22</v>
      </c>
      <c r="P505">
        <v>8.4</v>
      </c>
      <c r="Q505">
        <v>15.4</v>
      </c>
      <c r="R505">
        <v>5.3</v>
      </c>
      <c r="S505">
        <v>12.5</v>
      </c>
      <c r="T505">
        <v>8.9</v>
      </c>
      <c r="U505">
        <v>4.5</v>
      </c>
      <c r="V505">
        <v>20.2</v>
      </c>
      <c r="W505">
        <v>5.9</v>
      </c>
      <c r="X505">
        <v>9.6999999999999993</v>
      </c>
      <c r="Y505">
        <v>2.5</v>
      </c>
      <c r="Z505">
        <v>3.8</v>
      </c>
      <c r="AA505">
        <v>8.5</v>
      </c>
      <c r="AB505">
        <f t="shared" si="14"/>
        <v>141.1</v>
      </c>
      <c r="AC505">
        <v>144.9</v>
      </c>
      <c r="AD505">
        <v>7</v>
      </c>
      <c r="AE505">
        <f t="shared" si="15"/>
        <v>4</v>
      </c>
      <c r="AF505">
        <v>3</v>
      </c>
      <c r="AG505">
        <v>2</v>
      </c>
      <c r="AH505">
        <v>0</v>
      </c>
      <c r="AI505">
        <v>0</v>
      </c>
      <c r="AJ505">
        <v>0.23529411764705882</v>
      </c>
      <c r="AK505">
        <v>0.17647058823529413</v>
      </c>
      <c r="AL505">
        <v>0.11764705882352941</v>
      </c>
      <c r="AM505">
        <v>0</v>
      </c>
      <c r="AN505">
        <v>0</v>
      </c>
    </row>
    <row r="506" spans="1:40" x14ac:dyDescent="0.25">
      <c r="A506">
        <v>2024</v>
      </c>
      <c r="B506" t="s">
        <v>99</v>
      </c>
      <c r="C506" t="str">
        <f>IF(COUNTIF('Rookies 22-25'!$B$126:$B$197,E506)&gt;0,"(R)","No")</f>
        <v>No</v>
      </c>
      <c r="D506">
        <v>50</v>
      </c>
      <c r="E506" t="s">
        <v>409</v>
      </c>
      <c r="F506" t="s">
        <v>24</v>
      </c>
      <c r="G506">
        <f>VLOOKUP(E506,'24 Draft ADP'!$B$3:$D$436,3,FALSE)</f>
        <v>264</v>
      </c>
      <c r="H506">
        <v>17</v>
      </c>
      <c r="I506">
        <v>9.1999999999999993</v>
      </c>
      <c r="J506">
        <v>7.5</v>
      </c>
      <c r="K506">
        <v>5.7</v>
      </c>
      <c r="L506">
        <v>11.2</v>
      </c>
      <c r="M506">
        <v>12.6</v>
      </c>
      <c r="N506">
        <v>4.3</v>
      </c>
      <c r="O506">
        <v>2.9</v>
      </c>
      <c r="P506">
        <v>5.6</v>
      </c>
      <c r="Q506">
        <v>12.5</v>
      </c>
      <c r="R506">
        <v>6.6</v>
      </c>
      <c r="S506">
        <v>10.6</v>
      </c>
      <c r="T506" t="s">
        <v>22</v>
      </c>
      <c r="U506">
        <v>13.3</v>
      </c>
      <c r="V506">
        <v>16.100000000000001</v>
      </c>
      <c r="W506">
        <v>2.4</v>
      </c>
      <c r="X506">
        <v>5.7</v>
      </c>
      <c r="Y506">
        <v>3.7</v>
      </c>
      <c r="Z506">
        <v>10.6</v>
      </c>
      <c r="AA506">
        <v>8.3000000000000007</v>
      </c>
      <c r="AB506">
        <f t="shared" si="14"/>
        <v>129.9</v>
      </c>
      <c r="AC506">
        <v>140.5</v>
      </c>
      <c r="AD506">
        <v>20</v>
      </c>
      <c r="AE506">
        <f t="shared" si="15"/>
        <v>6</v>
      </c>
      <c r="AF506">
        <v>1</v>
      </c>
      <c r="AG506">
        <v>0</v>
      </c>
      <c r="AH506">
        <v>0</v>
      </c>
      <c r="AI506">
        <v>0</v>
      </c>
      <c r="AJ506">
        <v>0.41176470588235292</v>
      </c>
      <c r="AK506">
        <v>5.8823529411764705E-2</v>
      </c>
      <c r="AL506">
        <v>0</v>
      </c>
      <c r="AM506">
        <v>0</v>
      </c>
      <c r="AN506">
        <v>0</v>
      </c>
    </row>
    <row r="507" spans="1:40" x14ac:dyDescent="0.25">
      <c r="A507">
        <v>2024</v>
      </c>
      <c r="B507" t="s">
        <v>99</v>
      </c>
      <c r="C507" t="str">
        <f>IF(COUNTIF('Rookies 22-25'!$B$126:$B$197,E507)&gt;0,"(R)","No")</f>
        <v>No</v>
      </c>
      <c r="D507">
        <v>51</v>
      </c>
      <c r="E507" t="s">
        <v>410</v>
      </c>
      <c r="F507" t="s">
        <v>41</v>
      </c>
      <c r="G507">
        <f>VLOOKUP(E507,'24 Draft ADP'!$B$3:$D$436,3,FALSE)</f>
        <v>48</v>
      </c>
      <c r="H507">
        <v>14</v>
      </c>
      <c r="I507">
        <v>8.9</v>
      </c>
      <c r="J507">
        <v>2.2999999999999998</v>
      </c>
      <c r="K507">
        <v>11.2</v>
      </c>
      <c r="L507" t="s">
        <v>33</v>
      </c>
      <c r="M507">
        <v>7.3</v>
      </c>
      <c r="N507">
        <v>18.7</v>
      </c>
      <c r="O507">
        <v>0</v>
      </c>
      <c r="P507">
        <v>13.5</v>
      </c>
      <c r="Q507">
        <v>18.600000000000001</v>
      </c>
      <c r="R507">
        <v>8.3000000000000007</v>
      </c>
      <c r="S507">
        <v>9.8000000000000007</v>
      </c>
      <c r="T507">
        <v>10.199999999999999</v>
      </c>
      <c r="U507">
        <v>3.3</v>
      </c>
      <c r="V507" t="s">
        <v>22</v>
      </c>
      <c r="W507">
        <v>6.1</v>
      </c>
      <c r="X507">
        <v>21.8</v>
      </c>
      <c r="Y507" t="s">
        <v>33</v>
      </c>
      <c r="Z507">
        <v>0</v>
      </c>
      <c r="AA507">
        <v>10</v>
      </c>
      <c r="AB507">
        <f t="shared" si="14"/>
        <v>140</v>
      </c>
      <c r="AC507">
        <v>140</v>
      </c>
      <c r="AD507">
        <v>4</v>
      </c>
      <c r="AE507">
        <f t="shared" si="15"/>
        <v>6</v>
      </c>
      <c r="AF507">
        <v>3</v>
      </c>
      <c r="AG507">
        <v>1</v>
      </c>
      <c r="AH507">
        <v>0</v>
      </c>
      <c r="AI507">
        <v>0</v>
      </c>
      <c r="AJ507">
        <v>0.35294117647058826</v>
      </c>
      <c r="AK507">
        <v>0.21428571428571427</v>
      </c>
      <c r="AL507">
        <v>7.1428571428571425E-2</v>
      </c>
      <c r="AM507">
        <v>0</v>
      </c>
      <c r="AN507">
        <v>0</v>
      </c>
    </row>
    <row r="508" spans="1:40" x14ac:dyDescent="0.25">
      <c r="A508">
        <v>2024</v>
      </c>
      <c r="B508" t="s">
        <v>99</v>
      </c>
      <c r="C508" t="str">
        <f>IF(COUNTIF('Rookies 22-25'!$B$126:$B$197,E508)&gt;0,"(R)","No")</f>
        <v>No</v>
      </c>
      <c r="D508">
        <v>52</v>
      </c>
      <c r="E508" t="s">
        <v>411</v>
      </c>
      <c r="F508" t="s">
        <v>95</v>
      </c>
      <c r="G508">
        <f>VLOOKUP(E508,'24 Draft ADP'!$B$3:$D$436,3,FALSE)</f>
        <v>155</v>
      </c>
      <c r="H508">
        <v>10</v>
      </c>
      <c r="I508">
        <v>7.9</v>
      </c>
      <c r="J508">
        <v>4</v>
      </c>
      <c r="K508">
        <v>13</v>
      </c>
      <c r="L508" t="s">
        <v>33</v>
      </c>
      <c r="M508" t="s">
        <v>33</v>
      </c>
      <c r="N508" t="s">
        <v>33</v>
      </c>
      <c r="O508" t="s">
        <v>33</v>
      </c>
      <c r="P508" t="s">
        <v>33</v>
      </c>
      <c r="Q508" t="s">
        <v>33</v>
      </c>
      <c r="R508" t="s">
        <v>33</v>
      </c>
      <c r="S508" t="s">
        <v>22</v>
      </c>
      <c r="T508">
        <v>8.6999999999999993</v>
      </c>
      <c r="U508">
        <v>23.9</v>
      </c>
      <c r="V508">
        <v>19.2</v>
      </c>
      <c r="W508">
        <v>10.1</v>
      </c>
      <c r="X508">
        <v>15.3</v>
      </c>
      <c r="Y508">
        <v>28</v>
      </c>
      <c r="Z508">
        <v>9.4</v>
      </c>
      <c r="AA508">
        <v>14</v>
      </c>
      <c r="AB508">
        <f t="shared" si="14"/>
        <v>130.1</v>
      </c>
      <c r="AC508">
        <v>139.5</v>
      </c>
      <c r="AD508">
        <v>13</v>
      </c>
      <c r="AE508">
        <f t="shared" si="15"/>
        <v>6</v>
      </c>
      <c r="AF508">
        <v>4</v>
      </c>
      <c r="AG508">
        <v>2</v>
      </c>
      <c r="AH508">
        <v>1</v>
      </c>
      <c r="AI508">
        <v>0</v>
      </c>
      <c r="AJ508">
        <v>0.35294117647058826</v>
      </c>
      <c r="AK508">
        <v>0.4</v>
      </c>
      <c r="AL508">
        <v>0.2</v>
      </c>
      <c r="AM508">
        <v>0.1</v>
      </c>
      <c r="AN508">
        <v>0</v>
      </c>
    </row>
    <row r="509" spans="1:40" x14ac:dyDescent="0.25">
      <c r="A509">
        <v>2024</v>
      </c>
      <c r="B509" t="s">
        <v>99</v>
      </c>
      <c r="C509" t="str">
        <f>IF(COUNTIF('Rookies 22-25'!$B$126:$B$197,E509)&gt;0,"(R)","No")</f>
        <v>No</v>
      </c>
      <c r="D509">
        <v>53</v>
      </c>
      <c r="E509" t="s">
        <v>177</v>
      </c>
      <c r="F509" t="s">
        <v>65</v>
      </c>
      <c r="G509">
        <f>VLOOKUP(E509,'24 Draft ADP'!$B$3:$D$436,3,FALSE)</f>
        <v>64</v>
      </c>
      <c r="H509">
        <v>7</v>
      </c>
      <c r="I509">
        <v>22.3</v>
      </c>
      <c r="J509">
        <v>24.7</v>
      </c>
      <c r="K509">
        <v>17.3</v>
      </c>
      <c r="L509">
        <v>12.9</v>
      </c>
      <c r="M509">
        <v>11.6</v>
      </c>
      <c r="N509">
        <v>35.5</v>
      </c>
      <c r="O509">
        <v>13.5</v>
      </c>
      <c r="P509" t="s">
        <v>33</v>
      </c>
      <c r="Q509" t="s">
        <v>33</v>
      </c>
      <c r="R509" t="s">
        <v>33</v>
      </c>
      <c r="S509" t="s">
        <v>22</v>
      </c>
      <c r="T509" t="s">
        <v>33</v>
      </c>
      <c r="U509" t="s">
        <v>33</v>
      </c>
      <c r="V509" t="s">
        <v>33</v>
      </c>
      <c r="W509" t="s">
        <v>33</v>
      </c>
      <c r="X509" t="s">
        <v>33</v>
      </c>
      <c r="Y509" t="s">
        <v>33</v>
      </c>
      <c r="Z509">
        <v>0</v>
      </c>
      <c r="AA509">
        <v>19.7</v>
      </c>
      <c r="AB509">
        <f t="shared" si="14"/>
        <v>137.80000000000001</v>
      </c>
      <c r="AC509">
        <v>137.80000000000001</v>
      </c>
      <c r="AD509">
        <v>6</v>
      </c>
      <c r="AE509">
        <f t="shared" si="15"/>
        <v>7</v>
      </c>
      <c r="AF509">
        <v>4</v>
      </c>
      <c r="AG509">
        <v>3</v>
      </c>
      <c r="AH509">
        <v>1</v>
      </c>
      <c r="AI509">
        <v>1</v>
      </c>
      <c r="AJ509">
        <v>0.41176470588235292</v>
      </c>
      <c r="AK509">
        <v>0.5714285714285714</v>
      </c>
      <c r="AL509">
        <v>0.42857142857142855</v>
      </c>
      <c r="AM509">
        <v>0.14285714285714285</v>
      </c>
      <c r="AN509">
        <v>0.14285714285714285</v>
      </c>
    </row>
    <row r="510" spans="1:40" x14ac:dyDescent="0.25">
      <c r="A510">
        <v>2024</v>
      </c>
      <c r="B510" t="s">
        <v>99</v>
      </c>
      <c r="C510" t="str">
        <f>IF(COUNTIF('Rookies 22-25'!$B$126:$B$197,E510)&gt;0,"(R)","No")</f>
        <v>No</v>
      </c>
      <c r="D510">
        <v>54</v>
      </c>
      <c r="E510" t="s">
        <v>412</v>
      </c>
      <c r="F510" t="s">
        <v>63</v>
      </c>
      <c r="G510">
        <v>300</v>
      </c>
      <c r="H510">
        <v>17</v>
      </c>
      <c r="I510">
        <v>0</v>
      </c>
      <c r="J510">
        <v>0</v>
      </c>
      <c r="K510">
        <v>0</v>
      </c>
      <c r="L510">
        <v>0</v>
      </c>
      <c r="M510" t="s">
        <v>22</v>
      </c>
      <c r="N510">
        <v>7.9</v>
      </c>
      <c r="O510">
        <v>9</v>
      </c>
      <c r="P510">
        <v>11.9</v>
      </c>
      <c r="Q510">
        <v>16</v>
      </c>
      <c r="R510">
        <v>6.1</v>
      </c>
      <c r="S510">
        <v>19.7</v>
      </c>
      <c r="T510">
        <v>12.8</v>
      </c>
      <c r="U510">
        <v>21.1</v>
      </c>
      <c r="V510">
        <v>2.9</v>
      </c>
      <c r="W510">
        <v>2.9</v>
      </c>
      <c r="X510">
        <v>9.6999999999999993</v>
      </c>
      <c r="Y510">
        <v>6.7</v>
      </c>
      <c r="Z510">
        <v>9</v>
      </c>
      <c r="AA510">
        <v>8</v>
      </c>
      <c r="AB510">
        <f t="shared" si="14"/>
        <v>126.69999999999999</v>
      </c>
      <c r="AC510">
        <v>135.69999999999999</v>
      </c>
      <c r="AD510">
        <v>20</v>
      </c>
      <c r="AE510">
        <f t="shared" si="15"/>
        <v>5</v>
      </c>
      <c r="AF510">
        <v>3</v>
      </c>
      <c r="AG510">
        <v>1</v>
      </c>
      <c r="AH510">
        <v>0</v>
      </c>
      <c r="AI510">
        <v>0</v>
      </c>
      <c r="AJ510">
        <v>0.29411764705882354</v>
      </c>
      <c r="AK510">
        <v>0.17647058823529413</v>
      </c>
      <c r="AL510">
        <v>5.8823529411764705E-2</v>
      </c>
      <c r="AM510">
        <v>0</v>
      </c>
      <c r="AN510">
        <v>0</v>
      </c>
    </row>
    <row r="511" spans="1:40" x14ac:dyDescent="0.25">
      <c r="A511">
        <v>2024</v>
      </c>
      <c r="B511" t="s">
        <v>99</v>
      </c>
      <c r="C511" t="str">
        <f>IF(COUNTIF('Rookies 22-25'!$B$126:$B$197,E511)&gt;0,"(R)","No")</f>
        <v>(R)</v>
      </c>
      <c r="D511">
        <v>55</v>
      </c>
      <c r="E511" t="s">
        <v>413</v>
      </c>
      <c r="F511" t="s">
        <v>65</v>
      </c>
      <c r="G511">
        <f>VLOOKUP(E511,'24 Draft ADP'!$B$3:$D$436,3,FALSE)</f>
        <v>190</v>
      </c>
      <c r="H511">
        <v>13</v>
      </c>
      <c r="I511">
        <v>10.199999999999999</v>
      </c>
      <c r="J511">
        <v>3.1</v>
      </c>
      <c r="K511">
        <v>1.6</v>
      </c>
      <c r="L511" t="s">
        <v>33</v>
      </c>
      <c r="M511" t="s">
        <v>33</v>
      </c>
      <c r="N511">
        <v>0</v>
      </c>
      <c r="O511">
        <v>5.6</v>
      </c>
      <c r="P511">
        <v>9.1999999999999993</v>
      </c>
      <c r="Q511" t="s">
        <v>33</v>
      </c>
      <c r="R511" t="s">
        <v>33</v>
      </c>
      <c r="S511" t="s">
        <v>22</v>
      </c>
      <c r="T511">
        <v>2.1</v>
      </c>
      <c r="U511">
        <v>4.5</v>
      </c>
      <c r="V511">
        <v>21.9</v>
      </c>
      <c r="W511">
        <v>18.5</v>
      </c>
      <c r="X511">
        <v>16.7</v>
      </c>
      <c r="Y511">
        <v>23</v>
      </c>
      <c r="Z511">
        <v>19</v>
      </c>
      <c r="AA511">
        <v>10.4</v>
      </c>
      <c r="AB511">
        <f t="shared" si="14"/>
        <v>116.4</v>
      </c>
      <c r="AC511">
        <v>135.4</v>
      </c>
      <c r="AD511">
        <v>16</v>
      </c>
      <c r="AE511">
        <f t="shared" si="15"/>
        <v>5</v>
      </c>
      <c r="AF511">
        <v>5</v>
      </c>
      <c r="AG511">
        <v>2</v>
      </c>
      <c r="AH511">
        <v>0</v>
      </c>
      <c r="AI511">
        <v>0</v>
      </c>
      <c r="AJ511">
        <v>0.35294117647058826</v>
      </c>
      <c r="AK511">
        <v>0.38461538461538464</v>
      </c>
      <c r="AL511">
        <v>0.15384615384615385</v>
      </c>
      <c r="AM511">
        <v>0</v>
      </c>
      <c r="AN511">
        <v>0</v>
      </c>
    </row>
    <row r="512" spans="1:40" x14ac:dyDescent="0.25">
      <c r="A512">
        <v>2024</v>
      </c>
      <c r="B512" t="s">
        <v>99</v>
      </c>
      <c r="C512" t="str">
        <f>IF(COUNTIF('Rookies 22-25'!$B$126:$B$197,E512)&gt;0,"(R)","No")</f>
        <v>No</v>
      </c>
      <c r="D512">
        <v>56</v>
      </c>
      <c r="E512" t="s">
        <v>136</v>
      </c>
      <c r="F512" t="s">
        <v>69</v>
      </c>
      <c r="G512">
        <f>VLOOKUP(E512,'24 Draft ADP'!$B$3:$D$436,3,FALSE)</f>
        <v>112</v>
      </c>
      <c r="H512">
        <v>13</v>
      </c>
      <c r="I512">
        <v>9</v>
      </c>
      <c r="J512">
        <v>9.1999999999999993</v>
      </c>
      <c r="K512">
        <v>2.8</v>
      </c>
      <c r="L512">
        <v>7.9</v>
      </c>
      <c r="M512" t="s">
        <v>33</v>
      </c>
      <c r="N512">
        <v>19.899999999999999</v>
      </c>
      <c r="O512">
        <v>17.399999999999999</v>
      </c>
      <c r="P512">
        <v>10.199999999999999</v>
      </c>
      <c r="Q512">
        <v>6.8</v>
      </c>
      <c r="R512" t="s">
        <v>22</v>
      </c>
      <c r="S512">
        <v>2.7</v>
      </c>
      <c r="T512">
        <v>8.4</v>
      </c>
      <c r="U512" t="s">
        <v>33</v>
      </c>
      <c r="V512" t="s">
        <v>33</v>
      </c>
      <c r="W512">
        <v>19</v>
      </c>
      <c r="X512">
        <v>4</v>
      </c>
      <c r="Y512">
        <v>14.8</v>
      </c>
      <c r="Z512">
        <v>0</v>
      </c>
      <c r="AA512">
        <v>10.199999999999999</v>
      </c>
      <c r="AB512">
        <f t="shared" si="14"/>
        <v>132.1</v>
      </c>
      <c r="AC512">
        <v>132.1</v>
      </c>
      <c r="AD512">
        <v>10</v>
      </c>
      <c r="AE512">
        <f t="shared" si="15"/>
        <v>5</v>
      </c>
      <c r="AF512">
        <v>3</v>
      </c>
      <c r="AG512">
        <v>0</v>
      </c>
      <c r="AH512">
        <v>0</v>
      </c>
      <c r="AI512">
        <v>0</v>
      </c>
      <c r="AJ512">
        <v>0.29411764705882354</v>
      </c>
      <c r="AK512">
        <v>0.23076923076923078</v>
      </c>
      <c r="AL512">
        <v>0</v>
      </c>
      <c r="AM512">
        <v>0</v>
      </c>
      <c r="AN512">
        <v>0</v>
      </c>
    </row>
    <row r="513" spans="1:40" x14ac:dyDescent="0.25">
      <c r="A513">
        <v>2024</v>
      </c>
      <c r="B513" t="s">
        <v>99</v>
      </c>
      <c r="C513" t="str">
        <f>IF(COUNTIF('Rookies 22-25'!$B$126:$B$197,E513)&gt;0,"(R)","No")</f>
        <v>No</v>
      </c>
      <c r="D513">
        <v>57</v>
      </c>
      <c r="E513" t="s">
        <v>165</v>
      </c>
      <c r="F513" t="s">
        <v>78</v>
      </c>
      <c r="G513">
        <f>VLOOKUP(E513,'24 Draft ADP'!$B$3:$D$436,3,FALSE)</f>
        <v>188</v>
      </c>
      <c r="H513">
        <v>17</v>
      </c>
      <c r="I513">
        <v>0</v>
      </c>
      <c r="J513">
        <v>2</v>
      </c>
      <c r="K513">
        <v>1.9</v>
      </c>
      <c r="L513">
        <v>0</v>
      </c>
      <c r="M513">
        <v>3.4</v>
      </c>
      <c r="N513">
        <v>0</v>
      </c>
      <c r="O513">
        <v>3.8</v>
      </c>
      <c r="P513">
        <v>1.8</v>
      </c>
      <c r="Q513">
        <v>1.4</v>
      </c>
      <c r="R513">
        <v>7</v>
      </c>
      <c r="S513">
        <v>13.3</v>
      </c>
      <c r="T513">
        <v>7.2</v>
      </c>
      <c r="U513">
        <v>19.899999999999999</v>
      </c>
      <c r="V513" t="s">
        <v>22</v>
      </c>
      <c r="W513">
        <v>6</v>
      </c>
      <c r="X513">
        <v>9.5</v>
      </c>
      <c r="Y513">
        <v>30.2</v>
      </c>
      <c r="Z513">
        <v>22.1</v>
      </c>
      <c r="AA513">
        <v>7.6</v>
      </c>
      <c r="AB513">
        <f t="shared" si="14"/>
        <v>107.4</v>
      </c>
      <c r="AC513">
        <v>129.5</v>
      </c>
      <c r="AD513">
        <v>16</v>
      </c>
      <c r="AE513">
        <f t="shared" si="15"/>
        <v>3</v>
      </c>
      <c r="AF513">
        <v>3</v>
      </c>
      <c r="AG513">
        <v>2</v>
      </c>
      <c r="AH513">
        <v>1</v>
      </c>
      <c r="AI513">
        <v>1</v>
      </c>
      <c r="AJ513">
        <v>0.23529411764705882</v>
      </c>
      <c r="AK513">
        <v>0.17647058823529413</v>
      </c>
      <c r="AL513">
        <v>0.11764705882352941</v>
      </c>
      <c r="AM513">
        <v>5.8823529411764705E-2</v>
      </c>
      <c r="AN513">
        <v>5.8823529411764705E-2</v>
      </c>
    </row>
    <row r="514" spans="1:40" x14ac:dyDescent="0.25">
      <c r="A514">
        <v>2024</v>
      </c>
      <c r="B514" t="s">
        <v>99</v>
      </c>
      <c r="C514" t="str">
        <f>IF(COUNTIF('Rookies 22-25'!$B$126:$B$197,E514)&gt;0,"(R)","No")</f>
        <v>No</v>
      </c>
      <c r="D514">
        <v>58</v>
      </c>
      <c r="E514" t="s">
        <v>137</v>
      </c>
      <c r="F514" t="s">
        <v>43</v>
      </c>
      <c r="G514">
        <f>VLOOKUP(E514,'24 Draft ADP'!$B$3:$D$436,3,FALSE)</f>
        <v>238</v>
      </c>
      <c r="H514">
        <v>17</v>
      </c>
      <c r="I514">
        <v>4.2</v>
      </c>
      <c r="J514">
        <v>3.3</v>
      </c>
      <c r="K514">
        <v>22.6</v>
      </c>
      <c r="L514">
        <v>15.4</v>
      </c>
      <c r="M514">
        <v>4.5999999999999996</v>
      </c>
      <c r="N514">
        <v>0</v>
      </c>
      <c r="O514">
        <v>7.7</v>
      </c>
      <c r="P514">
        <v>5.3</v>
      </c>
      <c r="Q514">
        <v>2.5</v>
      </c>
      <c r="R514" t="s">
        <v>22</v>
      </c>
      <c r="S514">
        <v>6.5</v>
      </c>
      <c r="T514">
        <v>15.2</v>
      </c>
      <c r="U514">
        <v>13.9</v>
      </c>
      <c r="V514">
        <v>2.7</v>
      </c>
      <c r="W514">
        <v>3.8</v>
      </c>
      <c r="X514">
        <v>5.3</v>
      </c>
      <c r="Y514">
        <v>10.9</v>
      </c>
      <c r="Z514">
        <v>5.4</v>
      </c>
      <c r="AA514">
        <v>7.6</v>
      </c>
      <c r="AB514">
        <f t="shared" si="14"/>
        <v>123.9</v>
      </c>
      <c r="AC514">
        <v>129.30000000000001</v>
      </c>
      <c r="AD514">
        <v>20</v>
      </c>
      <c r="AE514">
        <f t="shared" si="15"/>
        <v>5</v>
      </c>
      <c r="AF514">
        <v>3</v>
      </c>
      <c r="AG514">
        <v>1</v>
      </c>
      <c r="AH514">
        <v>0</v>
      </c>
      <c r="AI514">
        <v>0</v>
      </c>
      <c r="AJ514">
        <v>0.29411764705882354</v>
      </c>
      <c r="AK514">
        <v>0.17647058823529413</v>
      </c>
      <c r="AL514">
        <v>5.8823529411764705E-2</v>
      </c>
      <c r="AM514">
        <v>0</v>
      </c>
      <c r="AN514">
        <v>0</v>
      </c>
    </row>
    <row r="515" spans="1:40" x14ac:dyDescent="0.25">
      <c r="A515">
        <v>2024</v>
      </c>
      <c r="B515" t="s">
        <v>99</v>
      </c>
      <c r="C515" t="str">
        <f>IF(COUNTIF('Rookies 22-25'!$B$126:$B$197,E515)&gt;0,"(R)","No")</f>
        <v>No</v>
      </c>
      <c r="D515">
        <v>59</v>
      </c>
      <c r="E515" t="s">
        <v>414</v>
      </c>
      <c r="F515" t="s">
        <v>82</v>
      </c>
      <c r="G515">
        <f>VLOOKUP(E515,'24 Draft ADP'!$B$3:$D$436,3,FALSE)</f>
        <v>282</v>
      </c>
      <c r="H515">
        <v>12</v>
      </c>
      <c r="I515">
        <v>26.9</v>
      </c>
      <c r="J515">
        <v>3.1</v>
      </c>
      <c r="K515">
        <v>13.8</v>
      </c>
      <c r="L515">
        <v>10.8</v>
      </c>
      <c r="M515">
        <v>13.4</v>
      </c>
      <c r="N515">
        <v>23.4</v>
      </c>
      <c r="O515">
        <v>9.8000000000000007</v>
      </c>
      <c r="P515" t="s">
        <v>33</v>
      </c>
      <c r="Q515" t="s">
        <v>33</v>
      </c>
      <c r="R515" t="s">
        <v>33</v>
      </c>
      <c r="S515" t="s">
        <v>33</v>
      </c>
      <c r="T515" t="s">
        <v>22</v>
      </c>
      <c r="U515" t="s">
        <v>33</v>
      </c>
      <c r="V515">
        <v>2.8</v>
      </c>
      <c r="W515">
        <v>0</v>
      </c>
      <c r="X515">
        <v>4</v>
      </c>
      <c r="Y515">
        <v>1.9</v>
      </c>
      <c r="Z515">
        <v>16.100000000000001</v>
      </c>
      <c r="AA515">
        <v>10.5</v>
      </c>
      <c r="AB515">
        <f t="shared" ref="AB515:AB578" si="16">AC515-Z515</f>
        <v>109.9</v>
      </c>
      <c r="AC515">
        <v>126</v>
      </c>
      <c r="AD515">
        <v>20</v>
      </c>
      <c r="AE515">
        <f t="shared" ref="AE515:AE578" si="17">COUNTIF(I515:Y515,"&gt;10")</f>
        <v>5</v>
      </c>
      <c r="AF515">
        <v>3</v>
      </c>
      <c r="AG515">
        <v>2</v>
      </c>
      <c r="AH515">
        <v>1</v>
      </c>
      <c r="AI515">
        <v>0</v>
      </c>
      <c r="AJ515">
        <v>0.35294117647058826</v>
      </c>
      <c r="AK515">
        <v>0.25</v>
      </c>
      <c r="AL515">
        <v>0.16666666666666666</v>
      </c>
      <c r="AM515">
        <v>8.3333333333333329E-2</v>
      </c>
      <c r="AN515">
        <v>0</v>
      </c>
    </row>
    <row r="516" spans="1:40" x14ac:dyDescent="0.25">
      <c r="A516">
        <v>2024</v>
      </c>
      <c r="B516" t="s">
        <v>99</v>
      </c>
      <c r="C516" t="str">
        <f>IF(COUNTIF('Rookies 22-25'!$B$126:$B$197,E516)&gt;0,"(R)","No")</f>
        <v>(R)</v>
      </c>
      <c r="D516">
        <v>60</v>
      </c>
      <c r="E516" t="s">
        <v>170</v>
      </c>
      <c r="F516" t="s">
        <v>95</v>
      </c>
      <c r="G516">
        <f>VLOOKUP(E516,'24 Draft ADP'!$B$3:$D$436,3,FALSE)</f>
        <v>165</v>
      </c>
      <c r="H516">
        <v>16</v>
      </c>
      <c r="I516">
        <v>7.5</v>
      </c>
      <c r="J516">
        <v>0</v>
      </c>
      <c r="K516">
        <v>6.2</v>
      </c>
      <c r="L516">
        <v>19.600000000000001</v>
      </c>
      <c r="M516">
        <v>1.8</v>
      </c>
      <c r="N516">
        <v>11.3</v>
      </c>
      <c r="O516">
        <v>2.9</v>
      </c>
      <c r="P516">
        <v>13.4</v>
      </c>
      <c r="Q516">
        <v>13.9</v>
      </c>
      <c r="R516">
        <v>7</v>
      </c>
      <c r="S516" t="s">
        <v>22</v>
      </c>
      <c r="T516">
        <v>9.6</v>
      </c>
      <c r="U516">
        <v>9.3000000000000007</v>
      </c>
      <c r="V516">
        <v>5.9</v>
      </c>
      <c r="W516">
        <v>2.9</v>
      </c>
      <c r="X516" t="s">
        <v>33</v>
      </c>
      <c r="Y516">
        <v>7.8</v>
      </c>
      <c r="Z516">
        <v>6</v>
      </c>
      <c r="AA516">
        <v>7.8</v>
      </c>
      <c r="AB516">
        <f t="shared" si="16"/>
        <v>119.1</v>
      </c>
      <c r="AC516">
        <v>125.1</v>
      </c>
      <c r="AD516">
        <v>14</v>
      </c>
      <c r="AE516">
        <f t="shared" si="17"/>
        <v>4</v>
      </c>
      <c r="AF516">
        <v>1</v>
      </c>
      <c r="AG516">
        <v>0</v>
      </c>
      <c r="AH516">
        <v>0</v>
      </c>
      <c r="AI516">
        <v>0</v>
      </c>
      <c r="AJ516">
        <v>0.23529411764705882</v>
      </c>
      <c r="AK516">
        <v>6.25E-2</v>
      </c>
      <c r="AL516">
        <v>0</v>
      </c>
      <c r="AM516">
        <v>0</v>
      </c>
      <c r="AN516">
        <v>0</v>
      </c>
    </row>
    <row r="517" spans="1:40" x14ac:dyDescent="0.25">
      <c r="A517">
        <v>2024</v>
      </c>
      <c r="B517" t="s">
        <v>99</v>
      </c>
      <c r="C517" t="str">
        <f>IF(COUNTIF('Rookies 22-25'!$B$126:$B$197,E517)&gt;0,"(R)","No")</f>
        <v>No</v>
      </c>
      <c r="D517">
        <v>61</v>
      </c>
      <c r="E517" t="s">
        <v>109</v>
      </c>
      <c r="F517" t="s">
        <v>21</v>
      </c>
      <c r="G517">
        <f>VLOOKUP(E517,'24 Draft ADP'!$B$3:$D$436,3,FALSE)</f>
        <v>151</v>
      </c>
      <c r="H517">
        <v>16</v>
      </c>
      <c r="I517">
        <v>7.5</v>
      </c>
      <c r="J517">
        <v>5.0999999999999996</v>
      </c>
      <c r="K517">
        <v>14.4</v>
      </c>
      <c r="L517">
        <v>4.8</v>
      </c>
      <c r="M517">
        <v>12.8</v>
      </c>
      <c r="N517">
        <v>10.1</v>
      </c>
      <c r="O517">
        <v>2.5</v>
      </c>
      <c r="P517">
        <v>14.1</v>
      </c>
      <c r="Q517">
        <v>0</v>
      </c>
      <c r="R517">
        <v>5.4</v>
      </c>
      <c r="S517" t="s">
        <v>22</v>
      </c>
      <c r="T517">
        <v>7.4</v>
      </c>
      <c r="U517">
        <v>10.5</v>
      </c>
      <c r="V517">
        <v>13.7</v>
      </c>
      <c r="W517">
        <v>2.9</v>
      </c>
      <c r="X517">
        <v>6.4</v>
      </c>
      <c r="Y517">
        <v>6.9</v>
      </c>
      <c r="Z517">
        <v>0</v>
      </c>
      <c r="AA517">
        <v>7.8</v>
      </c>
      <c r="AB517">
        <f t="shared" si="16"/>
        <v>124.5</v>
      </c>
      <c r="AC517">
        <v>124.5</v>
      </c>
      <c r="AD517">
        <v>13</v>
      </c>
      <c r="AE517">
        <f t="shared" si="17"/>
        <v>6</v>
      </c>
      <c r="AF517">
        <v>0</v>
      </c>
      <c r="AG517">
        <v>0</v>
      </c>
      <c r="AH517">
        <v>0</v>
      </c>
      <c r="AI517">
        <v>0</v>
      </c>
      <c r="AJ517">
        <v>0.35294117647058826</v>
      </c>
      <c r="AK517">
        <v>0</v>
      </c>
      <c r="AL517">
        <v>0</v>
      </c>
      <c r="AM517">
        <v>0</v>
      </c>
      <c r="AN517">
        <v>0</v>
      </c>
    </row>
    <row r="518" spans="1:40" x14ac:dyDescent="0.25">
      <c r="A518">
        <v>2024</v>
      </c>
      <c r="B518" t="s">
        <v>99</v>
      </c>
      <c r="C518" t="str">
        <f>IF(COUNTIF('Rookies 22-25'!$B$126:$B$197,E518)&gt;0,"(R)","No")</f>
        <v>No</v>
      </c>
      <c r="D518">
        <v>62</v>
      </c>
      <c r="E518" t="s">
        <v>199</v>
      </c>
      <c r="F518" t="s">
        <v>55</v>
      </c>
      <c r="G518">
        <f>VLOOKUP(E518,'24 Draft ADP'!$B$3:$D$436,3,FALSE)</f>
        <v>181</v>
      </c>
      <c r="H518">
        <v>17</v>
      </c>
      <c r="I518">
        <v>8.1999999999999993</v>
      </c>
      <c r="J518">
        <v>7</v>
      </c>
      <c r="K518">
        <v>4.2</v>
      </c>
      <c r="L518">
        <v>5.7</v>
      </c>
      <c r="M518">
        <v>11.8</v>
      </c>
      <c r="N518" t="s">
        <v>22</v>
      </c>
      <c r="O518">
        <v>1.9</v>
      </c>
      <c r="P518">
        <v>17.5</v>
      </c>
      <c r="Q518">
        <v>27.4</v>
      </c>
      <c r="R518">
        <v>3.3</v>
      </c>
      <c r="S518">
        <v>3.9</v>
      </c>
      <c r="T518">
        <v>9.5</v>
      </c>
      <c r="U518">
        <v>12.9</v>
      </c>
      <c r="V518">
        <v>0</v>
      </c>
      <c r="W518">
        <v>0</v>
      </c>
      <c r="X518">
        <v>0</v>
      </c>
      <c r="Y518">
        <v>0</v>
      </c>
      <c r="Z518">
        <v>10.199999999999999</v>
      </c>
      <c r="AA518">
        <v>7.3</v>
      </c>
      <c r="AB518">
        <f t="shared" si="16"/>
        <v>113.3</v>
      </c>
      <c r="AC518">
        <v>123.5</v>
      </c>
      <c r="AD518">
        <v>18</v>
      </c>
      <c r="AE518">
        <f t="shared" si="17"/>
        <v>4</v>
      </c>
      <c r="AF518">
        <v>2</v>
      </c>
      <c r="AG518">
        <v>1</v>
      </c>
      <c r="AH518">
        <v>1</v>
      </c>
      <c r="AI518">
        <v>0</v>
      </c>
      <c r="AJ518">
        <v>0.29411764705882354</v>
      </c>
      <c r="AK518">
        <v>0.11764705882352941</v>
      </c>
      <c r="AL518">
        <v>5.8823529411764705E-2</v>
      </c>
      <c r="AM518">
        <v>5.8823529411764705E-2</v>
      </c>
      <c r="AN518">
        <v>0</v>
      </c>
    </row>
    <row r="519" spans="1:40" x14ac:dyDescent="0.25">
      <c r="A519">
        <v>2024</v>
      </c>
      <c r="B519" t="s">
        <v>99</v>
      </c>
      <c r="C519" t="str">
        <f>IF(COUNTIF('Rookies 22-25'!$B$126:$B$197,E519)&gt;0,"(R)","No")</f>
        <v>No</v>
      </c>
      <c r="D519">
        <v>63</v>
      </c>
      <c r="E519" t="s">
        <v>415</v>
      </c>
      <c r="F519" t="s">
        <v>61</v>
      </c>
      <c r="G519">
        <f>VLOOKUP(E519,'24 Draft ADP'!$B$3:$D$436,3,FALSE)</f>
        <v>50</v>
      </c>
      <c r="H519">
        <v>14</v>
      </c>
      <c r="I519">
        <v>3.6</v>
      </c>
      <c r="J519">
        <v>4.0999999999999996</v>
      </c>
      <c r="K519">
        <v>27.6</v>
      </c>
      <c r="L519">
        <v>7.5</v>
      </c>
      <c r="M519">
        <v>10</v>
      </c>
      <c r="N519">
        <v>8.1999999999999993</v>
      </c>
      <c r="O519">
        <v>16.600000000000001</v>
      </c>
      <c r="P519">
        <v>1.3</v>
      </c>
      <c r="Q519" t="s">
        <v>33</v>
      </c>
      <c r="R519" t="s">
        <v>33</v>
      </c>
      <c r="S519">
        <v>7.5</v>
      </c>
      <c r="T519" t="s">
        <v>22</v>
      </c>
      <c r="U519">
        <v>4.2</v>
      </c>
      <c r="V519">
        <v>15.5</v>
      </c>
      <c r="W519">
        <v>0</v>
      </c>
      <c r="X519">
        <v>2</v>
      </c>
      <c r="Y519">
        <v>14.6</v>
      </c>
      <c r="Z519">
        <v>0</v>
      </c>
      <c r="AA519">
        <v>8.8000000000000007</v>
      </c>
      <c r="AB519">
        <f t="shared" si="16"/>
        <v>122.7</v>
      </c>
      <c r="AC519">
        <v>122.7</v>
      </c>
      <c r="AD519">
        <v>5</v>
      </c>
      <c r="AE519">
        <f t="shared" si="17"/>
        <v>4</v>
      </c>
      <c r="AF519">
        <v>3</v>
      </c>
      <c r="AG519">
        <v>1</v>
      </c>
      <c r="AH519">
        <v>1</v>
      </c>
      <c r="AI519">
        <v>0</v>
      </c>
      <c r="AJ519">
        <v>0.23529411764705882</v>
      </c>
      <c r="AK519">
        <v>0.21428571428571427</v>
      </c>
      <c r="AL519">
        <v>7.1428571428571425E-2</v>
      </c>
      <c r="AM519">
        <v>7.1428571428571425E-2</v>
      </c>
      <c r="AN519">
        <v>0</v>
      </c>
    </row>
    <row r="520" spans="1:40" x14ac:dyDescent="0.25">
      <c r="A520">
        <v>2024</v>
      </c>
      <c r="B520" t="s">
        <v>99</v>
      </c>
      <c r="C520" t="str">
        <f>IF(COUNTIF('Rookies 22-25'!$B$126:$B$197,E520)&gt;0,"(R)","No")</f>
        <v>No</v>
      </c>
      <c r="D520">
        <v>64</v>
      </c>
      <c r="E520" t="s">
        <v>116</v>
      </c>
      <c r="F520" t="s">
        <v>41</v>
      </c>
      <c r="G520">
        <f>VLOOKUP(E520,'24 Draft ADP'!$B$3:$D$436,3,FALSE)</f>
        <v>41</v>
      </c>
      <c r="H520">
        <v>8</v>
      </c>
      <c r="I520">
        <v>21.9</v>
      </c>
      <c r="J520">
        <v>7.7</v>
      </c>
      <c r="K520">
        <v>19.899999999999999</v>
      </c>
      <c r="L520">
        <v>18.5</v>
      </c>
      <c r="M520">
        <v>14.2</v>
      </c>
      <c r="N520">
        <v>19.7</v>
      </c>
      <c r="O520">
        <v>7.3</v>
      </c>
      <c r="P520">
        <v>12.7</v>
      </c>
      <c r="Q520" t="s">
        <v>33</v>
      </c>
      <c r="R520" t="s">
        <v>33</v>
      </c>
      <c r="S520" t="s">
        <v>33</v>
      </c>
      <c r="T520" t="s">
        <v>33</v>
      </c>
      <c r="U520" t="s">
        <v>33</v>
      </c>
      <c r="V520" t="s">
        <v>22</v>
      </c>
      <c r="W520" t="s">
        <v>33</v>
      </c>
      <c r="X520" t="s">
        <v>33</v>
      </c>
      <c r="Y520" t="s">
        <v>33</v>
      </c>
      <c r="Z520">
        <v>0</v>
      </c>
      <c r="AA520">
        <v>15.2</v>
      </c>
      <c r="AB520">
        <f t="shared" si="16"/>
        <v>121.9</v>
      </c>
      <c r="AC520">
        <v>121.9</v>
      </c>
      <c r="AD520">
        <v>4</v>
      </c>
      <c r="AE520">
        <f t="shared" si="17"/>
        <v>6</v>
      </c>
      <c r="AF520">
        <v>4</v>
      </c>
      <c r="AG520">
        <v>1</v>
      </c>
      <c r="AH520">
        <v>0</v>
      </c>
      <c r="AI520">
        <v>0</v>
      </c>
      <c r="AJ520">
        <v>0.35294117647058826</v>
      </c>
      <c r="AK520">
        <v>0.5</v>
      </c>
      <c r="AL520">
        <v>0.125</v>
      </c>
      <c r="AM520">
        <v>0</v>
      </c>
      <c r="AN520">
        <v>0</v>
      </c>
    </row>
    <row r="521" spans="1:40" x14ac:dyDescent="0.25">
      <c r="A521">
        <v>2024</v>
      </c>
      <c r="B521" t="s">
        <v>99</v>
      </c>
      <c r="C521" t="str">
        <f>IF(COUNTIF('Rookies 22-25'!$B$126:$B$197,E521)&gt;0,"(R)","No")</f>
        <v>No</v>
      </c>
      <c r="D521">
        <v>64</v>
      </c>
      <c r="E521" t="s">
        <v>150</v>
      </c>
      <c r="F521" t="s">
        <v>39</v>
      </c>
      <c r="G521">
        <f>VLOOKUP(E521,'24 Draft ADP'!$B$3:$D$436,3,FALSE)</f>
        <v>390</v>
      </c>
      <c r="H521">
        <v>15</v>
      </c>
      <c r="I521" t="s">
        <v>33</v>
      </c>
      <c r="J521" t="s">
        <v>33</v>
      </c>
      <c r="K521">
        <v>1.2</v>
      </c>
      <c r="L521">
        <v>2.1</v>
      </c>
      <c r="M521">
        <v>5.4</v>
      </c>
      <c r="N521">
        <v>14.9</v>
      </c>
      <c r="O521">
        <v>4.3</v>
      </c>
      <c r="P521">
        <v>7.6</v>
      </c>
      <c r="Q521">
        <v>3.8</v>
      </c>
      <c r="R521">
        <v>8.6999999999999993</v>
      </c>
      <c r="S521">
        <v>7.3</v>
      </c>
      <c r="T521">
        <v>1.6</v>
      </c>
      <c r="U521">
        <v>9.1</v>
      </c>
      <c r="V521" t="s">
        <v>22</v>
      </c>
      <c r="W521">
        <v>3.9</v>
      </c>
      <c r="X521">
        <v>20.5</v>
      </c>
      <c r="Y521">
        <v>6.8</v>
      </c>
      <c r="Z521">
        <v>24.7</v>
      </c>
      <c r="AA521">
        <v>8.1</v>
      </c>
      <c r="AB521">
        <f t="shared" si="16"/>
        <v>97.2</v>
      </c>
      <c r="AC521">
        <v>121.9</v>
      </c>
      <c r="AD521">
        <v>20</v>
      </c>
      <c r="AE521">
        <f t="shared" si="17"/>
        <v>2</v>
      </c>
      <c r="AF521">
        <v>2</v>
      </c>
      <c r="AG521">
        <v>2</v>
      </c>
      <c r="AH521">
        <v>0</v>
      </c>
      <c r="AI521">
        <v>0</v>
      </c>
      <c r="AJ521">
        <v>0.17647058823529413</v>
      </c>
      <c r="AK521">
        <v>0.13333333333333333</v>
      </c>
      <c r="AL521">
        <v>0.13333333333333333</v>
      </c>
      <c r="AM521">
        <v>0</v>
      </c>
      <c r="AN521">
        <v>0</v>
      </c>
    </row>
    <row r="522" spans="1:40" x14ac:dyDescent="0.25">
      <c r="A522">
        <v>2024</v>
      </c>
      <c r="B522" t="s">
        <v>99</v>
      </c>
      <c r="C522" t="str">
        <f>IF(COUNTIF('Rookies 22-25'!$B$126:$B$197,E522)&gt;0,"(R)","No")</f>
        <v>No</v>
      </c>
      <c r="D522">
        <v>66</v>
      </c>
      <c r="E522" t="s">
        <v>186</v>
      </c>
      <c r="F522" t="s">
        <v>49</v>
      </c>
      <c r="G522">
        <f>VLOOKUP(E522,'24 Draft ADP'!$B$3:$D$436,3,FALSE)</f>
        <v>130</v>
      </c>
      <c r="H522">
        <v>17</v>
      </c>
      <c r="I522">
        <v>13.7</v>
      </c>
      <c r="J522">
        <v>3.5</v>
      </c>
      <c r="K522">
        <v>9.6</v>
      </c>
      <c r="L522">
        <v>11.1</v>
      </c>
      <c r="M522">
        <v>11.5</v>
      </c>
      <c r="N522">
        <v>16.5</v>
      </c>
      <c r="O522">
        <v>8.5</v>
      </c>
      <c r="P522">
        <v>1.9</v>
      </c>
      <c r="Q522">
        <v>15.3</v>
      </c>
      <c r="R522" t="s">
        <v>22</v>
      </c>
      <c r="S522">
        <v>3.9</v>
      </c>
      <c r="T522">
        <v>4</v>
      </c>
      <c r="U522">
        <v>4.5999999999999996</v>
      </c>
      <c r="V522">
        <v>0</v>
      </c>
      <c r="W522">
        <v>3.2</v>
      </c>
      <c r="X522">
        <v>3.9</v>
      </c>
      <c r="Y522">
        <v>5</v>
      </c>
      <c r="Z522">
        <v>4.8</v>
      </c>
      <c r="AA522">
        <v>7.1</v>
      </c>
      <c r="AB522">
        <f t="shared" si="16"/>
        <v>116.2</v>
      </c>
      <c r="AC522">
        <v>121</v>
      </c>
      <c r="AD522">
        <v>11</v>
      </c>
      <c r="AE522">
        <f t="shared" si="17"/>
        <v>5</v>
      </c>
      <c r="AF522">
        <v>2</v>
      </c>
      <c r="AG522">
        <v>0</v>
      </c>
      <c r="AH522">
        <v>0</v>
      </c>
      <c r="AI522">
        <v>0</v>
      </c>
      <c r="AJ522">
        <v>0.29411764705882354</v>
      </c>
      <c r="AK522">
        <v>0.11764705882352941</v>
      </c>
      <c r="AL522">
        <v>0</v>
      </c>
      <c r="AM522">
        <v>0</v>
      </c>
      <c r="AN522">
        <v>0</v>
      </c>
    </row>
    <row r="523" spans="1:40" x14ac:dyDescent="0.25">
      <c r="A523">
        <v>2024</v>
      </c>
      <c r="B523" t="s">
        <v>99</v>
      </c>
      <c r="C523" t="str">
        <f>IF(COUNTIF('Rookies 22-25'!$B$126:$B$197,E523)&gt;0,"(R)","No")</f>
        <v>No</v>
      </c>
      <c r="D523">
        <v>67</v>
      </c>
      <c r="E523" t="s">
        <v>416</v>
      </c>
      <c r="F523" t="s">
        <v>32</v>
      </c>
      <c r="G523">
        <f>VLOOKUP(E523,'24 Draft ADP'!$B$3:$D$436,3,FALSE)</f>
        <v>242</v>
      </c>
      <c r="H523">
        <v>17</v>
      </c>
      <c r="I523">
        <v>3.9</v>
      </c>
      <c r="J523">
        <v>10.4</v>
      </c>
      <c r="K523">
        <v>3.7</v>
      </c>
      <c r="L523">
        <v>2.1</v>
      </c>
      <c r="M523">
        <v>4.0999999999999996</v>
      </c>
      <c r="N523">
        <v>1.3</v>
      </c>
      <c r="O523">
        <v>10.1</v>
      </c>
      <c r="P523">
        <v>16.5</v>
      </c>
      <c r="Q523">
        <v>5.8</v>
      </c>
      <c r="R523" t="s">
        <v>22</v>
      </c>
      <c r="S523">
        <v>18.600000000000001</v>
      </c>
      <c r="T523">
        <v>5.0999999999999996</v>
      </c>
      <c r="U523">
        <v>19.2</v>
      </c>
      <c r="V523">
        <v>6.4</v>
      </c>
      <c r="W523">
        <v>1.9</v>
      </c>
      <c r="X523">
        <v>4.0999999999999996</v>
      </c>
      <c r="Y523">
        <v>1.1000000000000001</v>
      </c>
      <c r="Z523">
        <v>6.6</v>
      </c>
      <c r="AA523">
        <v>7.1</v>
      </c>
      <c r="AB523">
        <f t="shared" si="16"/>
        <v>114.30000000000001</v>
      </c>
      <c r="AC523">
        <v>120.9</v>
      </c>
      <c r="AD523">
        <v>20</v>
      </c>
      <c r="AE523">
        <f t="shared" si="17"/>
        <v>5</v>
      </c>
      <c r="AF523">
        <v>3</v>
      </c>
      <c r="AG523">
        <v>0</v>
      </c>
      <c r="AH523">
        <v>0</v>
      </c>
      <c r="AI523">
        <v>0</v>
      </c>
      <c r="AJ523">
        <v>0.29411764705882354</v>
      </c>
      <c r="AK523">
        <v>0.17647058823529413</v>
      </c>
      <c r="AL523">
        <v>0</v>
      </c>
      <c r="AM523">
        <v>0</v>
      </c>
      <c r="AN523">
        <v>0</v>
      </c>
    </row>
    <row r="524" spans="1:40" x14ac:dyDescent="0.25">
      <c r="A524">
        <v>2024</v>
      </c>
      <c r="B524" t="s">
        <v>99</v>
      </c>
      <c r="C524" t="str">
        <f>IF(COUNTIF('Rookies 22-25'!$B$126:$B$197,E524)&gt;0,"(R)","No")</f>
        <v>No</v>
      </c>
      <c r="D524">
        <v>68</v>
      </c>
      <c r="E524" t="s">
        <v>169</v>
      </c>
      <c r="F524" t="s">
        <v>89</v>
      </c>
      <c r="G524">
        <f>VLOOKUP(E524,'24 Draft ADP'!$B$3:$D$436,3,FALSE)</f>
        <v>202</v>
      </c>
      <c r="H524">
        <v>17</v>
      </c>
      <c r="I524">
        <v>5.6</v>
      </c>
      <c r="J524">
        <v>14.7</v>
      </c>
      <c r="K524">
        <v>16.2</v>
      </c>
      <c r="L524">
        <v>3.9</v>
      </c>
      <c r="M524">
        <v>4.9000000000000004</v>
      </c>
      <c r="N524">
        <v>5.6</v>
      </c>
      <c r="O524">
        <v>0</v>
      </c>
      <c r="P524">
        <v>0</v>
      </c>
      <c r="Q524">
        <v>8</v>
      </c>
      <c r="R524">
        <v>4.9000000000000004</v>
      </c>
      <c r="S524">
        <v>7.6</v>
      </c>
      <c r="T524" t="s">
        <v>22</v>
      </c>
      <c r="U524">
        <v>12.5</v>
      </c>
      <c r="V524">
        <v>8.1</v>
      </c>
      <c r="W524">
        <v>1.5</v>
      </c>
      <c r="X524">
        <v>14.3</v>
      </c>
      <c r="Y524">
        <v>8.9</v>
      </c>
      <c r="Z524">
        <v>3.2</v>
      </c>
      <c r="AA524">
        <v>7.1</v>
      </c>
      <c r="AB524">
        <f t="shared" si="16"/>
        <v>116.7</v>
      </c>
      <c r="AC524">
        <v>119.9</v>
      </c>
      <c r="AD524">
        <v>17</v>
      </c>
      <c r="AE524">
        <f t="shared" si="17"/>
        <v>4</v>
      </c>
      <c r="AF524">
        <v>1</v>
      </c>
      <c r="AG524">
        <v>0</v>
      </c>
      <c r="AH524">
        <v>0</v>
      </c>
      <c r="AI524">
        <v>0</v>
      </c>
      <c r="AJ524">
        <v>0.23529411764705882</v>
      </c>
      <c r="AK524">
        <v>5.8823529411764705E-2</v>
      </c>
      <c r="AL524">
        <v>0</v>
      </c>
      <c r="AM524">
        <v>0</v>
      </c>
      <c r="AN524">
        <v>0</v>
      </c>
    </row>
    <row r="525" spans="1:40" x14ac:dyDescent="0.25">
      <c r="A525">
        <v>2024</v>
      </c>
      <c r="B525" t="s">
        <v>99</v>
      </c>
      <c r="C525" t="str">
        <f>IF(COUNTIF('Rookies 22-25'!$B$126:$B$197,E525)&gt;0,"(R)","No")</f>
        <v>No</v>
      </c>
      <c r="D525">
        <v>69</v>
      </c>
      <c r="E525" t="s">
        <v>173</v>
      </c>
      <c r="F525" t="s">
        <v>71</v>
      </c>
      <c r="G525">
        <f>VLOOKUP(E525,'24 Draft ADP'!$B$3:$D$436,3,FALSE)</f>
        <v>297</v>
      </c>
      <c r="H525">
        <v>17</v>
      </c>
      <c r="I525">
        <v>1.7</v>
      </c>
      <c r="J525">
        <v>1.6</v>
      </c>
      <c r="K525">
        <v>19.5</v>
      </c>
      <c r="L525">
        <v>2.7</v>
      </c>
      <c r="M525">
        <v>1.6</v>
      </c>
      <c r="N525">
        <v>5.6</v>
      </c>
      <c r="O525">
        <v>4.5999999999999996</v>
      </c>
      <c r="P525">
        <v>20.399999999999999</v>
      </c>
      <c r="Q525" t="s">
        <v>22</v>
      </c>
      <c r="R525">
        <v>4</v>
      </c>
      <c r="S525">
        <v>0.9</v>
      </c>
      <c r="T525">
        <v>16.8</v>
      </c>
      <c r="U525">
        <v>10.9</v>
      </c>
      <c r="V525">
        <v>1.4</v>
      </c>
      <c r="W525">
        <v>11.5</v>
      </c>
      <c r="X525">
        <v>10.5</v>
      </c>
      <c r="Y525">
        <v>7.1</v>
      </c>
      <c r="Z525">
        <v>-2</v>
      </c>
      <c r="AA525">
        <v>7</v>
      </c>
      <c r="AB525">
        <f t="shared" si="16"/>
        <v>120.8</v>
      </c>
      <c r="AC525">
        <v>118.8</v>
      </c>
      <c r="AD525">
        <v>20</v>
      </c>
      <c r="AE525">
        <f t="shared" si="17"/>
        <v>6</v>
      </c>
      <c r="AF525">
        <v>3</v>
      </c>
      <c r="AG525">
        <v>1</v>
      </c>
      <c r="AH525">
        <v>0</v>
      </c>
      <c r="AI525">
        <v>0</v>
      </c>
      <c r="AJ525">
        <v>0.35294117647058826</v>
      </c>
      <c r="AK525">
        <v>0.17647058823529413</v>
      </c>
      <c r="AL525">
        <v>5.8823529411764705E-2</v>
      </c>
      <c r="AM525">
        <v>0</v>
      </c>
      <c r="AN525">
        <v>0</v>
      </c>
    </row>
    <row r="526" spans="1:40" x14ac:dyDescent="0.25">
      <c r="A526">
        <v>2024</v>
      </c>
      <c r="B526" t="s">
        <v>99</v>
      </c>
      <c r="C526" t="str">
        <f>IF(COUNTIF('Rookies 22-25'!$B$126:$B$197,E526)&gt;0,"(R)","No")</f>
        <v>No</v>
      </c>
      <c r="D526">
        <v>70</v>
      </c>
      <c r="E526" t="s">
        <v>175</v>
      </c>
      <c r="F526" t="s">
        <v>59</v>
      </c>
      <c r="G526">
        <f>VLOOKUP(E526,'24 Draft ADP'!$B$3:$D$436,3,FALSE)</f>
        <v>268</v>
      </c>
      <c r="H526">
        <v>17</v>
      </c>
      <c r="I526">
        <v>2.5</v>
      </c>
      <c r="J526">
        <v>4.4000000000000004</v>
      </c>
      <c r="K526">
        <v>0</v>
      </c>
      <c r="L526">
        <v>14.5</v>
      </c>
      <c r="M526">
        <v>2</v>
      </c>
      <c r="N526">
        <v>6.7</v>
      </c>
      <c r="O526">
        <v>6.5</v>
      </c>
      <c r="P526">
        <v>0</v>
      </c>
      <c r="Q526">
        <v>6.8</v>
      </c>
      <c r="R526">
        <v>-0.2</v>
      </c>
      <c r="S526">
        <v>2</v>
      </c>
      <c r="T526">
        <v>1.8</v>
      </c>
      <c r="U526">
        <v>4.4000000000000004</v>
      </c>
      <c r="V526" t="s">
        <v>22</v>
      </c>
      <c r="W526">
        <v>6.6</v>
      </c>
      <c r="X526">
        <v>24</v>
      </c>
      <c r="Y526">
        <v>23.3</v>
      </c>
      <c r="Z526">
        <v>7.1</v>
      </c>
      <c r="AA526">
        <v>6.6</v>
      </c>
      <c r="AB526">
        <f t="shared" si="16"/>
        <v>105.30000000000001</v>
      </c>
      <c r="AC526">
        <v>112.4</v>
      </c>
      <c r="AD526">
        <v>20</v>
      </c>
      <c r="AE526">
        <f t="shared" si="17"/>
        <v>3</v>
      </c>
      <c r="AF526">
        <v>2</v>
      </c>
      <c r="AG526">
        <v>2</v>
      </c>
      <c r="AH526">
        <v>0</v>
      </c>
      <c r="AI526">
        <v>0</v>
      </c>
      <c r="AJ526">
        <v>0.17647058823529413</v>
      </c>
      <c r="AK526">
        <v>0.11764705882352941</v>
      </c>
      <c r="AL526">
        <v>0.11764705882352941</v>
      </c>
      <c r="AM526">
        <v>0</v>
      </c>
      <c r="AN526">
        <v>0</v>
      </c>
    </row>
    <row r="527" spans="1:40" x14ac:dyDescent="0.25">
      <c r="A527">
        <v>2024</v>
      </c>
      <c r="B527" t="s">
        <v>99</v>
      </c>
      <c r="C527" t="str">
        <f>IF(COUNTIF('Rookies 22-25'!$B$126:$B$197,E527)&gt;0,"(R)","No")</f>
        <v>(R)</v>
      </c>
      <c r="D527">
        <v>71</v>
      </c>
      <c r="E527" t="s">
        <v>159</v>
      </c>
      <c r="F527" t="s">
        <v>61</v>
      </c>
      <c r="G527">
        <f>VLOOKUP(E527,'24 Draft ADP'!$B$3:$D$436,3,FALSE)</f>
        <v>99</v>
      </c>
      <c r="H527">
        <v>13</v>
      </c>
      <c r="I527">
        <v>9.1</v>
      </c>
      <c r="J527">
        <v>0</v>
      </c>
      <c r="K527">
        <v>9.4</v>
      </c>
      <c r="L527">
        <v>8.1</v>
      </c>
      <c r="M527">
        <v>11.9</v>
      </c>
      <c r="N527">
        <v>5.6</v>
      </c>
      <c r="O527">
        <v>16.5</v>
      </c>
      <c r="P527">
        <v>18</v>
      </c>
      <c r="Q527">
        <v>5.0999999999999996</v>
      </c>
      <c r="R527" t="s">
        <v>33</v>
      </c>
      <c r="S527" t="s">
        <v>33</v>
      </c>
      <c r="T527" t="s">
        <v>22</v>
      </c>
      <c r="U527" t="s">
        <v>33</v>
      </c>
      <c r="V527" t="s">
        <v>33</v>
      </c>
      <c r="W527">
        <v>7.4</v>
      </c>
      <c r="X527">
        <v>2.7</v>
      </c>
      <c r="Y527">
        <v>11.7</v>
      </c>
      <c r="Z527">
        <v>6</v>
      </c>
      <c r="AA527">
        <v>8.6</v>
      </c>
      <c r="AB527">
        <f t="shared" si="16"/>
        <v>105.5</v>
      </c>
      <c r="AC527">
        <v>111.5</v>
      </c>
      <c r="AD527">
        <v>9</v>
      </c>
      <c r="AE527">
        <f t="shared" si="17"/>
        <v>4</v>
      </c>
      <c r="AF527">
        <v>2</v>
      </c>
      <c r="AG527">
        <v>0</v>
      </c>
      <c r="AH527">
        <v>0</v>
      </c>
      <c r="AI527">
        <v>0</v>
      </c>
      <c r="AJ527">
        <v>0.23529411764705882</v>
      </c>
      <c r="AK527">
        <v>0.15384615384615385</v>
      </c>
      <c r="AL527">
        <v>0</v>
      </c>
      <c r="AM527">
        <v>0</v>
      </c>
      <c r="AN527">
        <v>0</v>
      </c>
    </row>
    <row r="528" spans="1:40" x14ac:dyDescent="0.25">
      <c r="A528">
        <v>2024</v>
      </c>
      <c r="B528" t="s">
        <v>99</v>
      </c>
      <c r="C528" t="str">
        <f>IF(COUNTIF('Rookies 22-25'!$B$126:$B$197,E528)&gt;0,"(R)","No")</f>
        <v>No</v>
      </c>
      <c r="D528">
        <v>72</v>
      </c>
      <c r="E528" t="s">
        <v>182</v>
      </c>
      <c r="F528" t="s">
        <v>69</v>
      </c>
      <c r="G528">
        <f>VLOOKUP(E528,'24 Draft ADP'!$B$3:$D$436,3,FALSE)</f>
        <v>126</v>
      </c>
      <c r="H528">
        <v>17</v>
      </c>
      <c r="I528">
        <v>0</v>
      </c>
      <c r="J528">
        <v>11.6</v>
      </c>
      <c r="K528">
        <v>0</v>
      </c>
      <c r="L528">
        <v>24.8</v>
      </c>
      <c r="M528">
        <v>4</v>
      </c>
      <c r="N528">
        <v>1.9</v>
      </c>
      <c r="O528">
        <v>13.8</v>
      </c>
      <c r="P528">
        <v>3.1</v>
      </c>
      <c r="Q528">
        <v>0</v>
      </c>
      <c r="R528" t="s">
        <v>22</v>
      </c>
      <c r="S528">
        <v>0</v>
      </c>
      <c r="T528">
        <v>3.5</v>
      </c>
      <c r="U528">
        <v>7</v>
      </c>
      <c r="V528">
        <v>8.9</v>
      </c>
      <c r="W528">
        <v>3.4</v>
      </c>
      <c r="X528">
        <v>10.3</v>
      </c>
      <c r="Y528">
        <v>8.3000000000000007</v>
      </c>
      <c r="Z528">
        <v>9.9</v>
      </c>
      <c r="AA528">
        <v>6.5</v>
      </c>
      <c r="AB528">
        <f t="shared" si="16"/>
        <v>100.6</v>
      </c>
      <c r="AC528">
        <v>110.5</v>
      </c>
      <c r="AD528">
        <v>11</v>
      </c>
      <c r="AE528">
        <f t="shared" si="17"/>
        <v>4</v>
      </c>
      <c r="AF528">
        <v>1</v>
      </c>
      <c r="AG528">
        <v>1</v>
      </c>
      <c r="AH528">
        <v>0</v>
      </c>
      <c r="AI528">
        <v>0</v>
      </c>
      <c r="AJ528">
        <v>0.23529411764705882</v>
      </c>
      <c r="AK528">
        <v>5.8823529411764705E-2</v>
      </c>
      <c r="AL528">
        <v>5.8823529411764705E-2</v>
      </c>
      <c r="AM528">
        <v>0</v>
      </c>
      <c r="AN528">
        <v>0</v>
      </c>
    </row>
    <row r="529" spans="1:40" x14ac:dyDescent="0.25">
      <c r="A529">
        <v>2024</v>
      </c>
      <c r="B529" t="s">
        <v>99</v>
      </c>
      <c r="C529" t="str">
        <f>IF(COUNTIF('Rookies 22-25'!$B$126:$B$197,E529)&gt;0,"(R)","No")</f>
        <v>No</v>
      </c>
      <c r="D529">
        <v>73</v>
      </c>
      <c r="E529" t="s">
        <v>162</v>
      </c>
      <c r="F529" t="s">
        <v>57</v>
      </c>
      <c r="G529">
        <f>VLOOKUP(E529,'24 Draft ADP'!$B$3:$D$436,3,FALSE)</f>
        <v>224</v>
      </c>
      <c r="H529">
        <v>16</v>
      </c>
      <c r="I529">
        <v>5.6</v>
      </c>
      <c r="J529">
        <v>6.3</v>
      </c>
      <c r="K529">
        <v>1.7</v>
      </c>
      <c r="L529">
        <v>8.6</v>
      </c>
      <c r="M529">
        <v>26.2</v>
      </c>
      <c r="N529">
        <v>11.7</v>
      </c>
      <c r="O529">
        <v>2.1</v>
      </c>
      <c r="P529">
        <v>14.8</v>
      </c>
      <c r="Q529">
        <v>9</v>
      </c>
      <c r="R529" t="s">
        <v>33</v>
      </c>
      <c r="S529" t="s">
        <v>22</v>
      </c>
      <c r="T529">
        <v>0</v>
      </c>
      <c r="U529">
        <v>2.8</v>
      </c>
      <c r="V529">
        <v>4.7</v>
      </c>
      <c r="W529">
        <v>2.6</v>
      </c>
      <c r="X529">
        <v>3.7</v>
      </c>
      <c r="Y529">
        <v>10.199999999999999</v>
      </c>
      <c r="Z529">
        <v>0</v>
      </c>
      <c r="AA529">
        <v>6.9</v>
      </c>
      <c r="AB529">
        <f t="shared" si="16"/>
        <v>110</v>
      </c>
      <c r="AC529">
        <v>110</v>
      </c>
      <c r="AD529">
        <v>19</v>
      </c>
      <c r="AE529">
        <f t="shared" si="17"/>
        <v>4</v>
      </c>
      <c r="AF529">
        <v>1</v>
      </c>
      <c r="AG529">
        <v>1</v>
      </c>
      <c r="AH529">
        <v>1</v>
      </c>
      <c r="AI529">
        <v>0</v>
      </c>
      <c r="AJ529">
        <v>0.23529411764705882</v>
      </c>
      <c r="AK529">
        <v>6.25E-2</v>
      </c>
      <c r="AL529">
        <v>6.25E-2</v>
      </c>
      <c r="AM529">
        <v>6.25E-2</v>
      </c>
      <c r="AN529">
        <v>0</v>
      </c>
    </row>
    <row r="530" spans="1:40" x14ac:dyDescent="0.25">
      <c r="A530">
        <v>2024</v>
      </c>
      <c r="B530" t="s">
        <v>99</v>
      </c>
      <c r="C530" t="str">
        <f>IF(COUNTIF('Rookies 22-25'!$B$126:$B$197,E530)&gt;0,"(R)","No")</f>
        <v>No</v>
      </c>
      <c r="D530">
        <v>74</v>
      </c>
      <c r="E530" t="s">
        <v>205</v>
      </c>
      <c r="F530" t="s">
        <v>51</v>
      </c>
      <c r="G530">
        <f>VLOOKUP(E530,'24 Draft ADP'!$B$3:$D$436,3,FALSE)</f>
        <v>115</v>
      </c>
      <c r="H530">
        <v>15</v>
      </c>
      <c r="I530">
        <v>3.5</v>
      </c>
      <c r="J530">
        <v>3.9</v>
      </c>
      <c r="K530" t="s">
        <v>33</v>
      </c>
      <c r="L530">
        <v>6.6</v>
      </c>
      <c r="M530" t="s">
        <v>22</v>
      </c>
      <c r="N530">
        <v>5.8</v>
      </c>
      <c r="O530">
        <v>10.3</v>
      </c>
      <c r="P530">
        <v>9.1999999999999993</v>
      </c>
      <c r="Q530">
        <v>14.3</v>
      </c>
      <c r="R530">
        <v>4.5999999999999996</v>
      </c>
      <c r="S530">
        <v>4.3</v>
      </c>
      <c r="T530">
        <v>6.8</v>
      </c>
      <c r="U530">
        <v>4.0999999999999996</v>
      </c>
      <c r="V530">
        <v>13.8</v>
      </c>
      <c r="W530">
        <v>3</v>
      </c>
      <c r="X530">
        <v>9.1</v>
      </c>
      <c r="Y530">
        <v>8.1</v>
      </c>
      <c r="Z530">
        <v>0</v>
      </c>
      <c r="AA530">
        <v>7.2</v>
      </c>
      <c r="AB530">
        <f t="shared" si="16"/>
        <v>107.4</v>
      </c>
      <c r="AC530">
        <v>107.4</v>
      </c>
      <c r="AD530">
        <v>10</v>
      </c>
      <c r="AE530">
        <f t="shared" si="17"/>
        <v>3</v>
      </c>
      <c r="AF530">
        <v>0</v>
      </c>
      <c r="AG530">
        <v>0</v>
      </c>
      <c r="AH530">
        <v>0</v>
      </c>
      <c r="AI530">
        <v>0</v>
      </c>
      <c r="AJ530">
        <v>0.17647058823529413</v>
      </c>
      <c r="AK530">
        <v>0</v>
      </c>
      <c r="AL530">
        <v>0</v>
      </c>
      <c r="AM530">
        <v>0</v>
      </c>
      <c r="AN530">
        <v>0</v>
      </c>
    </row>
    <row r="531" spans="1:40" x14ac:dyDescent="0.25">
      <c r="A531">
        <v>2024</v>
      </c>
      <c r="B531" t="s">
        <v>99</v>
      </c>
      <c r="C531" t="str">
        <f>IF(COUNTIF('Rookies 22-25'!$B$126:$B$197,E531)&gt;0,"(R)","No")</f>
        <v>No</v>
      </c>
      <c r="D531">
        <v>75</v>
      </c>
      <c r="E531" t="s">
        <v>194</v>
      </c>
      <c r="F531" t="s">
        <v>78</v>
      </c>
      <c r="G531">
        <f>VLOOKUP(E531,'24 Draft ADP'!$B$3:$D$436,3,FALSE)</f>
        <v>296</v>
      </c>
      <c r="H531">
        <v>13</v>
      </c>
      <c r="I531">
        <v>11.9</v>
      </c>
      <c r="J531" t="s">
        <v>33</v>
      </c>
      <c r="K531" t="s">
        <v>33</v>
      </c>
      <c r="L531" t="s">
        <v>33</v>
      </c>
      <c r="M531" t="s">
        <v>33</v>
      </c>
      <c r="N531">
        <v>11.8</v>
      </c>
      <c r="O531">
        <v>3</v>
      </c>
      <c r="P531">
        <v>5.8</v>
      </c>
      <c r="Q531">
        <v>3.1</v>
      </c>
      <c r="R531">
        <v>13.9</v>
      </c>
      <c r="S531">
        <v>10.6</v>
      </c>
      <c r="T531">
        <v>14</v>
      </c>
      <c r="U531">
        <v>2.6</v>
      </c>
      <c r="V531" t="s">
        <v>22</v>
      </c>
      <c r="W531">
        <v>0</v>
      </c>
      <c r="X531">
        <v>10.1</v>
      </c>
      <c r="Y531">
        <v>4.7</v>
      </c>
      <c r="Z531">
        <v>15</v>
      </c>
      <c r="AA531">
        <v>8.1999999999999993</v>
      </c>
      <c r="AB531">
        <f t="shared" si="16"/>
        <v>91.5</v>
      </c>
      <c r="AC531">
        <v>106.5</v>
      </c>
      <c r="AD531">
        <v>20</v>
      </c>
      <c r="AE531">
        <f t="shared" si="17"/>
        <v>6</v>
      </c>
      <c r="AF531">
        <v>0</v>
      </c>
      <c r="AG531">
        <v>0</v>
      </c>
      <c r="AH531">
        <v>0</v>
      </c>
      <c r="AI531">
        <v>0</v>
      </c>
      <c r="AJ531">
        <v>0.41176470588235292</v>
      </c>
      <c r="AK531">
        <v>0</v>
      </c>
      <c r="AL531">
        <v>0</v>
      </c>
      <c r="AM531">
        <v>0</v>
      </c>
      <c r="AN531">
        <v>0</v>
      </c>
    </row>
    <row r="532" spans="1:40" x14ac:dyDescent="0.25">
      <c r="A532">
        <v>2024</v>
      </c>
      <c r="B532" t="s">
        <v>99</v>
      </c>
      <c r="C532" t="str">
        <f>IF(COUNTIF('Rookies 22-25'!$B$126:$B$197,E532)&gt;0,"(R)","No")</f>
        <v>No</v>
      </c>
      <c r="D532">
        <v>76</v>
      </c>
      <c r="E532" t="s">
        <v>145</v>
      </c>
      <c r="F532" t="s">
        <v>69</v>
      </c>
      <c r="G532">
        <f>VLOOKUP(E532,'24 Draft ADP'!$B$3:$D$436,3,FALSE)</f>
        <v>85</v>
      </c>
      <c r="H532">
        <v>15</v>
      </c>
      <c r="I532">
        <v>10.3</v>
      </c>
      <c r="J532">
        <v>0</v>
      </c>
      <c r="K532">
        <v>8.6999999999999993</v>
      </c>
      <c r="L532">
        <v>0</v>
      </c>
      <c r="M532" t="s">
        <v>33</v>
      </c>
      <c r="N532">
        <v>15.8</v>
      </c>
      <c r="O532">
        <v>1.5</v>
      </c>
      <c r="P532">
        <v>7.9</v>
      </c>
      <c r="Q532">
        <v>8.6999999999999993</v>
      </c>
      <c r="R532" t="s">
        <v>22</v>
      </c>
      <c r="S532">
        <v>19</v>
      </c>
      <c r="T532">
        <v>0.4</v>
      </c>
      <c r="U532">
        <v>8.6999999999999993</v>
      </c>
      <c r="V532">
        <v>13.4</v>
      </c>
      <c r="W532">
        <v>8.6</v>
      </c>
      <c r="X532">
        <v>2.2999999999999998</v>
      </c>
      <c r="Y532" t="s">
        <v>33</v>
      </c>
      <c r="Z532">
        <v>0</v>
      </c>
      <c r="AA532">
        <v>7</v>
      </c>
      <c r="AB532">
        <f t="shared" si="16"/>
        <v>105.3</v>
      </c>
      <c r="AC532">
        <v>105.3</v>
      </c>
      <c r="AD532">
        <v>8</v>
      </c>
      <c r="AE532">
        <f t="shared" si="17"/>
        <v>4</v>
      </c>
      <c r="AF532">
        <v>2</v>
      </c>
      <c r="AG532">
        <v>0</v>
      </c>
      <c r="AH532">
        <v>0</v>
      </c>
      <c r="AI532">
        <v>0</v>
      </c>
      <c r="AJ532">
        <v>0.23529411764705882</v>
      </c>
      <c r="AK532">
        <v>0.13333333333333333</v>
      </c>
      <c r="AL532">
        <v>0</v>
      </c>
      <c r="AM532">
        <v>0</v>
      </c>
      <c r="AN532">
        <v>0</v>
      </c>
    </row>
    <row r="533" spans="1:40" x14ac:dyDescent="0.25">
      <c r="A533">
        <v>2024</v>
      </c>
      <c r="B533" t="s">
        <v>99</v>
      </c>
      <c r="C533" t="str">
        <f>IF(COUNTIF('Rookies 22-25'!$B$126:$B$197,E533)&gt;0,"(R)","No")</f>
        <v>No</v>
      </c>
      <c r="D533">
        <v>77</v>
      </c>
      <c r="E533" t="s">
        <v>176</v>
      </c>
      <c r="F533" t="s">
        <v>30</v>
      </c>
      <c r="G533">
        <f>VLOOKUP(E533,'24 Draft ADP'!$B$3:$D$436,3,FALSE)</f>
        <v>322</v>
      </c>
      <c r="H533">
        <v>17</v>
      </c>
      <c r="I533">
        <v>6</v>
      </c>
      <c r="J533">
        <v>2.6</v>
      </c>
      <c r="K533">
        <v>14.2</v>
      </c>
      <c r="L533">
        <v>0</v>
      </c>
      <c r="M533">
        <v>8.4</v>
      </c>
      <c r="N533">
        <v>5</v>
      </c>
      <c r="O533" t="s">
        <v>22</v>
      </c>
      <c r="P533">
        <v>3.7</v>
      </c>
      <c r="Q533">
        <v>6.6</v>
      </c>
      <c r="R533">
        <v>0</v>
      </c>
      <c r="S533">
        <v>17.600000000000001</v>
      </c>
      <c r="T533">
        <v>7.8</v>
      </c>
      <c r="U533">
        <v>9.5</v>
      </c>
      <c r="V533">
        <v>4.0999999999999996</v>
      </c>
      <c r="W533">
        <v>2.7</v>
      </c>
      <c r="X533">
        <v>2.8</v>
      </c>
      <c r="Y533">
        <v>4.4000000000000004</v>
      </c>
      <c r="Z533">
        <v>8.8000000000000007</v>
      </c>
      <c r="AA533">
        <v>6.1</v>
      </c>
      <c r="AB533">
        <f t="shared" si="16"/>
        <v>95.4</v>
      </c>
      <c r="AC533">
        <v>104.2</v>
      </c>
      <c r="AD533">
        <v>20</v>
      </c>
      <c r="AE533">
        <f t="shared" si="17"/>
        <v>2</v>
      </c>
      <c r="AF533">
        <v>1</v>
      </c>
      <c r="AG533">
        <v>0</v>
      </c>
      <c r="AH533">
        <v>0</v>
      </c>
      <c r="AI533">
        <v>0</v>
      </c>
      <c r="AJ533">
        <v>0.11764705882352941</v>
      </c>
      <c r="AK533">
        <v>5.8823529411764705E-2</v>
      </c>
      <c r="AL533">
        <v>0</v>
      </c>
      <c r="AM533">
        <v>0</v>
      </c>
      <c r="AN533">
        <v>0</v>
      </c>
    </row>
    <row r="534" spans="1:40" x14ac:dyDescent="0.25">
      <c r="A534">
        <v>2024</v>
      </c>
      <c r="B534" t="s">
        <v>99</v>
      </c>
      <c r="C534" t="str">
        <f>IF(COUNTIF('Rookies 22-25'!$B$126:$B$197,E534)&gt;0,"(R)","No")</f>
        <v>No</v>
      </c>
      <c r="D534">
        <v>78</v>
      </c>
      <c r="E534" t="s">
        <v>160</v>
      </c>
      <c r="F534" t="s">
        <v>73</v>
      </c>
      <c r="G534">
        <f>VLOOKUP(E534,'24 Draft ADP'!$B$3:$D$436,3,FALSE)</f>
        <v>230</v>
      </c>
      <c r="H534">
        <v>17</v>
      </c>
      <c r="I534">
        <v>9.1</v>
      </c>
      <c r="J534">
        <v>14.4</v>
      </c>
      <c r="K534">
        <v>12.4</v>
      </c>
      <c r="L534">
        <v>2.1</v>
      </c>
      <c r="M534">
        <v>0</v>
      </c>
      <c r="N534" t="s">
        <v>22</v>
      </c>
      <c r="O534">
        <v>11.6</v>
      </c>
      <c r="P534">
        <v>3.6</v>
      </c>
      <c r="Q534">
        <v>7.7</v>
      </c>
      <c r="R534">
        <v>1.4</v>
      </c>
      <c r="S534">
        <v>0</v>
      </c>
      <c r="T534">
        <v>7.5</v>
      </c>
      <c r="U534">
        <v>2.8</v>
      </c>
      <c r="V534">
        <v>0</v>
      </c>
      <c r="W534">
        <v>1.5</v>
      </c>
      <c r="X534">
        <v>1.5</v>
      </c>
      <c r="Y534">
        <v>19.100000000000001</v>
      </c>
      <c r="Z534">
        <v>8.3000000000000007</v>
      </c>
      <c r="AA534">
        <v>6.1</v>
      </c>
      <c r="AB534">
        <f t="shared" si="16"/>
        <v>94.7</v>
      </c>
      <c r="AC534">
        <v>103</v>
      </c>
      <c r="AD534">
        <v>20</v>
      </c>
      <c r="AE534">
        <f t="shared" si="17"/>
        <v>4</v>
      </c>
      <c r="AF534">
        <v>1</v>
      </c>
      <c r="AG534">
        <v>0</v>
      </c>
      <c r="AH534">
        <v>0</v>
      </c>
      <c r="AI534">
        <v>0</v>
      </c>
      <c r="AJ534">
        <v>0.23529411764705882</v>
      </c>
      <c r="AK534">
        <v>5.8823529411764705E-2</v>
      </c>
      <c r="AL534">
        <v>0</v>
      </c>
      <c r="AM534">
        <v>0</v>
      </c>
      <c r="AN534">
        <v>0</v>
      </c>
    </row>
    <row r="535" spans="1:40" x14ac:dyDescent="0.25">
      <c r="A535">
        <v>2024</v>
      </c>
      <c r="B535" t="s">
        <v>99</v>
      </c>
      <c r="C535" t="str">
        <f>IF(COUNTIF('Rookies 22-25'!$B$126:$B$197,E535)&gt;0,"(R)","No")</f>
        <v>No</v>
      </c>
      <c r="D535">
        <v>79</v>
      </c>
      <c r="E535" t="s">
        <v>417</v>
      </c>
      <c r="F535" t="s">
        <v>55</v>
      </c>
      <c r="G535">
        <f>VLOOKUP(E535,'24 Draft ADP'!$B$3:$D$436,3,FALSE)</f>
        <v>321</v>
      </c>
      <c r="H535">
        <v>17</v>
      </c>
      <c r="I535">
        <v>0</v>
      </c>
      <c r="J535">
        <v>7.8</v>
      </c>
      <c r="K535">
        <v>13.3</v>
      </c>
      <c r="L535">
        <v>12.2</v>
      </c>
      <c r="M535">
        <v>12.5</v>
      </c>
      <c r="N535" t="s">
        <v>22</v>
      </c>
      <c r="O535">
        <v>11.1</v>
      </c>
      <c r="P535">
        <v>2.8</v>
      </c>
      <c r="Q535">
        <v>2.6</v>
      </c>
      <c r="R535">
        <v>1.6</v>
      </c>
      <c r="S535">
        <v>3.1</v>
      </c>
      <c r="T535">
        <v>6</v>
      </c>
      <c r="U535">
        <v>5.9</v>
      </c>
      <c r="V535">
        <v>7.5</v>
      </c>
      <c r="W535">
        <v>1.6</v>
      </c>
      <c r="X535">
        <v>2.2000000000000002</v>
      </c>
      <c r="Y535">
        <v>0</v>
      </c>
      <c r="Z535">
        <v>8.6999999999999993</v>
      </c>
      <c r="AA535">
        <v>5.8</v>
      </c>
      <c r="AB535">
        <f t="shared" si="16"/>
        <v>90.2</v>
      </c>
      <c r="AC535">
        <v>98.9</v>
      </c>
      <c r="AD535">
        <v>20</v>
      </c>
      <c r="AE535">
        <f t="shared" si="17"/>
        <v>4</v>
      </c>
      <c r="AF535">
        <v>0</v>
      </c>
      <c r="AG535">
        <v>0</v>
      </c>
      <c r="AH535">
        <v>0</v>
      </c>
      <c r="AI535">
        <v>0</v>
      </c>
      <c r="AJ535">
        <v>0.23529411764705882</v>
      </c>
      <c r="AK535">
        <v>0</v>
      </c>
      <c r="AL535">
        <v>0</v>
      </c>
      <c r="AM535">
        <v>0</v>
      </c>
      <c r="AN535">
        <v>0</v>
      </c>
    </row>
    <row r="536" spans="1:40" x14ac:dyDescent="0.25">
      <c r="A536">
        <v>2024</v>
      </c>
      <c r="B536" t="s">
        <v>99</v>
      </c>
      <c r="C536" t="str">
        <f>IF(COUNTIF('Rookies 22-25'!$B$126:$B$197,E536)&gt;0,"(R)","No")</f>
        <v>No</v>
      </c>
      <c r="D536">
        <v>80</v>
      </c>
      <c r="E536" t="s">
        <v>157</v>
      </c>
      <c r="F536" t="s">
        <v>61</v>
      </c>
      <c r="G536">
        <f>VLOOKUP(E536,'24 Draft ADP'!$B$3:$D$436,3,FALSE)</f>
        <v>236</v>
      </c>
      <c r="H536">
        <v>17</v>
      </c>
      <c r="I536">
        <v>10.5</v>
      </c>
      <c r="J536">
        <v>0</v>
      </c>
      <c r="K536">
        <v>2.6</v>
      </c>
      <c r="L536">
        <v>1.5</v>
      </c>
      <c r="M536">
        <v>4.7</v>
      </c>
      <c r="N536">
        <v>7.8</v>
      </c>
      <c r="O536">
        <v>0</v>
      </c>
      <c r="P536">
        <v>0</v>
      </c>
      <c r="Q536">
        <v>14</v>
      </c>
      <c r="R536">
        <v>12.6</v>
      </c>
      <c r="S536">
        <v>4.7</v>
      </c>
      <c r="T536" t="s">
        <v>22</v>
      </c>
      <c r="U536">
        <v>7.7</v>
      </c>
      <c r="V536">
        <v>15.7</v>
      </c>
      <c r="W536">
        <v>1.7</v>
      </c>
      <c r="X536">
        <v>4.5</v>
      </c>
      <c r="Y536">
        <v>5.3</v>
      </c>
      <c r="Z536">
        <v>5.5</v>
      </c>
      <c r="AA536">
        <v>5.8</v>
      </c>
      <c r="AB536">
        <f t="shared" si="16"/>
        <v>93.3</v>
      </c>
      <c r="AC536">
        <v>98.8</v>
      </c>
      <c r="AD536">
        <v>20</v>
      </c>
      <c r="AE536">
        <f t="shared" si="17"/>
        <v>4</v>
      </c>
      <c r="AF536">
        <v>1</v>
      </c>
      <c r="AG536">
        <v>0</v>
      </c>
      <c r="AH536">
        <v>0</v>
      </c>
      <c r="AI536">
        <v>0</v>
      </c>
      <c r="AJ536">
        <v>0.23529411764705882</v>
      </c>
      <c r="AK536">
        <v>5.8823529411764705E-2</v>
      </c>
      <c r="AL536">
        <v>0</v>
      </c>
      <c r="AM536">
        <v>0</v>
      </c>
      <c r="AN536">
        <v>0</v>
      </c>
    </row>
    <row r="537" spans="1:40" x14ac:dyDescent="0.25">
      <c r="A537">
        <v>2024</v>
      </c>
      <c r="B537" t="s">
        <v>99</v>
      </c>
      <c r="C537" t="str">
        <f>IF(COUNTIF('Rookies 22-25'!$B$126:$B$197,E537)&gt;0,"(R)","No")</f>
        <v>No</v>
      </c>
      <c r="D537">
        <v>81</v>
      </c>
      <c r="E537" t="s">
        <v>126</v>
      </c>
      <c r="F537" t="s">
        <v>67</v>
      </c>
      <c r="G537">
        <v>300</v>
      </c>
      <c r="H537">
        <v>17</v>
      </c>
      <c r="I537">
        <v>1.3</v>
      </c>
      <c r="J537">
        <v>0</v>
      </c>
      <c r="K537">
        <v>3.8</v>
      </c>
      <c r="L537">
        <v>0</v>
      </c>
      <c r="M537">
        <v>0</v>
      </c>
      <c r="N537">
        <v>0</v>
      </c>
      <c r="O537">
        <v>6</v>
      </c>
      <c r="P537">
        <v>7.6</v>
      </c>
      <c r="Q537">
        <v>7.1</v>
      </c>
      <c r="R537">
        <v>0</v>
      </c>
      <c r="S537">
        <v>2</v>
      </c>
      <c r="T537" t="s">
        <v>22</v>
      </c>
      <c r="U537">
        <v>24.3</v>
      </c>
      <c r="V537">
        <v>3.5</v>
      </c>
      <c r="W537">
        <v>8.4</v>
      </c>
      <c r="X537">
        <v>11.4</v>
      </c>
      <c r="Y537">
        <v>12.1</v>
      </c>
      <c r="Z537">
        <v>9.5</v>
      </c>
      <c r="AA537">
        <v>5.7</v>
      </c>
      <c r="AB537">
        <f t="shared" si="16"/>
        <v>87.5</v>
      </c>
      <c r="AC537">
        <v>97</v>
      </c>
      <c r="AD537">
        <v>20</v>
      </c>
      <c r="AE537">
        <f t="shared" si="17"/>
        <v>3</v>
      </c>
      <c r="AF537">
        <v>1</v>
      </c>
      <c r="AG537">
        <v>1</v>
      </c>
      <c r="AH537">
        <v>0</v>
      </c>
      <c r="AI537">
        <v>0</v>
      </c>
      <c r="AJ537">
        <v>0.17647058823529413</v>
      </c>
      <c r="AK537">
        <v>5.8823529411764705E-2</v>
      </c>
      <c r="AL537">
        <v>5.8823529411764705E-2</v>
      </c>
      <c r="AM537">
        <v>0</v>
      </c>
      <c r="AN537">
        <v>0</v>
      </c>
    </row>
    <row r="538" spans="1:40" x14ac:dyDescent="0.25">
      <c r="A538">
        <v>2024</v>
      </c>
      <c r="B538" t="s">
        <v>99</v>
      </c>
      <c r="C538" t="str">
        <f>IF(COUNTIF('Rookies 22-25'!$B$126:$B$197,E538)&gt;0,"(R)","No")</f>
        <v>(R)</v>
      </c>
      <c r="D538">
        <v>82</v>
      </c>
      <c r="E538" t="s">
        <v>171</v>
      </c>
      <c r="F538" t="s">
        <v>47</v>
      </c>
      <c r="G538">
        <f>VLOOKUP(E538,'24 Draft ADP'!$B$3:$D$436,3,FALSE)</f>
        <v>198</v>
      </c>
      <c r="H538">
        <v>11</v>
      </c>
      <c r="I538" t="s">
        <v>33</v>
      </c>
      <c r="J538" t="s">
        <v>33</v>
      </c>
      <c r="K538" t="s">
        <v>33</v>
      </c>
      <c r="L538" t="s">
        <v>33</v>
      </c>
      <c r="M538" t="s">
        <v>33</v>
      </c>
      <c r="N538" t="s">
        <v>33</v>
      </c>
      <c r="O538">
        <v>5.0999999999999996</v>
      </c>
      <c r="P538">
        <v>11.7</v>
      </c>
      <c r="Q538" t="s">
        <v>22</v>
      </c>
      <c r="R538">
        <v>17.3</v>
      </c>
      <c r="S538">
        <v>0</v>
      </c>
      <c r="T538">
        <v>0</v>
      </c>
      <c r="U538">
        <v>0</v>
      </c>
      <c r="V538">
        <v>1.5</v>
      </c>
      <c r="W538">
        <v>2.6</v>
      </c>
      <c r="X538">
        <v>7.7</v>
      </c>
      <c r="Y538">
        <v>28.7</v>
      </c>
      <c r="Z538">
        <v>18.899999999999999</v>
      </c>
      <c r="AA538">
        <v>8.5</v>
      </c>
      <c r="AB538">
        <f t="shared" si="16"/>
        <v>74.599999999999994</v>
      </c>
      <c r="AC538">
        <v>93.5</v>
      </c>
      <c r="AD538">
        <v>19</v>
      </c>
      <c r="AE538">
        <f t="shared" si="17"/>
        <v>3</v>
      </c>
      <c r="AF538">
        <v>3</v>
      </c>
      <c r="AG538">
        <v>1</v>
      </c>
      <c r="AH538">
        <v>1</v>
      </c>
      <c r="AI538">
        <v>0</v>
      </c>
      <c r="AJ538">
        <v>0.23529411764705882</v>
      </c>
      <c r="AK538">
        <v>0.27272727272727271</v>
      </c>
      <c r="AL538">
        <v>9.0909090909090912E-2</v>
      </c>
      <c r="AM538">
        <v>9.0909090909090912E-2</v>
      </c>
      <c r="AN538">
        <v>0</v>
      </c>
    </row>
    <row r="539" spans="1:40" x14ac:dyDescent="0.25">
      <c r="A539">
        <v>2024</v>
      </c>
      <c r="B539" t="s">
        <v>99</v>
      </c>
      <c r="C539" t="str">
        <f>IF(COUNTIF('Rookies 22-25'!$B$126:$B$197,E539)&gt;0,"(R)","No")</f>
        <v>No</v>
      </c>
      <c r="D539">
        <v>83</v>
      </c>
      <c r="E539" t="s">
        <v>168</v>
      </c>
      <c r="F539" t="s">
        <v>95</v>
      </c>
      <c r="G539">
        <f>VLOOKUP(E539,'24 Draft ADP'!$B$3:$D$436,3,FALSE)</f>
        <v>424</v>
      </c>
      <c r="H539">
        <v>11</v>
      </c>
      <c r="I539" t="s">
        <v>33</v>
      </c>
      <c r="J539" t="s">
        <v>33</v>
      </c>
      <c r="K539" t="s">
        <v>33</v>
      </c>
      <c r="L539">
        <v>0</v>
      </c>
      <c r="M539">
        <v>10.8</v>
      </c>
      <c r="N539">
        <v>6</v>
      </c>
      <c r="O539">
        <v>2</v>
      </c>
      <c r="P539">
        <v>17.8</v>
      </c>
      <c r="Q539">
        <v>5.6</v>
      </c>
      <c r="R539">
        <v>7.1</v>
      </c>
      <c r="S539" t="s">
        <v>22</v>
      </c>
      <c r="T539" t="s">
        <v>33</v>
      </c>
      <c r="U539" t="s">
        <v>33</v>
      </c>
      <c r="V539" t="s">
        <v>33</v>
      </c>
      <c r="W539">
        <v>21</v>
      </c>
      <c r="X539">
        <v>2.8</v>
      </c>
      <c r="Y539">
        <v>5.5</v>
      </c>
      <c r="Z539">
        <v>14</v>
      </c>
      <c r="AA539">
        <v>8.4</v>
      </c>
      <c r="AB539">
        <f t="shared" si="16"/>
        <v>78.599999999999994</v>
      </c>
      <c r="AC539">
        <v>92.6</v>
      </c>
      <c r="AD539">
        <v>20</v>
      </c>
      <c r="AE539">
        <f t="shared" si="17"/>
        <v>3</v>
      </c>
      <c r="AF539">
        <v>2</v>
      </c>
      <c r="AG539">
        <v>1</v>
      </c>
      <c r="AH539">
        <v>0</v>
      </c>
      <c r="AI539">
        <v>0</v>
      </c>
      <c r="AJ539">
        <v>0.23529411764705882</v>
      </c>
      <c r="AK539">
        <v>0.18181818181818182</v>
      </c>
      <c r="AL539">
        <v>9.0909090909090912E-2</v>
      </c>
      <c r="AM539">
        <v>0</v>
      </c>
      <c r="AN539">
        <v>0</v>
      </c>
    </row>
    <row r="540" spans="1:40" x14ac:dyDescent="0.25">
      <c r="A540">
        <v>2024</v>
      </c>
      <c r="B540" t="s">
        <v>99</v>
      </c>
      <c r="C540" t="str">
        <f>IF(COUNTIF('Rookies 22-25'!$B$126:$B$197,E540)&gt;0,"(R)","No")</f>
        <v>No</v>
      </c>
      <c r="D540">
        <v>84</v>
      </c>
      <c r="E540" t="s">
        <v>207</v>
      </c>
      <c r="F540" t="s">
        <v>75</v>
      </c>
      <c r="G540">
        <f>VLOOKUP(E540,'24 Draft ADP'!$B$3:$D$436,3,FALSE)</f>
        <v>244</v>
      </c>
      <c r="H540">
        <v>16</v>
      </c>
      <c r="I540" t="s">
        <v>33</v>
      </c>
      <c r="J540">
        <v>3.2</v>
      </c>
      <c r="K540">
        <v>1.8</v>
      </c>
      <c r="L540">
        <v>7.2</v>
      </c>
      <c r="M540" t="s">
        <v>22</v>
      </c>
      <c r="N540">
        <v>9.8000000000000007</v>
      </c>
      <c r="O540">
        <v>4.5</v>
      </c>
      <c r="P540">
        <v>0</v>
      </c>
      <c r="Q540">
        <v>3.2</v>
      </c>
      <c r="R540">
        <v>0</v>
      </c>
      <c r="S540">
        <v>5.6</v>
      </c>
      <c r="T540">
        <v>9.5</v>
      </c>
      <c r="U540">
        <v>6.8</v>
      </c>
      <c r="V540">
        <v>22.3</v>
      </c>
      <c r="W540">
        <v>13</v>
      </c>
      <c r="X540">
        <v>0</v>
      </c>
      <c r="Y540">
        <v>2</v>
      </c>
      <c r="Z540">
        <v>3.5</v>
      </c>
      <c r="AA540">
        <v>5.8</v>
      </c>
      <c r="AB540">
        <f t="shared" si="16"/>
        <v>88.9</v>
      </c>
      <c r="AC540">
        <v>92.4</v>
      </c>
      <c r="AD540">
        <v>20</v>
      </c>
      <c r="AE540">
        <f t="shared" si="17"/>
        <v>2</v>
      </c>
      <c r="AF540">
        <v>1</v>
      </c>
      <c r="AG540">
        <v>1</v>
      </c>
      <c r="AH540">
        <v>0</v>
      </c>
      <c r="AI540">
        <v>0</v>
      </c>
      <c r="AJ540">
        <v>0.11764705882352941</v>
      </c>
      <c r="AK540">
        <v>6.25E-2</v>
      </c>
      <c r="AL540">
        <v>6.25E-2</v>
      </c>
      <c r="AM540">
        <v>0</v>
      </c>
      <c r="AN540">
        <v>0</v>
      </c>
    </row>
    <row r="541" spans="1:40" x14ac:dyDescent="0.25">
      <c r="A541">
        <v>2024</v>
      </c>
      <c r="B541" t="s">
        <v>99</v>
      </c>
      <c r="C541" t="str">
        <f>IF(COUNTIF('Rookies 22-25'!$B$126:$B$197,E541)&gt;0,"(R)","No")</f>
        <v>No</v>
      </c>
      <c r="D541">
        <v>85</v>
      </c>
      <c r="E541" t="s">
        <v>183</v>
      </c>
      <c r="F541" t="s">
        <v>21</v>
      </c>
      <c r="G541">
        <f>VLOOKUP(E541,'24 Draft ADP'!$B$3:$D$436,3,FALSE)</f>
        <v>191</v>
      </c>
      <c r="H541">
        <v>17</v>
      </c>
      <c r="I541">
        <v>11.1</v>
      </c>
      <c r="J541">
        <v>3.1</v>
      </c>
      <c r="K541">
        <v>6.5</v>
      </c>
      <c r="L541">
        <v>7.8</v>
      </c>
      <c r="M541">
        <v>1.7</v>
      </c>
      <c r="N541">
        <v>4.5999999999999996</v>
      </c>
      <c r="O541">
        <v>7.5</v>
      </c>
      <c r="P541">
        <v>1.9</v>
      </c>
      <c r="Q541">
        <v>0</v>
      </c>
      <c r="R541">
        <v>0.9</v>
      </c>
      <c r="S541" t="s">
        <v>22</v>
      </c>
      <c r="T541">
        <v>1.5</v>
      </c>
      <c r="U541">
        <v>2.7</v>
      </c>
      <c r="V541">
        <v>1.5</v>
      </c>
      <c r="W541">
        <v>9.6</v>
      </c>
      <c r="X541">
        <v>3.7</v>
      </c>
      <c r="Y541">
        <v>4.8</v>
      </c>
      <c r="Z541">
        <v>21.4</v>
      </c>
      <c r="AA541">
        <v>5.3</v>
      </c>
      <c r="AB541">
        <f t="shared" si="16"/>
        <v>68.900000000000006</v>
      </c>
      <c r="AC541">
        <v>90.3</v>
      </c>
      <c r="AD541">
        <v>16</v>
      </c>
      <c r="AE541">
        <f t="shared" si="17"/>
        <v>1</v>
      </c>
      <c r="AF541">
        <v>1</v>
      </c>
      <c r="AG541">
        <v>1</v>
      </c>
      <c r="AH541">
        <v>0</v>
      </c>
      <c r="AI541">
        <v>0</v>
      </c>
      <c r="AJ541">
        <v>0.11764705882352941</v>
      </c>
      <c r="AK541">
        <v>5.8823529411764705E-2</v>
      </c>
      <c r="AL541">
        <v>5.8823529411764705E-2</v>
      </c>
      <c r="AM541">
        <v>0</v>
      </c>
      <c r="AN541">
        <v>0</v>
      </c>
    </row>
    <row r="542" spans="1:40" x14ac:dyDescent="0.25">
      <c r="A542">
        <v>2024</v>
      </c>
      <c r="B542" t="s">
        <v>99</v>
      </c>
      <c r="C542" t="str">
        <f>IF(COUNTIF('Rookies 22-25'!$B$126:$B$197,E542)&gt;0,"(R)","No")</f>
        <v>No</v>
      </c>
      <c r="D542">
        <v>86</v>
      </c>
      <c r="E542" t="s">
        <v>418</v>
      </c>
      <c r="F542" t="s">
        <v>41</v>
      </c>
      <c r="G542">
        <f>VLOOKUP(E542,'24 Draft ADP'!$B$3:$D$436,3,FALSE)</f>
        <v>74</v>
      </c>
      <c r="H542">
        <v>12</v>
      </c>
      <c r="I542">
        <v>3.9</v>
      </c>
      <c r="J542">
        <v>4.5</v>
      </c>
      <c r="K542">
        <v>26.2</v>
      </c>
      <c r="L542">
        <v>21.3</v>
      </c>
      <c r="M542">
        <v>5.9</v>
      </c>
      <c r="N542">
        <v>19.8</v>
      </c>
      <c r="O542">
        <v>2.7</v>
      </c>
      <c r="P542" t="s">
        <v>33</v>
      </c>
      <c r="Q542">
        <v>0</v>
      </c>
      <c r="R542">
        <v>1.6</v>
      </c>
      <c r="S542">
        <v>0</v>
      </c>
      <c r="T542">
        <v>0</v>
      </c>
      <c r="U542" t="s">
        <v>33</v>
      </c>
      <c r="V542" t="s">
        <v>22</v>
      </c>
      <c r="W542" t="s">
        <v>33</v>
      </c>
      <c r="X542" t="s">
        <v>33</v>
      </c>
      <c r="Y542" t="s">
        <v>33</v>
      </c>
      <c r="Z542">
        <v>3.2</v>
      </c>
      <c r="AA542">
        <v>7.4</v>
      </c>
      <c r="AB542">
        <f t="shared" si="16"/>
        <v>85.899999999999991</v>
      </c>
      <c r="AC542">
        <v>89.1</v>
      </c>
      <c r="AD542">
        <v>7</v>
      </c>
      <c r="AE542">
        <f t="shared" si="17"/>
        <v>3</v>
      </c>
      <c r="AF542">
        <v>3</v>
      </c>
      <c r="AG542">
        <v>2</v>
      </c>
      <c r="AH542">
        <v>1</v>
      </c>
      <c r="AI542">
        <v>0</v>
      </c>
      <c r="AJ542">
        <v>0.17647058823529413</v>
      </c>
      <c r="AK542">
        <v>0.25</v>
      </c>
      <c r="AL542">
        <v>0.16666666666666666</v>
      </c>
      <c r="AM542">
        <v>8.3333333333333329E-2</v>
      </c>
      <c r="AN542">
        <v>0</v>
      </c>
    </row>
    <row r="543" spans="1:40" x14ac:dyDescent="0.25">
      <c r="A543">
        <v>2024</v>
      </c>
      <c r="B543" t="s">
        <v>99</v>
      </c>
      <c r="C543" t="str">
        <f>IF(COUNTIF('Rookies 22-25'!$B$126:$B$197,E543)&gt;0,"(R)","No")</f>
        <v>No</v>
      </c>
      <c r="D543">
        <v>87</v>
      </c>
      <c r="E543" t="s">
        <v>419</v>
      </c>
      <c r="F543" t="s">
        <v>59</v>
      </c>
      <c r="G543">
        <f>VLOOKUP(E543,'24 Draft ADP'!$B$3:$D$436,3,FALSE)</f>
        <v>228</v>
      </c>
      <c r="H543">
        <v>11</v>
      </c>
      <c r="I543" t="s">
        <v>33</v>
      </c>
      <c r="J543">
        <v>8.6</v>
      </c>
      <c r="K543">
        <v>5.9</v>
      </c>
      <c r="L543">
        <v>5.6</v>
      </c>
      <c r="M543" t="s">
        <v>33</v>
      </c>
      <c r="N543">
        <v>9.8000000000000007</v>
      </c>
      <c r="O543">
        <v>2.6</v>
      </c>
      <c r="P543">
        <v>16.3</v>
      </c>
      <c r="Q543">
        <v>11</v>
      </c>
      <c r="R543">
        <v>6.3</v>
      </c>
      <c r="S543">
        <v>1.4</v>
      </c>
      <c r="T543">
        <v>13.1</v>
      </c>
      <c r="U543">
        <v>5.7</v>
      </c>
      <c r="V543" t="s">
        <v>22</v>
      </c>
      <c r="W543" t="s">
        <v>33</v>
      </c>
      <c r="X543" t="s">
        <v>33</v>
      </c>
      <c r="Y543" t="s">
        <v>33</v>
      </c>
      <c r="Z543">
        <v>0</v>
      </c>
      <c r="AA543">
        <v>7.8</v>
      </c>
      <c r="AB543">
        <f t="shared" si="16"/>
        <v>86.3</v>
      </c>
      <c r="AC543">
        <v>86.3</v>
      </c>
      <c r="AD543">
        <v>20</v>
      </c>
      <c r="AE543">
        <f t="shared" si="17"/>
        <v>3</v>
      </c>
      <c r="AF543">
        <v>1</v>
      </c>
      <c r="AG543">
        <v>0</v>
      </c>
      <c r="AH543">
        <v>0</v>
      </c>
      <c r="AI543">
        <v>0</v>
      </c>
      <c r="AJ543">
        <v>0.17647058823529413</v>
      </c>
      <c r="AK543">
        <v>9.0909090909090912E-2</v>
      </c>
      <c r="AL543">
        <v>0</v>
      </c>
      <c r="AM543">
        <v>0</v>
      </c>
      <c r="AN543">
        <v>0</v>
      </c>
    </row>
    <row r="544" spans="1:40" x14ac:dyDescent="0.25">
      <c r="A544">
        <v>2024</v>
      </c>
      <c r="B544" t="s">
        <v>99</v>
      </c>
      <c r="C544" t="str">
        <f>IF(COUNTIF('Rookies 22-25'!$B$126:$B$197,E544)&gt;0,"(R)","No")</f>
        <v>No</v>
      </c>
      <c r="D544">
        <v>88</v>
      </c>
      <c r="E544" t="s">
        <v>420</v>
      </c>
      <c r="F544" t="s">
        <v>95</v>
      </c>
      <c r="G544">
        <f>VLOOKUP(E544,'24 Draft ADP'!$B$3:$D$436,3,FALSE)</f>
        <v>395</v>
      </c>
      <c r="H544">
        <v>17</v>
      </c>
      <c r="I544">
        <v>2.4</v>
      </c>
      <c r="J544">
        <v>0</v>
      </c>
      <c r="K544">
        <v>0</v>
      </c>
      <c r="L544">
        <v>0</v>
      </c>
      <c r="M544">
        <v>3.3</v>
      </c>
      <c r="N544">
        <v>3.7</v>
      </c>
      <c r="O544">
        <v>0</v>
      </c>
      <c r="P544">
        <v>7.9</v>
      </c>
      <c r="Q544">
        <v>4</v>
      </c>
      <c r="R544">
        <v>3.8</v>
      </c>
      <c r="S544" t="s">
        <v>22</v>
      </c>
      <c r="T544">
        <v>20.100000000000001</v>
      </c>
      <c r="U544">
        <v>9</v>
      </c>
      <c r="V544">
        <v>4.5</v>
      </c>
      <c r="W544">
        <v>3.9</v>
      </c>
      <c r="X544">
        <v>11.9</v>
      </c>
      <c r="Y544">
        <v>2.7</v>
      </c>
      <c r="Z544">
        <v>7.9</v>
      </c>
      <c r="AA544">
        <v>5</v>
      </c>
      <c r="AB544">
        <f t="shared" si="16"/>
        <v>77.199999999999989</v>
      </c>
      <c r="AC544">
        <v>85.1</v>
      </c>
      <c r="AD544">
        <v>20</v>
      </c>
      <c r="AE544">
        <f t="shared" si="17"/>
        <v>2</v>
      </c>
      <c r="AF544">
        <v>1</v>
      </c>
      <c r="AG544">
        <v>1</v>
      </c>
      <c r="AH544">
        <v>0</v>
      </c>
      <c r="AI544">
        <v>0</v>
      </c>
      <c r="AJ544">
        <v>0.11764705882352941</v>
      </c>
      <c r="AK544">
        <v>5.8823529411764705E-2</v>
      </c>
      <c r="AL544">
        <v>5.8823529411764705E-2</v>
      </c>
      <c r="AM544">
        <v>0</v>
      </c>
      <c r="AN544">
        <v>0</v>
      </c>
    </row>
    <row r="545" spans="1:40" x14ac:dyDescent="0.25">
      <c r="A545">
        <v>2024</v>
      </c>
      <c r="B545" t="s">
        <v>99</v>
      </c>
      <c r="C545" t="str">
        <f>IF(COUNTIF('Rookies 22-25'!$B$126:$B$197,E545)&gt;0,"(R)","No")</f>
        <v>No</v>
      </c>
      <c r="D545">
        <v>89</v>
      </c>
      <c r="E545" t="s">
        <v>421</v>
      </c>
      <c r="F545" t="s">
        <v>37</v>
      </c>
      <c r="G545">
        <f>VLOOKUP(E545,'24 Draft ADP'!$B$3:$D$436,3,FALSE)</f>
        <v>339</v>
      </c>
      <c r="H545">
        <v>14</v>
      </c>
      <c r="I545">
        <v>2.9</v>
      </c>
      <c r="J545">
        <v>0</v>
      </c>
      <c r="K545">
        <v>1.7</v>
      </c>
      <c r="L545">
        <v>0</v>
      </c>
      <c r="M545">
        <v>0</v>
      </c>
      <c r="N545">
        <v>0</v>
      </c>
      <c r="O545" t="s">
        <v>33</v>
      </c>
      <c r="P545" t="s">
        <v>33</v>
      </c>
      <c r="Q545">
        <v>1.5</v>
      </c>
      <c r="R545">
        <v>25.9</v>
      </c>
      <c r="S545">
        <v>16.7</v>
      </c>
      <c r="T545" t="s">
        <v>22</v>
      </c>
      <c r="U545">
        <v>11.6</v>
      </c>
      <c r="V545">
        <v>9.1</v>
      </c>
      <c r="W545">
        <v>8.8000000000000007</v>
      </c>
      <c r="X545" t="s">
        <v>33</v>
      </c>
      <c r="Y545">
        <v>0</v>
      </c>
      <c r="Z545">
        <v>6.3</v>
      </c>
      <c r="AA545">
        <v>6</v>
      </c>
      <c r="AB545">
        <f t="shared" si="16"/>
        <v>78.2</v>
      </c>
      <c r="AC545">
        <v>84.5</v>
      </c>
      <c r="AD545">
        <v>20</v>
      </c>
      <c r="AE545">
        <f t="shared" si="17"/>
        <v>3</v>
      </c>
      <c r="AF545">
        <v>2</v>
      </c>
      <c r="AG545">
        <v>1</v>
      </c>
      <c r="AH545">
        <v>1</v>
      </c>
      <c r="AI545">
        <v>0</v>
      </c>
      <c r="AJ545">
        <v>0.17647058823529413</v>
      </c>
      <c r="AK545">
        <v>0.14285714285714285</v>
      </c>
      <c r="AL545">
        <v>7.1428571428571425E-2</v>
      </c>
      <c r="AM545">
        <v>7.1428571428571425E-2</v>
      </c>
      <c r="AN545">
        <v>0</v>
      </c>
    </row>
    <row r="546" spans="1:40" x14ac:dyDescent="0.25">
      <c r="A546">
        <v>2024</v>
      </c>
      <c r="B546" t="s">
        <v>99</v>
      </c>
      <c r="C546" t="str">
        <f>IF(COUNTIF('Rookies 22-25'!$B$126:$B$197,E546)&gt;0,"(R)","No")</f>
        <v>No</v>
      </c>
      <c r="D546">
        <v>90</v>
      </c>
      <c r="E546" t="s">
        <v>197</v>
      </c>
      <c r="F546" t="s">
        <v>32</v>
      </c>
      <c r="G546">
        <f>VLOOKUP(E546,'24 Draft ADP'!$B$3:$D$436,3,FALSE)</f>
        <v>291</v>
      </c>
      <c r="H546">
        <v>11</v>
      </c>
      <c r="I546">
        <v>1.3</v>
      </c>
      <c r="J546">
        <v>1.2</v>
      </c>
      <c r="K546">
        <v>1.4</v>
      </c>
      <c r="L546">
        <v>0</v>
      </c>
      <c r="M546">
        <v>0</v>
      </c>
      <c r="N546">
        <v>-0.5</v>
      </c>
      <c r="O546">
        <v>18.100000000000001</v>
      </c>
      <c r="P546">
        <v>28.9</v>
      </c>
      <c r="Q546">
        <v>19.5</v>
      </c>
      <c r="R546" t="s">
        <v>22</v>
      </c>
      <c r="S546">
        <v>7.7</v>
      </c>
      <c r="T546">
        <v>2.8</v>
      </c>
      <c r="U546" t="s">
        <v>33</v>
      </c>
      <c r="V546" t="s">
        <v>33</v>
      </c>
      <c r="W546" t="s">
        <v>33</v>
      </c>
      <c r="X546" t="s">
        <v>33</v>
      </c>
      <c r="Y546" t="s">
        <v>33</v>
      </c>
      <c r="Z546">
        <v>0</v>
      </c>
      <c r="AA546">
        <v>7.3</v>
      </c>
      <c r="AB546">
        <f t="shared" si="16"/>
        <v>80.400000000000006</v>
      </c>
      <c r="AC546">
        <v>80.400000000000006</v>
      </c>
      <c r="AD546">
        <v>20</v>
      </c>
      <c r="AE546">
        <f t="shared" si="17"/>
        <v>3</v>
      </c>
      <c r="AF546">
        <v>3</v>
      </c>
      <c r="AG546">
        <v>1</v>
      </c>
      <c r="AH546">
        <v>1</v>
      </c>
      <c r="AI546">
        <v>0</v>
      </c>
      <c r="AJ546">
        <v>0.17647058823529413</v>
      </c>
      <c r="AK546">
        <v>0.27272727272727271</v>
      </c>
      <c r="AL546">
        <v>9.0909090909090912E-2</v>
      </c>
      <c r="AM546">
        <v>9.0909090909090912E-2</v>
      </c>
      <c r="AN546">
        <v>0</v>
      </c>
    </row>
    <row r="547" spans="1:40" x14ac:dyDescent="0.25">
      <c r="A547">
        <v>2024</v>
      </c>
      <c r="B547" t="s">
        <v>99</v>
      </c>
      <c r="C547" t="str">
        <f>IF(COUNTIF('Rookies 22-25'!$B$126:$B$197,E547)&gt;0,"(R)","No")</f>
        <v>No</v>
      </c>
      <c r="D547">
        <v>91</v>
      </c>
      <c r="E547" t="s">
        <v>179</v>
      </c>
      <c r="F547" t="s">
        <v>65</v>
      </c>
      <c r="G547">
        <v>300</v>
      </c>
      <c r="H547">
        <v>14</v>
      </c>
      <c r="I547" t="s">
        <v>33</v>
      </c>
      <c r="J547" t="s">
        <v>33</v>
      </c>
      <c r="K547">
        <v>0</v>
      </c>
      <c r="L547">
        <v>8.1</v>
      </c>
      <c r="M547">
        <v>7.4</v>
      </c>
      <c r="N547">
        <v>8.4</v>
      </c>
      <c r="O547">
        <v>4.5</v>
      </c>
      <c r="P547">
        <v>4.8</v>
      </c>
      <c r="Q547">
        <v>10.9</v>
      </c>
      <c r="R547">
        <v>2</v>
      </c>
      <c r="S547" t="s">
        <v>22</v>
      </c>
      <c r="T547">
        <v>6.6</v>
      </c>
      <c r="U547">
        <v>8.1999999999999993</v>
      </c>
      <c r="V547">
        <v>10.3</v>
      </c>
      <c r="W547">
        <v>2.6</v>
      </c>
      <c r="X547">
        <v>4.4000000000000004</v>
      </c>
      <c r="Y547" t="s">
        <v>33</v>
      </c>
      <c r="Z547">
        <v>2.1</v>
      </c>
      <c r="AA547">
        <v>5.7</v>
      </c>
      <c r="AB547">
        <f t="shared" si="16"/>
        <v>78.2</v>
      </c>
      <c r="AC547">
        <v>80.3</v>
      </c>
      <c r="AD547">
        <v>20</v>
      </c>
      <c r="AE547">
        <f t="shared" si="17"/>
        <v>2</v>
      </c>
      <c r="AF547">
        <v>0</v>
      </c>
      <c r="AG547">
        <v>0</v>
      </c>
      <c r="AH547">
        <v>0</v>
      </c>
      <c r="AI547">
        <v>0</v>
      </c>
      <c r="AJ547">
        <v>0.11764705882352941</v>
      </c>
      <c r="AK547">
        <v>0</v>
      </c>
      <c r="AL547">
        <v>0</v>
      </c>
      <c r="AM547">
        <v>0</v>
      </c>
      <c r="AN547">
        <v>0</v>
      </c>
    </row>
    <row r="548" spans="1:40" x14ac:dyDescent="0.25">
      <c r="A548">
        <v>2024</v>
      </c>
      <c r="B548" t="s">
        <v>99</v>
      </c>
      <c r="C548" t="str">
        <f>IF(COUNTIF('Rookies 22-25'!$B$126:$B$197,E548)&gt;0,"(R)","No")</f>
        <v>No</v>
      </c>
      <c r="D548">
        <v>92</v>
      </c>
      <c r="E548" t="s">
        <v>138</v>
      </c>
      <c r="F548" t="s">
        <v>37</v>
      </c>
      <c r="G548">
        <f>VLOOKUP(E548,'24 Draft ADP'!$B$3:$D$436,3,FALSE)</f>
        <v>129</v>
      </c>
      <c r="H548">
        <v>6</v>
      </c>
      <c r="I548">
        <v>16.3</v>
      </c>
      <c r="J548">
        <v>20.9</v>
      </c>
      <c r="K548">
        <v>0</v>
      </c>
      <c r="L548">
        <v>15.7</v>
      </c>
      <c r="M548">
        <v>18.600000000000001</v>
      </c>
      <c r="N548">
        <v>8.3000000000000007</v>
      </c>
      <c r="O548" t="s">
        <v>33</v>
      </c>
      <c r="P548" t="s">
        <v>33</v>
      </c>
      <c r="Q548" t="s">
        <v>33</v>
      </c>
      <c r="R548" t="s">
        <v>33</v>
      </c>
      <c r="S548" t="s">
        <v>33</v>
      </c>
      <c r="T548" t="s">
        <v>22</v>
      </c>
      <c r="U548" t="s">
        <v>33</v>
      </c>
      <c r="V548" t="s">
        <v>33</v>
      </c>
      <c r="W548" t="s">
        <v>33</v>
      </c>
      <c r="X548" t="s">
        <v>33</v>
      </c>
      <c r="Y548" t="s">
        <v>33</v>
      </c>
      <c r="Z548">
        <v>0</v>
      </c>
      <c r="AA548">
        <v>13.3</v>
      </c>
      <c r="AB548">
        <f t="shared" si="16"/>
        <v>79.8</v>
      </c>
      <c r="AC548">
        <v>79.8</v>
      </c>
      <c r="AD548">
        <v>11</v>
      </c>
      <c r="AE548">
        <f t="shared" si="17"/>
        <v>4</v>
      </c>
      <c r="AF548">
        <v>4</v>
      </c>
      <c r="AG548">
        <v>1</v>
      </c>
      <c r="AH548">
        <v>0</v>
      </c>
      <c r="AI548">
        <v>0</v>
      </c>
      <c r="AJ548">
        <v>0.23529411764705882</v>
      </c>
      <c r="AK548">
        <v>0.66666666666666663</v>
      </c>
      <c r="AL548">
        <v>0.16666666666666666</v>
      </c>
      <c r="AM548">
        <v>0</v>
      </c>
      <c r="AN548">
        <v>0</v>
      </c>
    </row>
    <row r="549" spans="1:40" x14ac:dyDescent="0.25">
      <c r="A549">
        <v>2024</v>
      </c>
      <c r="B549" t="s">
        <v>99</v>
      </c>
      <c r="C549" t="str">
        <f>IF(COUNTIF('Rookies 22-25'!$B$126:$B$197,E549)&gt;0,"(R)","No")</f>
        <v>No</v>
      </c>
      <c r="D549">
        <v>93</v>
      </c>
      <c r="E549" t="s">
        <v>422</v>
      </c>
      <c r="F549" t="s">
        <v>63</v>
      </c>
      <c r="G549">
        <f>VLOOKUP(E549,'24 Draft ADP'!$B$3:$D$436,3,FALSE)</f>
        <v>205</v>
      </c>
      <c r="H549">
        <v>16</v>
      </c>
      <c r="I549">
        <v>4.8</v>
      </c>
      <c r="J549">
        <v>4.5999999999999996</v>
      </c>
      <c r="K549">
        <v>6.3</v>
      </c>
      <c r="L549">
        <v>5.0999999999999996</v>
      </c>
      <c r="M549" t="s">
        <v>22</v>
      </c>
      <c r="N549">
        <v>4.9000000000000004</v>
      </c>
      <c r="O549">
        <v>9.3000000000000007</v>
      </c>
      <c r="P549">
        <v>4.4000000000000004</v>
      </c>
      <c r="Q549">
        <v>0.3</v>
      </c>
      <c r="R549">
        <v>0</v>
      </c>
      <c r="S549">
        <v>5.4</v>
      </c>
      <c r="T549">
        <v>11.5</v>
      </c>
      <c r="U549">
        <v>6.7</v>
      </c>
      <c r="V549">
        <v>1.7</v>
      </c>
      <c r="W549">
        <v>5.9</v>
      </c>
      <c r="X549">
        <v>4</v>
      </c>
      <c r="Y549">
        <v>3.4</v>
      </c>
      <c r="Z549">
        <v>0</v>
      </c>
      <c r="AA549">
        <v>4.9000000000000004</v>
      </c>
      <c r="AB549">
        <f t="shared" si="16"/>
        <v>78.3</v>
      </c>
      <c r="AC549">
        <v>78.3</v>
      </c>
      <c r="AD549">
        <v>17</v>
      </c>
      <c r="AE549">
        <f t="shared" si="17"/>
        <v>1</v>
      </c>
      <c r="AF549">
        <v>0</v>
      </c>
      <c r="AG549">
        <v>0</v>
      </c>
      <c r="AH549">
        <v>0</v>
      </c>
      <c r="AI549">
        <v>0</v>
      </c>
      <c r="AJ549">
        <v>5.8823529411764705E-2</v>
      </c>
      <c r="AK549">
        <v>0</v>
      </c>
      <c r="AL549">
        <v>0</v>
      </c>
      <c r="AM549">
        <v>0</v>
      </c>
      <c r="AN549">
        <v>0</v>
      </c>
    </row>
    <row r="550" spans="1:40" x14ac:dyDescent="0.25">
      <c r="A550">
        <v>2024</v>
      </c>
      <c r="B550" t="s">
        <v>99</v>
      </c>
      <c r="C550" t="str">
        <f>IF(COUNTIF('Rookies 22-25'!$B$126:$B$197,E550)&gt;0,"(R)","No")</f>
        <v>No</v>
      </c>
      <c r="D550">
        <v>94</v>
      </c>
      <c r="E550" t="s">
        <v>105</v>
      </c>
      <c r="F550" t="s">
        <v>37</v>
      </c>
      <c r="G550">
        <f>VLOOKUP(E550,'24 Draft ADP'!$B$3:$D$436,3,FALSE)</f>
        <v>22</v>
      </c>
      <c r="H550">
        <v>8</v>
      </c>
      <c r="I550">
        <v>3.1</v>
      </c>
      <c r="J550">
        <v>12.8</v>
      </c>
      <c r="K550">
        <v>20.6</v>
      </c>
      <c r="L550">
        <v>16.7</v>
      </c>
      <c r="M550">
        <v>3</v>
      </c>
      <c r="N550">
        <v>-0.5</v>
      </c>
      <c r="O550" t="s">
        <v>33</v>
      </c>
      <c r="P550">
        <v>18.7</v>
      </c>
      <c r="Q550">
        <v>2.2999999999999998</v>
      </c>
      <c r="R550" t="s">
        <v>33</v>
      </c>
      <c r="S550" t="s">
        <v>33</v>
      </c>
      <c r="T550" t="s">
        <v>22</v>
      </c>
      <c r="U550" t="s">
        <v>33</v>
      </c>
      <c r="V550" t="s">
        <v>33</v>
      </c>
      <c r="W550" t="s">
        <v>33</v>
      </c>
      <c r="X550" t="s">
        <v>33</v>
      </c>
      <c r="Y550" t="s">
        <v>33</v>
      </c>
      <c r="Z550">
        <v>0</v>
      </c>
      <c r="AA550">
        <v>9.6</v>
      </c>
      <c r="AB550">
        <f t="shared" si="16"/>
        <v>76.7</v>
      </c>
      <c r="AC550">
        <v>76.7</v>
      </c>
      <c r="AD550">
        <v>2</v>
      </c>
      <c r="AE550">
        <f t="shared" si="17"/>
        <v>4</v>
      </c>
      <c r="AF550">
        <v>3</v>
      </c>
      <c r="AG550">
        <v>1</v>
      </c>
      <c r="AH550">
        <v>0</v>
      </c>
      <c r="AI550">
        <v>0</v>
      </c>
      <c r="AJ550">
        <v>0.23529411764705882</v>
      </c>
      <c r="AK550">
        <v>0.375</v>
      </c>
      <c r="AL550">
        <v>0.125</v>
      </c>
      <c r="AM550">
        <v>0</v>
      </c>
      <c r="AN550">
        <v>0</v>
      </c>
    </row>
    <row r="551" spans="1:40" x14ac:dyDescent="0.25">
      <c r="A551">
        <v>2024</v>
      </c>
      <c r="B551" t="s">
        <v>99</v>
      </c>
      <c r="C551" t="str">
        <f>IF(COUNTIF('Rookies 22-25'!$B$126:$B$197,E551)&gt;0,"(R)","No")</f>
        <v>No</v>
      </c>
      <c r="D551">
        <v>95</v>
      </c>
      <c r="E551" t="s">
        <v>200</v>
      </c>
      <c r="F551" t="s">
        <v>67</v>
      </c>
      <c r="G551">
        <f>VLOOKUP(E551,'24 Draft ADP'!$B$3:$D$436,3,FALSE)</f>
        <v>59</v>
      </c>
      <c r="H551">
        <v>8</v>
      </c>
      <c r="I551">
        <v>4</v>
      </c>
      <c r="J551">
        <v>0.9</v>
      </c>
      <c r="K551">
        <v>15.9</v>
      </c>
      <c r="L551">
        <v>19.100000000000001</v>
      </c>
      <c r="M551">
        <v>12.8</v>
      </c>
      <c r="N551">
        <v>6.9</v>
      </c>
      <c r="O551">
        <v>3.4</v>
      </c>
      <c r="P551">
        <v>7.9</v>
      </c>
      <c r="Q551" t="s">
        <v>33</v>
      </c>
      <c r="R551" t="s">
        <v>33</v>
      </c>
      <c r="S551" t="s">
        <v>33</v>
      </c>
      <c r="T551" t="s">
        <v>22</v>
      </c>
      <c r="U551" t="s">
        <v>33</v>
      </c>
      <c r="V551" t="s">
        <v>33</v>
      </c>
      <c r="W551" t="s">
        <v>33</v>
      </c>
      <c r="X551" t="s">
        <v>33</v>
      </c>
      <c r="Y551" t="s">
        <v>33</v>
      </c>
      <c r="Z551">
        <v>0</v>
      </c>
      <c r="AA551">
        <v>8.9</v>
      </c>
      <c r="AB551">
        <f t="shared" si="16"/>
        <v>70.900000000000006</v>
      </c>
      <c r="AC551">
        <v>70.900000000000006</v>
      </c>
      <c r="AD551">
        <v>5</v>
      </c>
      <c r="AE551">
        <f t="shared" si="17"/>
        <v>3</v>
      </c>
      <c r="AF551">
        <v>2</v>
      </c>
      <c r="AG551">
        <v>0</v>
      </c>
      <c r="AH551">
        <v>0</v>
      </c>
      <c r="AI551">
        <v>0</v>
      </c>
      <c r="AJ551">
        <v>0.17647058823529413</v>
      </c>
      <c r="AK551">
        <v>0.25</v>
      </c>
      <c r="AL551">
        <v>0</v>
      </c>
      <c r="AM551">
        <v>0</v>
      </c>
      <c r="AN551">
        <v>0</v>
      </c>
    </row>
    <row r="552" spans="1:40" x14ac:dyDescent="0.25">
      <c r="A552">
        <v>2024</v>
      </c>
      <c r="B552" t="s">
        <v>99</v>
      </c>
      <c r="C552" t="str">
        <f>IF(COUNTIF('Rookies 22-25'!$B$126:$B$197,E552)&gt;0,"(R)","No")</f>
        <v>No</v>
      </c>
      <c r="D552">
        <v>96</v>
      </c>
      <c r="E552" t="s">
        <v>206</v>
      </c>
      <c r="F552" t="s">
        <v>30</v>
      </c>
      <c r="G552">
        <f>VLOOKUP(E552,'24 Draft ADP'!$B$3:$D$436,3,FALSE)</f>
        <v>140</v>
      </c>
      <c r="H552">
        <v>10</v>
      </c>
      <c r="I552">
        <v>14.5</v>
      </c>
      <c r="J552">
        <v>3.6</v>
      </c>
      <c r="K552">
        <v>3.6</v>
      </c>
      <c r="L552">
        <v>2.6</v>
      </c>
      <c r="M552" t="s">
        <v>33</v>
      </c>
      <c r="N552" t="s">
        <v>33</v>
      </c>
      <c r="O552" t="s">
        <v>22</v>
      </c>
      <c r="P552" t="s">
        <v>33</v>
      </c>
      <c r="Q552" t="s">
        <v>33</v>
      </c>
      <c r="R552" t="s">
        <v>33</v>
      </c>
      <c r="S552" t="s">
        <v>33</v>
      </c>
      <c r="T552" t="s">
        <v>33</v>
      </c>
      <c r="U552">
        <v>10.6</v>
      </c>
      <c r="V552">
        <v>7.3</v>
      </c>
      <c r="W552">
        <v>6.4</v>
      </c>
      <c r="X552">
        <v>7.8</v>
      </c>
      <c r="Y552">
        <v>9.1999999999999993</v>
      </c>
      <c r="Z552">
        <v>4</v>
      </c>
      <c r="AA552">
        <v>7</v>
      </c>
      <c r="AB552">
        <f t="shared" si="16"/>
        <v>65.599999999999994</v>
      </c>
      <c r="AC552">
        <v>69.599999999999994</v>
      </c>
      <c r="AD552">
        <v>12</v>
      </c>
      <c r="AE552">
        <f t="shared" si="17"/>
        <v>2</v>
      </c>
      <c r="AF552">
        <v>0</v>
      </c>
      <c r="AG552">
        <v>0</v>
      </c>
      <c r="AH552">
        <v>0</v>
      </c>
      <c r="AI552">
        <v>0</v>
      </c>
      <c r="AJ552">
        <v>0.11764705882352941</v>
      </c>
      <c r="AK552">
        <v>0</v>
      </c>
      <c r="AL552">
        <v>0</v>
      </c>
      <c r="AM552">
        <v>0</v>
      </c>
      <c r="AN552">
        <v>0</v>
      </c>
    </row>
    <row r="553" spans="1:40" x14ac:dyDescent="0.25">
      <c r="A553">
        <v>2024</v>
      </c>
      <c r="B553" t="s">
        <v>99</v>
      </c>
      <c r="C553" t="str">
        <f>IF(COUNTIF('Rookies 22-25'!$B$126:$B$197,E553)&gt;0,"(R)","No")</f>
        <v>No</v>
      </c>
      <c r="D553">
        <v>97</v>
      </c>
      <c r="E553" t="s">
        <v>210</v>
      </c>
      <c r="F553" t="s">
        <v>59</v>
      </c>
      <c r="G553">
        <f>VLOOKUP(E553,'24 Draft ADP'!$B$3:$D$436,3,FALSE)</f>
        <v>207</v>
      </c>
      <c r="H553">
        <v>16</v>
      </c>
      <c r="I553">
        <v>0</v>
      </c>
      <c r="J553">
        <v>3.7</v>
      </c>
      <c r="K553">
        <v>3.6</v>
      </c>
      <c r="L553">
        <v>1.4</v>
      </c>
      <c r="M553">
        <v>13.7</v>
      </c>
      <c r="N553">
        <v>2.1</v>
      </c>
      <c r="O553">
        <v>3.3</v>
      </c>
      <c r="P553">
        <v>1.6</v>
      </c>
      <c r="Q553">
        <v>3.4</v>
      </c>
      <c r="R553">
        <v>0.7</v>
      </c>
      <c r="S553">
        <v>1.4</v>
      </c>
      <c r="T553">
        <v>5.6</v>
      </c>
      <c r="U553">
        <v>7.9</v>
      </c>
      <c r="V553" t="s">
        <v>22</v>
      </c>
      <c r="W553">
        <v>6</v>
      </c>
      <c r="X553">
        <v>7.6</v>
      </c>
      <c r="Y553" t="s">
        <v>33</v>
      </c>
      <c r="Z553">
        <v>5.4</v>
      </c>
      <c r="AA553">
        <v>4.2</v>
      </c>
      <c r="AB553">
        <f t="shared" si="16"/>
        <v>62.000000000000007</v>
      </c>
      <c r="AC553">
        <v>67.400000000000006</v>
      </c>
      <c r="AD553">
        <v>18</v>
      </c>
      <c r="AE553">
        <f t="shared" si="17"/>
        <v>1</v>
      </c>
      <c r="AF553">
        <v>0</v>
      </c>
      <c r="AG553">
        <v>0</v>
      </c>
      <c r="AH553">
        <v>0</v>
      </c>
      <c r="AI553">
        <v>0</v>
      </c>
      <c r="AJ553">
        <v>5.8823529411764705E-2</v>
      </c>
      <c r="AK553">
        <v>0</v>
      </c>
      <c r="AL553">
        <v>0</v>
      </c>
      <c r="AM553">
        <v>0</v>
      </c>
      <c r="AN553">
        <v>0</v>
      </c>
    </row>
    <row r="554" spans="1:40" x14ac:dyDescent="0.25">
      <c r="A554">
        <v>2024</v>
      </c>
      <c r="B554" t="s">
        <v>99</v>
      </c>
      <c r="C554" t="str">
        <f>IF(COUNTIF('Rookies 22-25'!$B$126:$B$197,E554)&gt;0,"(R)","No")</f>
        <v>(R)</v>
      </c>
      <c r="D554">
        <v>98</v>
      </c>
      <c r="E554" t="s">
        <v>130</v>
      </c>
      <c r="F554" t="s">
        <v>78</v>
      </c>
      <c r="G554">
        <f>VLOOKUP(E554,'24 Draft ADP'!$B$3:$D$436,3,FALSE)</f>
        <v>215</v>
      </c>
      <c r="H554">
        <v>16</v>
      </c>
      <c r="I554" t="s">
        <v>33</v>
      </c>
      <c r="J554">
        <v>0</v>
      </c>
      <c r="K554">
        <v>3.1</v>
      </c>
      <c r="L554">
        <v>1.8</v>
      </c>
      <c r="M554">
        <v>3</v>
      </c>
      <c r="N554">
        <v>11.6</v>
      </c>
      <c r="O554">
        <v>10</v>
      </c>
      <c r="P554">
        <v>1.9</v>
      </c>
      <c r="Q554">
        <v>2.9</v>
      </c>
      <c r="R554">
        <v>1.9</v>
      </c>
      <c r="S554">
        <v>9.5</v>
      </c>
      <c r="T554">
        <v>5.0999999999999996</v>
      </c>
      <c r="U554">
        <v>4.8</v>
      </c>
      <c r="V554" t="s">
        <v>22</v>
      </c>
      <c r="W554">
        <v>2.9</v>
      </c>
      <c r="X554">
        <v>4.5</v>
      </c>
      <c r="Y554">
        <v>0.9</v>
      </c>
      <c r="Z554">
        <v>3.2</v>
      </c>
      <c r="AA554">
        <v>4.2</v>
      </c>
      <c r="AB554">
        <f t="shared" si="16"/>
        <v>63.899999999999991</v>
      </c>
      <c r="AC554">
        <v>67.099999999999994</v>
      </c>
      <c r="AD554">
        <v>18</v>
      </c>
      <c r="AE554">
        <f t="shared" si="17"/>
        <v>1</v>
      </c>
      <c r="AF554">
        <v>0</v>
      </c>
      <c r="AG554">
        <v>0</v>
      </c>
      <c r="AH554">
        <v>0</v>
      </c>
      <c r="AI554">
        <v>0</v>
      </c>
      <c r="AJ554">
        <v>5.8823529411764705E-2</v>
      </c>
      <c r="AK554">
        <v>0</v>
      </c>
      <c r="AL554">
        <v>0</v>
      </c>
      <c r="AM554">
        <v>0</v>
      </c>
      <c r="AN554">
        <v>0</v>
      </c>
    </row>
    <row r="555" spans="1:40" x14ac:dyDescent="0.25">
      <c r="A555">
        <v>2024</v>
      </c>
      <c r="B555" t="s">
        <v>99</v>
      </c>
      <c r="C555" t="str">
        <f>IF(COUNTIF('Rookies 22-25'!$B$126:$B$197,E555)&gt;0,"(R)","No")</f>
        <v>No</v>
      </c>
      <c r="D555">
        <v>99</v>
      </c>
      <c r="E555" t="s">
        <v>167</v>
      </c>
      <c r="F555" t="s">
        <v>39</v>
      </c>
      <c r="G555">
        <v>300</v>
      </c>
      <c r="H555">
        <v>12</v>
      </c>
      <c r="I555" t="s">
        <v>33</v>
      </c>
      <c r="J555" t="s">
        <v>33</v>
      </c>
      <c r="K555" t="s">
        <v>33</v>
      </c>
      <c r="L555" t="s">
        <v>33</v>
      </c>
      <c r="M555">
        <v>1.6</v>
      </c>
      <c r="N555">
        <v>2.9</v>
      </c>
      <c r="O555">
        <v>2.4</v>
      </c>
      <c r="P555">
        <v>0</v>
      </c>
      <c r="Q555">
        <v>8.1</v>
      </c>
      <c r="R555" t="s">
        <v>33</v>
      </c>
      <c r="S555">
        <v>18</v>
      </c>
      <c r="T555">
        <v>6</v>
      </c>
      <c r="U555">
        <v>7.5</v>
      </c>
      <c r="V555" t="s">
        <v>22</v>
      </c>
      <c r="W555">
        <v>7.4</v>
      </c>
      <c r="X555">
        <v>3.8</v>
      </c>
      <c r="Y555">
        <v>4.2</v>
      </c>
      <c r="Z555">
        <v>3.2</v>
      </c>
      <c r="AA555">
        <v>5.4</v>
      </c>
      <c r="AB555">
        <f t="shared" si="16"/>
        <v>61.899999999999991</v>
      </c>
      <c r="AC555">
        <v>65.099999999999994</v>
      </c>
      <c r="AD555">
        <v>20</v>
      </c>
      <c r="AE555">
        <f t="shared" si="17"/>
        <v>1</v>
      </c>
      <c r="AF555">
        <v>1</v>
      </c>
      <c r="AG555">
        <v>0</v>
      </c>
      <c r="AH555">
        <v>0</v>
      </c>
      <c r="AI555">
        <v>0</v>
      </c>
      <c r="AJ555">
        <v>5.8823529411764705E-2</v>
      </c>
      <c r="AK555">
        <v>8.3333333333333329E-2</v>
      </c>
      <c r="AL555">
        <v>0</v>
      </c>
      <c r="AM555">
        <v>0</v>
      </c>
      <c r="AN555">
        <v>0</v>
      </c>
    </row>
    <row r="556" spans="1:40" x14ac:dyDescent="0.25">
      <c r="A556">
        <v>2024</v>
      </c>
      <c r="B556" t="s">
        <v>99</v>
      </c>
      <c r="C556" t="str">
        <f>IF(COUNTIF('Rookies 22-25'!$B$126:$B$197,E556)&gt;0,"(R)","No")</f>
        <v>No</v>
      </c>
      <c r="D556">
        <v>100</v>
      </c>
      <c r="E556" t="s">
        <v>139</v>
      </c>
      <c r="F556" t="s">
        <v>26</v>
      </c>
      <c r="G556">
        <f>VLOOKUP(E556,'24 Draft ADP'!$B$3:$D$436,3,FALSE)</f>
        <v>42</v>
      </c>
      <c r="H556">
        <v>4</v>
      </c>
      <c r="I556">
        <v>17.3</v>
      </c>
      <c r="J556">
        <v>18.5</v>
      </c>
      <c r="K556">
        <v>29.1</v>
      </c>
      <c r="L556">
        <v>0</v>
      </c>
      <c r="M556" t="s">
        <v>33</v>
      </c>
      <c r="N556" t="s">
        <v>22</v>
      </c>
      <c r="O556" t="s">
        <v>33</v>
      </c>
      <c r="P556" t="s">
        <v>33</v>
      </c>
      <c r="Q556" t="s">
        <v>33</v>
      </c>
      <c r="R556" t="s">
        <v>33</v>
      </c>
      <c r="S556" t="s">
        <v>33</v>
      </c>
      <c r="T556" t="s">
        <v>33</v>
      </c>
      <c r="U556" t="s">
        <v>33</v>
      </c>
      <c r="V556" t="s">
        <v>33</v>
      </c>
      <c r="W556" t="s">
        <v>33</v>
      </c>
      <c r="X556" t="s">
        <v>33</v>
      </c>
      <c r="Y556" t="s">
        <v>33</v>
      </c>
      <c r="Z556">
        <v>0</v>
      </c>
      <c r="AA556">
        <v>16.2</v>
      </c>
      <c r="AB556">
        <f t="shared" si="16"/>
        <v>64.900000000000006</v>
      </c>
      <c r="AC556">
        <v>64.900000000000006</v>
      </c>
      <c r="AD556">
        <v>4</v>
      </c>
      <c r="AE556">
        <f t="shared" si="17"/>
        <v>3</v>
      </c>
      <c r="AF556">
        <v>3</v>
      </c>
      <c r="AG556">
        <v>1</v>
      </c>
      <c r="AH556">
        <v>1</v>
      </c>
      <c r="AI556">
        <v>0</v>
      </c>
      <c r="AJ556">
        <v>0.17647058823529413</v>
      </c>
      <c r="AK556">
        <v>0.75</v>
      </c>
      <c r="AL556">
        <v>0.25</v>
      </c>
      <c r="AM556">
        <v>0.25</v>
      </c>
      <c r="AN556">
        <v>0</v>
      </c>
    </row>
    <row r="557" spans="1:40" x14ac:dyDescent="0.25">
      <c r="A557">
        <v>2024</v>
      </c>
      <c r="B557" t="s">
        <v>99</v>
      </c>
      <c r="C557" t="str">
        <f>IF(COUNTIF('Rookies 22-25'!$B$126:$B$197,E557)&gt;0,"(R)","No")</f>
        <v>No</v>
      </c>
      <c r="D557">
        <v>101</v>
      </c>
      <c r="E557" t="s">
        <v>423</v>
      </c>
      <c r="F557" t="s">
        <v>78</v>
      </c>
      <c r="G557">
        <v>300</v>
      </c>
      <c r="H557">
        <v>17</v>
      </c>
      <c r="I557">
        <v>0</v>
      </c>
      <c r="J557">
        <v>9</v>
      </c>
      <c r="K557">
        <v>9.6999999999999993</v>
      </c>
      <c r="L557">
        <v>0</v>
      </c>
      <c r="M557">
        <v>6.8</v>
      </c>
      <c r="N557">
        <v>1.8</v>
      </c>
      <c r="O557">
        <v>3.2</v>
      </c>
      <c r="P557">
        <v>4.2</v>
      </c>
      <c r="Q557">
        <v>3.1</v>
      </c>
      <c r="R557">
        <v>4.3</v>
      </c>
      <c r="S557">
        <v>15.2</v>
      </c>
      <c r="T557">
        <v>2.4</v>
      </c>
      <c r="U557">
        <v>0</v>
      </c>
      <c r="V557" t="s">
        <v>22</v>
      </c>
      <c r="W557">
        <v>0</v>
      </c>
      <c r="X557">
        <v>0</v>
      </c>
      <c r="Y557">
        <v>0</v>
      </c>
      <c r="Z557">
        <v>4.5999999999999996</v>
      </c>
      <c r="AA557">
        <v>3.8</v>
      </c>
      <c r="AB557">
        <f t="shared" si="16"/>
        <v>59.699999999999996</v>
      </c>
      <c r="AC557">
        <v>64.3</v>
      </c>
      <c r="AD557">
        <v>20</v>
      </c>
      <c r="AE557">
        <f t="shared" si="17"/>
        <v>1</v>
      </c>
      <c r="AF557">
        <v>1</v>
      </c>
      <c r="AG557">
        <v>0</v>
      </c>
      <c r="AH557">
        <v>0</v>
      </c>
      <c r="AI557">
        <v>0</v>
      </c>
      <c r="AJ557">
        <v>5.8823529411764705E-2</v>
      </c>
      <c r="AK557">
        <v>5.8823529411764705E-2</v>
      </c>
      <c r="AL557">
        <v>0</v>
      </c>
      <c r="AM557">
        <v>0</v>
      </c>
      <c r="AN557">
        <v>0</v>
      </c>
    </row>
    <row r="558" spans="1:40" x14ac:dyDescent="0.25">
      <c r="A558">
        <v>2024</v>
      </c>
      <c r="B558" t="s">
        <v>99</v>
      </c>
      <c r="C558" t="str">
        <f>IF(COUNTIF('Rookies 22-25'!$B$126:$B$197,E558)&gt;0,"(R)","No")</f>
        <v>No</v>
      </c>
      <c r="D558">
        <v>102</v>
      </c>
      <c r="E558" t="s">
        <v>424</v>
      </c>
      <c r="F558" t="s">
        <v>61</v>
      </c>
      <c r="G558">
        <f>VLOOKUP(E558,'24 Draft ADP'!$B$3:$D$436,3,FALSE)</f>
        <v>117</v>
      </c>
      <c r="H558">
        <v>14</v>
      </c>
      <c r="I558">
        <v>3.5</v>
      </c>
      <c r="J558">
        <v>1.3</v>
      </c>
      <c r="K558">
        <v>5.2</v>
      </c>
      <c r="L558">
        <v>3.5</v>
      </c>
      <c r="M558">
        <v>0.9</v>
      </c>
      <c r="N558">
        <v>7.4</v>
      </c>
      <c r="O558">
        <v>0</v>
      </c>
      <c r="P558" t="s">
        <v>33</v>
      </c>
      <c r="Q558">
        <v>0</v>
      </c>
      <c r="R558">
        <v>7.5</v>
      </c>
      <c r="S558">
        <v>16.8</v>
      </c>
      <c r="T558" t="s">
        <v>22</v>
      </c>
      <c r="U558">
        <v>0.7</v>
      </c>
      <c r="V558">
        <v>3.6</v>
      </c>
      <c r="W558">
        <v>1.1000000000000001</v>
      </c>
      <c r="X558" t="s">
        <v>33</v>
      </c>
      <c r="Y558" t="s">
        <v>33</v>
      </c>
      <c r="Z558">
        <v>12.2</v>
      </c>
      <c r="AA558">
        <v>4.5999999999999996</v>
      </c>
      <c r="AB558">
        <f t="shared" si="16"/>
        <v>51.5</v>
      </c>
      <c r="AC558">
        <v>63.7</v>
      </c>
      <c r="AD558">
        <v>10</v>
      </c>
      <c r="AE558">
        <f t="shared" si="17"/>
        <v>1</v>
      </c>
      <c r="AF558">
        <v>1</v>
      </c>
      <c r="AG558">
        <v>0</v>
      </c>
      <c r="AH558">
        <v>0</v>
      </c>
      <c r="AI558">
        <v>0</v>
      </c>
      <c r="AJ558">
        <v>0.11764705882352941</v>
      </c>
      <c r="AK558">
        <v>7.1428571428571425E-2</v>
      </c>
      <c r="AL558">
        <v>0</v>
      </c>
      <c r="AM558">
        <v>0</v>
      </c>
      <c r="AN558">
        <v>0</v>
      </c>
    </row>
    <row r="559" spans="1:40" x14ac:dyDescent="0.25">
      <c r="A559">
        <v>2024</v>
      </c>
      <c r="B559" t="s">
        <v>99</v>
      </c>
      <c r="C559" t="str">
        <f>IF(COUNTIF('Rookies 22-25'!$B$126:$B$197,E559)&gt;0,"(R)","No")</f>
        <v>No</v>
      </c>
      <c r="D559">
        <v>103</v>
      </c>
      <c r="E559" t="s">
        <v>189</v>
      </c>
      <c r="F559" t="s">
        <v>71</v>
      </c>
      <c r="G559">
        <f>VLOOKUP(E559,'24 Draft ADP'!$B$3:$D$436,3,FALSE)</f>
        <v>252</v>
      </c>
      <c r="H559">
        <v>17</v>
      </c>
      <c r="I559">
        <v>1.1000000000000001</v>
      </c>
      <c r="J559">
        <v>3.4</v>
      </c>
      <c r="K559">
        <v>0</v>
      </c>
      <c r="L559">
        <v>4.0999999999999996</v>
      </c>
      <c r="M559">
        <v>5.6</v>
      </c>
      <c r="N559">
        <v>0</v>
      </c>
      <c r="O559">
        <v>9.5</v>
      </c>
      <c r="P559">
        <v>10.199999999999999</v>
      </c>
      <c r="Q559" t="s">
        <v>22</v>
      </c>
      <c r="R559">
        <v>0</v>
      </c>
      <c r="S559">
        <v>0</v>
      </c>
      <c r="T559">
        <v>5.9</v>
      </c>
      <c r="U559">
        <v>5.3</v>
      </c>
      <c r="V559">
        <v>8</v>
      </c>
      <c r="W559">
        <v>1</v>
      </c>
      <c r="X559">
        <v>4.7</v>
      </c>
      <c r="Y559">
        <v>0</v>
      </c>
      <c r="Z559">
        <v>4.8</v>
      </c>
      <c r="AA559">
        <v>3.7</v>
      </c>
      <c r="AB559">
        <f t="shared" si="16"/>
        <v>58.800000000000004</v>
      </c>
      <c r="AC559">
        <v>63.6</v>
      </c>
      <c r="AD559">
        <v>20</v>
      </c>
      <c r="AE559">
        <f t="shared" si="17"/>
        <v>1</v>
      </c>
      <c r="AF559">
        <v>0</v>
      </c>
      <c r="AG559">
        <v>0</v>
      </c>
      <c r="AH559">
        <v>0</v>
      </c>
      <c r="AI559">
        <v>0</v>
      </c>
      <c r="AJ559">
        <v>5.8823529411764705E-2</v>
      </c>
      <c r="AK559">
        <v>0</v>
      </c>
      <c r="AL559">
        <v>0</v>
      </c>
      <c r="AM559">
        <v>0</v>
      </c>
      <c r="AN559">
        <v>0</v>
      </c>
    </row>
    <row r="560" spans="1:40" x14ac:dyDescent="0.25">
      <c r="A560">
        <v>2024</v>
      </c>
      <c r="B560" t="s">
        <v>99</v>
      </c>
      <c r="C560" t="str">
        <f>IF(COUNTIF('Rookies 22-25'!$B$126:$B$197,E560)&gt;0,"(R)","No")</f>
        <v>No</v>
      </c>
      <c r="D560">
        <v>104</v>
      </c>
      <c r="E560" t="s">
        <v>425</v>
      </c>
      <c r="F560" t="s">
        <v>26</v>
      </c>
      <c r="G560">
        <f>VLOOKUP(E560,'24 Draft ADP'!$B$3:$D$436,3,FALSE)</f>
        <v>269</v>
      </c>
      <c r="H560">
        <v>17</v>
      </c>
      <c r="I560">
        <v>3.5</v>
      </c>
      <c r="J560">
        <v>4.2</v>
      </c>
      <c r="K560">
        <v>2.2999999999999998</v>
      </c>
      <c r="L560">
        <v>4.7</v>
      </c>
      <c r="M560">
        <v>0</v>
      </c>
      <c r="N560" t="s">
        <v>22</v>
      </c>
      <c r="O560">
        <v>1.8</v>
      </c>
      <c r="P560">
        <v>6.3</v>
      </c>
      <c r="Q560">
        <v>7.3</v>
      </c>
      <c r="R560">
        <v>2.6</v>
      </c>
      <c r="S560">
        <v>4.5999999999999996</v>
      </c>
      <c r="T560">
        <v>2.5</v>
      </c>
      <c r="U560">
        <v>7.6</v>
      </c>
      <c r="V560">
        <v>0</v>
      </c>
      <c r="W560">
        <v>0</v>
      </c>
      <c r="X560">
        <v>0</v>
      </c>
      <c r="Y560">
        <v>14</v>
      </c>
      <c r="Z560">
        <v>1.5</v>
      </c>
      <c r="AA560">
        <v>3.7</v>
      </c>
      <c r="AB560">
        <f t="shared" si="16"/>
        <v>61.4</v>
      </c>
      <c r="AC560">
        <v>62.9</v>
      </c>
      <c r="AD560">
        <v>20</v>
      </c>
      <c r="AE560">
        <f t="shared" si="17"/>
        <v>1</v>
      </c>
      <c r="AF560">
        <v>0</v>
      </c>
      <c r="AG560">
        <v>0</v>
      </c>
      <c r="AH560">
        <v>0</v>
      </c>
      <c r="AI560">
        <v>0</v>
      </c>
      <c r="AJ560">
        <v>5.8823529411764705E-2</v>
      </c>
      <c r="AK560">
        <v>0</v>
      </c>
      <c r="AL560">
        <v>0</v>
      </c>
      <c r="AM560">
        <v>0</v>
      </c>
      <c r="AN560">
        <v>0</v>
      </c>
    </row>
    <row r="561" spans="1:40" x14ac:dyDescent="0.25">
      <c r="A561">
        <v>2024</v>
      </c>
      <c r="B561" t="s">
        <v>99</v>
      </c>
      <c r="C561" t="str">
        <f>IF(COUNTIF('Rookies 22-25'!$B$126:$B$197,E561)&gt;0,"(R)","No")</f>
        <v>No</v>
      </c>
      <c r="D561">
        <v>105</v>
      </c>
      <c r="E561" t="s">
        <v>426</v>
      </c>
      <c r="F561" t="s">
        <v>47</v>
      </c>
      <c r="G561">
        <f>VLOOKUP(E561,'24 Draft ADP'!$B$3:$D$436,3,FALSE)</f>
        <v>31</v>
      </c>
      <c r="H561">
        <v>7</v>
      </c>
      <c r="I561">
        <v>4.8</v>
      </c>
      <c r="J561">
        <v>8.3000000000000007</v>
      </c>
      <c r="K561">
        <v>9.8000000000000007</v>
      </c>
      <c r="L561">
        <v>6.8</v>
      </c>
      <c r="M561">
        <v>22.7</v>
      </c>
      <c r="N561">
        <v>5.7</v>
      </c>
      <c r="O561">
        <v>4.3</v>
      </c>
      <c r="P561" t="s">
        <v>33</v>
      </c>
      <c r="Q561" t="s">
        <v>22</v>
      </c>
      <c r="R561" t="s">
        <v>33</v>
      </c>
      <c r="S561" t="s">
        <v>33</v>
      </c>
      <c r="T561" t="s">
        <v>33</v>
      </c>
      <c r="U561" t="s">
        <v>33</v>
      </c>
      <c r="V561" t="s">
        <v>33</v>
      </c>
      <c r="W561" t="s">
        <v>33</v>
      </c>
      <c r="X561" t="s">
        <v>33</v>
      </c>
      <c r="Y561" t="s">
        <v>33</v>
      </c>
      <c r="Z561">
        <v>0</v>
      </c>
      <c r="AA561">
        <v>8.9</v>
      </c>
      <c r="AB561">
        <f t="shared" si="16"/>
        <v>62.4</v>
      </c>
      <c r="AC561">
        <v>62.4</v>
      </c>
      <c r="AD561">
        <v>3</v>
      </c>
      <c r="AE561">
        <f t="shared" si="17"/>
        <v>1</v>
      </c>
      <c r="AF561">
        <v>1</v>
      </c>
      <c r="AG561">
        <v>1</v>
      </c>
      <c r="AH561">
        <v>0</v>
      </c>
      <c r="AI561">
        <v>0</v>
      </c>
      <c r="AJ561">
        <v>5.8823529411764705E-2</v>
      </c>
      <c r="AK561">
        <v>0.14285714285714285</v>
      </c>
      <c r="AL561">
        <v>0.14285714285714285</v>
      </c>
      <c r="AM561">
        <v>0</v>
      </c>
      <c r="AN561">
        <v>0</v>
      </c>
    </row>
    <row r="562" spans="1:40" x14ac:dyDescent="0.25">
      <c r="A562">
        <v>2024</v>
      </c>
      <c r="B562" t="s">
        <v>99</v>
      </c>
      <c r="C562" t="str">
        <f>IF(COUNTIF('Rookies 22-25'!$B$126:$B$197,E562)&gt;0,"(R)","No")</f>
        <v>No</v>
      </c>
      <c r="D562">
        <v>106</v>
      </c>
      <c r="E562" t="s">
        <v>427</v>
      </c>
      <c r="F562" t="s">
        <v>55</v>
      </c>
      <c r="G562">
        <v>300</v>
      </c>
      <c r="H562">
        <v>15</v>
      </c>
      <c r="I562">
        <v>12.9</v>
      </c>
      <c r="J562">
        <v>4</v>
      </c>
      <c r="K562">
        <v>5</v>
      </c>
      <c r="L562">
        <v>0</v>
      </c>
      <c r="M562">
        <v>0</v>
      </c>
      <c r="N562" t="s">
        <v>22</v>
      </c>
      <c r="O562">
        <v>9.6999999999999993</v>
      </c>
      <c r="P562">
        <v>1.6</v>
      </c>
      <c r="Q562">
        <v>6.8</v>
      </c>
      <c r="R562">
        <v>5.5</v>
      </c>
      <c r="S562">
        <v>0</v>
      </c>
      <c r="T562">
        <v>2.1</v>
      </c>
      <c r="U562">
        <v>0</v>
      </c>
      <c r="V562">
        <v>0</v>
      </c>
      <c r="W562">
        <v>0</v>
      </c>
      <c r="X562" t="s">
        <v>33</v>
      </c>
      <c r="Y562" t="s">
        <v>33</v>
      </c>
      <c r="Z562">
        <v>13.5</v>
      </c>
      <c r="AA562">
        <v>4.0999999999999996</v>
      </c>
      <c r="AB562">
        <f t="shared" si="16"/>
        <v>47.6</v>
      </c>
      <c r="AC562">
        <v>61.1</v>
      </c>
      <c r="AD562">
        <v>20</v>
      </c>
      <c r="AE562">
        <f t="shared" si="17"/>
        <v>1</v>
      </c>
      <c r="AF562">
        <v>0</v>
      </c>
      <c r="AG562">
        <v>0</v>
      </c>
      <c r="AH562">
        <v>0</v>
      </c>
      <c r="AI562">
        <v>0</v>
      </c>
      <c r="AJ562">
        <v>0.11764705882352941</v>
      </c>
      <c r="AK562">
        <v>0</v>
      </c>
      <c r="AL562">
        <v>0</v>
      </c>
      <c r="AM562">
        <v>0</v>
      </c>
      <c r="AN562">
        <v>0</v>
      </c>
    </row>
    <row r="563" spans="1:40" x14ac:dyDescent="0.25">
      <c r="A563">
        <v>2024</v>
      </c>
      <c r="B563" t="s">
        <v>99</v>
      </c>
      <c r="C563" t="str">
        <f>IF(COUNTIF('Rookies 22-25'!$B$126:$B$197,E563)&gt;0,"(R)","No")</f>
        <v>No</v>
      </c>
      <c r="D563">
        <v>107</v>
      </c>
      <c r="E563" t="s">
        <v>428</v>
      </c>
      <c r="F563" t="s">
        <v>71</v>
      </c>
      <c r="G563">
        <f>VLOOKUP(E563,'24 Draft ADP'!$B$3:$D$436,3,FALSE)</f>
        <v>135</v>
      </c>
      <c r="H563">
        <v>18</v>
      </c>
      <c r="I563">
        <v>0</v>
      </c>
      <c r="J563">
        <v>2.9</v>
      </c>
      <c r="K563">
        <v>6.4</v>
      </c>
      <c r="L563">
        <v>10.7</v>
      </c>
      <c r="M563">
        <v>4.5</v>
      </c>
      <c r="N563">
        <v>0</v>
      </c>
      <c r="O563">
        <v>2.5</v>
      </c>
      <c r="P563">
        <v>0</v>
      </c>
      <c r="Q563">
        <v>1.6</v>
      </c>
      <c r="R563">
        <v>10.199999999999999</v>
      </c>
      <c r="S563">
        <v>0</v>
      </c>
      <c r="T563">
        <v>0</v>
      </c>
      <c r="U563">
        <v>0</v>
      </c>
      <c r="V563">
        <v>6.6</v>
      </c>
      <c r="W563">
        <v>2.5</v>
      </c>
      <c r="X563">
        <v>5.4</v>
      </c>
      <c r="Y563">
        <v>0</v>
      </c>
      <c r="Z563">
        <v>3.5</v>
      </c>
      <c r="AA563">
        <v>3.2</v>
      </c>
      <c r="AB563">
        <f t="shared" si="16"/>
        <v>53.3</v>
      </c>
      <c r="AC563">
        <v>56.8</v>
      </c>
      <c r="AD563">
        <v>12</v>
      </c>
      <c r="AE563">
        <f t="shared" si="17"/>
        <v>2</v>
      </c>
      <c r="AF563">
        <v>0</v>
      </c>
      <c r="AG563">
        <v>0</v>
      </c>
      <c r="AH563">
        <v>0</v>
      </c>
      <c r="AI563">
        <v>0</v>
      </c>
      <c r="AJ563">
        <v>0.11764705882352941</v>
      </c>
      <c r="AK563">
        <v>0</v>
      </c>
      <c r="AL563">
        <v>0</v>
      </c>
      <c r="AM563">
        <v>0</v>
      </c>
      <c r="AN563">
        <v>0</v>
      </c>
    </row>
    <row r="564" spans="1:40" x14ac:dyDescent="0.25">
      <c r="A564">
        <v>2024</v>
      </c>
      <c r="B564" t="s">
        <v>99</v>
      </c>
      <c r="C564" t="str">
        <f>IF(COUNTIF('Rookies 22-25'!$B$126:$B$197,E564)&gt;0,"(R)","No")</f>
        <v>No</v>
      </c>
      <c r="D564">
        <v>108</v>
      </c>
      <c r="E564" t="s">
        <v>193</v>
      </c>
      <c r="F564" t="s">
        <v>75</v>
      </c>
      <c r="G564">
        <f>VLOOKUP(E564,'24 Draft ADP'!$B$3:$D$436,3,FALSE)</f>
        <v>256</v>
      </c>
      <c r="H564">
        <v>12</v>
      </c>
      <c r="I564">
        <v>1.2</v>
      </c>
      <c r="J564">
        <v>5.7</v>
      </c>
      <c r="K564">
        <v>0</v>
      </c>
      <c r="L564">
        <v>1.9</v>
      </c>
      <c r="M564" t="s">
        <v>22</v>
      </c>
      <c r="N564">
        <v>11.3</v>
      </c>
      <c r="O564">
        <v>12.9</v>
      </c>
      <c r="P564">
        <v>15.4</v>
      </c>
      <c r="Q564">
        <v>1</v>
      </c>
      <c r="R564">
        <v>0</v>
      </c>
      <c r="S564">
        <v>5</v>
      </c>
      <c r="T564">
        <v>0</v>
      </c>
      <c r="U564" t="s">
        <v>33</v>
      </c>
      <c r="V564" t="s">
        <v>33</v>
      </c>
      <c r="W564" t="s">
        <v>33</v>
      </c>
      <c r="X564" t="s">
        <v>33</v>
      </c>
      <c r="Y564" t="s">
        <v>33</v>
      </c>
      <c r="Z564">
        <v>2.1</v>
      </c>
      <c r="AA564">
        <v>4.7</v>
      </c>
      <c r="AB564">
        <f t="shared" si="16"/>
        <v>54.4</v>
      </c>
      <c r="AC564">
        <v>56.5</v>
      </c>
      <c r="AD564">
        <v>20</v>
      </c>
      <c r="AE564">
        <f t="shared" si="17"/>
        <v>3</v>
      </c>
      <c r="AF564">
        <v>1</v>
      </c>
      <c r="AG564">
        <v>0</v>
      </c>
      <c r="AH564">
        <v>0</v>
      </c>
      <c r="AI564">
        <v>0</v>
      </c>
      <c r="AJ564">
        <v>0.17647058823529413</v>
      </c>
      <c r="AK564">
        <v>8.3333333333333329E-2</v>
      </c>
      <c r="AL564">
        <v>0</v>
      </c>
      <c r="AM564">
        <v>0</v>
      </c>
      <c r="AN564">
        <v>0</v>
      </c>
    </row>
    <row r="565" spans="1:40" x14ac:dyDescent="0.25">
      <c r="A565">
        <v>2024</v>
      </c>
      <c r="B565" t="s">
        <v>99</v>
      </c>
      <c r="C565" t="str">
        <f>IF(COUNTIF('Rookies 22-25'!$B$126:$B$197,E565)&gt;0,"(R)","No")</f>
        <v>No</v>
      </c>
      <c r="D565">
        <v>109</v>
      </c>
      <c r="E565" t="s">
        <v>187</v>
      </c>
      <c r="F565" t="s">
        <v>41</v>
      </c>
      <c r="G565">
        <f>VLOOKUP(E565,'24 Draft ADP'!$B$3:$D$436,3,FALSE)</f>
        <v>254</v>
      </c>
      <c r="H565">
        <v>13</v>
      </c>
      <c r="I565" t="s">
        <v>33</v>
      </c>
      <c r="J565" t="s">
        <v>33</v>
      </c>
      <c r="K565" t="s">
        <v>33</v>
      </c>
      <c r="L565">
        <v>1.7</v>
      </c>
      <c r="M565">
        <v>0</v>
      </c>
      <c r="N565">
        <v>0</v>
      </c>
      <c r="O565">
        <v>0</v>
      </c>
      <c r="P565">
        <v>5.9</v>
      </c>
      <c r="Q565">
        <v>0</v>
      </c>
      <c r="R565">
        <v>18.399999999999999</v>
      </c>
      <c r="S565">
        <v>6.3</v>
      </c>
      <c r="T565">
        <v>1.6</v>
      </c>
      <c r="U565">
        <v>3.6</v>
      </c>
      <c r="V565" t="s">
        <v>22</v>
      </c>
      <c r="W565">
        <v>3.7</v>
      </c>
      <c r="X565" t="s">
        <v>33</v>
      </c>
      <c r="Y565">
        <v>9.8000000000000007</v>
      </c>
      <c r="Z565">
        <v>4.4000000000000004</v>
      </c>
      <c r="AA565">
        <v>4.3</v>
      </c>
      <c r="AB565">
        <f t="shared" si="16"/>
        <v>51</v>
      </c>
      <c r="AC565">
        <v>55.4</v>
      </c>
      <c r="AD565">
        <v>20</v>
      </c>
      <c r="AE565">
        <f t="shared" si="17"/>
        <v>1</v>
      </c>
      <c r="AF565">
        <v>1</v>
      </c>
      <c r="AG565">
        <v>0</v>
      </c>
      <c r="AH565">
        <v>0</v>
      </c>
      <c r="AI565">
        <v>0</v>
      </c>
      <c r="AJ565">
        <v>5.8823529411764705E-2</v>
      </c>
      <c r="AK565">
        <v>7.6923076923076927E-2</v>
      </c>
      <c r="AL565">
        <v>0</v>
      </c>
      <c r="AM565">
        <v>0</v>
      </c>
      <c r="AN565">
        <v>0</v>
      </c>
    </row>
    <row r="566" spans="1:40" x14ac:dyDescent="0.25">
      <c r="A566">
        <v>2024</v>
      </c>
      <c r="B566" t="s">
        <v>99</v>
      </c>
      <c r="C566" t="str">
        <f>IF(COUNTIF('Rookies 22-25'!$B$126:$B$197,E566)&gt;0,"(R)","No")</f>
        <v>(R)</v>
      </c>
      <c r="D566">
        <v>110</v>
      </c>
      <c r="E566" t="s">
        <v>153</v>
      </c>
      <c r="F566" t="s">
        <v>84</v>
      </c>
      <c r="G566">
        <f>VLOOKUP(E566,'24 Draft ADP'!$B$3:$D$436,3,FALSE)</f>
        <v>218</v>
      </c>
      <c r="H566">
        <v>14</v>
      </c>
      <c r="I566" t="s">
        <v>33</v>
      </c>
      <c r="J566" t="s">
        <v>33</v>
      </c>
      <c r="K566" t="s">
        <v>33</v>
      </c>
      <c r="L566">
        <v>1.8</v>
      </c>
      <c r="M566">
        <v>0</v>
      </c>
      <c r="N566" t="s">
        <v>22</v>
      </c>
      <c r="O566">
        <v>2.9</v>
      </c>
      <c r="P566">
        <v>0</v>
      </c>
      <c r="Q566">
        <v>0.9</v>
      </c>
      <c r="R566">
        <v>10.5</v>
      </c>
      <c r="S566">
        <v>4.8</v>
      </c>
      <c r="T566">
        <v>1.3</v>
      </c>
      <c r="U566">
        <v>0.8</v>
      </c>
      <c r="V566">
        <v>0</v>
      </c>
      <c r="W566">
        <v>10.199999999999999</v>
      </c>
      <c r="X566">
        <v>5.8</v>
      </c>
      <c r="Y566">
        <v>7</v>
      </c>
      <c r="Z566">
        <v>8.8000000000000007</v>
      </c>
      <c r="AA566">
        <v>3.9</v>
      </c>
      <c r="AB566">
        <f t="shared" si="16"/>
        <v>46</v>
      </c>
      <c r="AC566">
        <v>54.8</v>
      </c>
      <c r="AD566">
        <v>20</v>
      </c>
      <c r="AE566">
        <f t="shared" si="17"/>
        <v>2</v>
      </c>
      <c r="AF566">
        <v>0</v>
      </c>
      <c r="AG566">
        <v>0</v>
      </c>
      <c r="AH566">
        <v>0</v>
      </c>
      <c r="AI566">
        <v>0</v>
      </c>
      <c r="AJ566">
        <v>0.11764705882352941</v>
      </c>
      <c r="AK566">
        <v>0</v>
      </c>
      <c r="AL566">
        <v>0</v>
      </c>
      <c r="AM566">
        <v>0</v>
      </c>
      <c r="AN566">
        <v>0</v>
      </c>
    </row>
    <row r="567" spans="1:40" x14ac:dyDescent="0.25">
      <c r="A567">
        <v>2024</v>
      </c>
      <c r="B567" t="s">
        <v>99</v>
      </c>
      <c r="C567" t="str">
        <f>IF(COUNTIF('Rookies 22-25'!$B$126:$B$197,E567)&gt;0,"(R)","No")</f>
        <v>No</v>
      </c>
      <c r="D567">
        <v>111</v>
      </c>
      <c r="E567" t="s">
        <v>429</v>
      </c>
      <c r="F567" t="s">
        <v>67</v>
      </c>
      <c r="G567">
        <f>VLOOKUP(E567,'24 Draft ADP'!$B$3:$D$436,3,FALSE)</f>
        <v>138</v>
      </c>
      <c r="H567">
        <v>10</v>
      </c>
      <c r="I567">
        <v>9.1999999999999993</v>
      </c>
      <c r="J567">
        <v>7.3</v>
      </c>
      <c r="K567">
        <v>3.8</v>
      </c>
      <c r="L567">
        <v>0.8</v>
      </c>
      <c r="M567">
        <v>4.8</v>
      </c>
      <c r="N567">
        <v>21.5</v>
      </c>
      <c r="O567">
        <v>2.2999999999999998</v>
      </c>
      <c r="P567">
        <v>0</v>
      </c>
      <c r="Q567" t="s">
        <v>33</v>
      </c>
      <c r="R567">
        <v>2.9</v>
      </c>
      <c r="S567">
        <v>1.3</v>
      </c>
      <c r="T567" t="s">
        <v>22</v>
      </c>
      <c r="U567" t="s">
        <v>33</v>
      </c>
      <c r="V567" t="s">
        <v>33</v>
      </c>
      <c r="W567" t="s">
        <v>33</v>
      </c>
      <c r="X567" t="s">
        <v>33</v>
      </c>
      <c r="Y567" t="s">
        <v>33</v>
      </c>
      <c r="Z567">
        <v>0</v>
      </c>
      <c r="AA567">
        <v>5.4</v>
      </c>
      <c r="AB567">
        <f t="shared" si="16"/>
        <v>53.9</v>
      </c>
      <c r="AC567">
        <v>53.9</v>
      </c>
      <c r="AD567">
        <v>12</v>
      </c>
      <c r="AE567">
        <f t="shared" si="17"/>
        <v>1</v>
      </c>
      <c r="AF567">
        <v>1</v>
      </c>
      <c r="AG567">
        <v>1</v>
      </c>
      <c r="AH567">
        <v>0</v>
      </c>
      <c r="AI567">
        <v>0</v>
      </c>
      <c r="AJ567">
        <v>5.8823529411764705E-2</v>
      </c>
      <c r="AK567">
        <v>0.1</v>
      </c>
      <c r="AL567">
        <v>0.1</v>
      </c>
      <c r="AM567">
        <v>0</v>
      </c>
      <c r="AN567">
        <v>0</v>
      </c>
    </row>
    <row r="568" spans="1:40" x14ac:dyDescent="0.25">
      <c r="A568">
        <v>2024</v>
      </c>
      <c r="B568" t="s">
        <v>99</v>
      </c>
      <c r="C568" t="str">
        <f>IF(COUNTIF('Rookies 22-25'!$B$126:$B$197,E568)&gt;0,"(R)","No")</f>
        <v>(R)</v>
      </c>
      <c r="D568">
        <v>112</v>
      </c>
      <c r="E568" t="s">
        <v>172</v>
      </c>
      <c r="F568" t="s">
        <v>28</v>
      </c>
      <c r="G568">
        <f>VLOOKUP(E568,'24 Draft ADP'!$B$3:$D$436,3,FALSE)</f>
        <v>145</v>
      </c>
      <c r="H568">
        <v>17</v>
      </c>
      <c r="I568">
        <v>1.2</v>
      </c>
      <c r="J568">
        <v>4</v>
      </c>
      <c r="K568">
        <v>0</v>
      </c>
      <c r="L568">
        <v>1</v>
      </c>
      <c r="M568">
        <v>9.1999999999999993</v>
      </c>
      <c r="N568">
        <v>2.9</v>
      </c>
      <c r="O568">
        <v>5</v>
      </c>
      <c r="P568">
        <v>1.9</v>
      </c>
      <c r="Q568">
        <v>3.2</v>
      </c>
      <c r="R568">
        <v>13.1</v>
      </c>
      <c r="S568">
        <v>4.5</v>
      </c>
      <c r="T568">
        <v>2</v>
      </c>
      <c r="U568">
        <v>0</v>
      </c>
      <c r="V568" t="s">
        <v>22</v>
      </c>
      <c r="W568">
        <v>-3</v>
      </c>
      <c r="X568">
        <v>4.5999999999999996</v>
      </c>
      <c r="Y568">
        <v>4.2</v>
      </c>
      <c r="Z568">
        <v>0</v>
      </c>
      <c r="AA568">
        <v>3.2</v>
      </c>
      <c r="AB568">
        <f t="shared" si="16"/>
        <v>53.8</v>
      </c>
      <c r="AC568">
        <v>53.8</v>
      </c>
      <c r="AD568">
        <v>13</v>
      </c>
      <c r="AE568">
        <f t="shared" si="17"/>
        <v>1</v>
      </c>
      <c r="AF568">
        <v>0</v>
      </c>
      <c r="AG568">
        <v>0</v>
      </c>
      <c r="AH568">
        <v>0</v>
      </c>
      <c r="AI568">
        <v>0</v>
      </c>
      <c r="AJ568">
        <v>5.8823529411764705E-2</v>
      </c>
      <c r="AK568">
        <v>0</v>
      </c>
      <c r="AL568">
        <v>0</v>
      </c>
      <c r="AM568">
        <v>0</v>
      </c>
      <c r="AN568">
        <v>0</v>
      </c>
    </row>
    <row r="569" spans="1:40" x14ac:dyDescent="0.25">
      <c r="A569">
        <v>2024</v>
      </c>
      <c r="B569" t="s">
        <v>99</v>
      </c>
      <c r="C569" t="str">
        <f>IF(COUNTIF('Rookies 22-25'!$B$126:$B$197,E569)&gt;0,"(R)","No")</f>
        <v>No</v>
      </c>
      <c r="D569">
        <v>113</v>
      </c>
      <c r="E569" t="s">
        <v>185</v>
      </c>
      <c r="F569" t="s">
        <v>26</v>
      </c>
      <c r="G569">
        <f>VLOOKUP(E569,'24 Draft ADP'!$B$3:$D$436,3,FALSE)</f>
        <v>260</v>
      </c>
      <c r="H569">
        <v>14</v>
      </c>
      <c r="I569">
        <v>0</v>
      </c>
      <c r="J569">
        <v>0</v>
      </c>
      <c r="K569">
        <v>9.6999999999999993</v>
      </c>
      <c r="L569">
        <v>0</v>
      </c>
      <c r="M569">
        <v>20</v>
      </c>
      <c r="N569" t="s">
        <v>22</v>
      </c>
      <c r="O569">
        <v>0</v>
      </c>
      <c r="P569" t="s">
        <v>33</v>
      </c>
      <c r="Q569" t="s">
        <v>33</v>
      </c>
      <c r="R569" t="s">
        <v>33</v>
      </c>
      <c r="S569">
        <v>1.8</v>
      </c>
      <c r="T569">
        <v>1.6</v>
      </c>
      <c r="U569">
        <v>2</v>
      </c>
      <c r="V569">
        <v>5.0999999999999996</v>
      </c>
      <c r="W569">
        <v>7.7</v>
      </c>
      <c r="X569">
        <v>0</v>
      </c>
      <c r="Y569">
        <v>3.8</v>
      </c>
      <c r="Z569">
        <v>1.4</v>
      </c>
      <c r="AA569">
        <v>3.8</v>
      </c>
      <c r="AB569">
        <f t="shared" si="16"/>
        <v>51.7</v>
      </c>
      <c r="AC569">
        <v>53.1</v>
      </c>
      <c r="AD569">
        <v>20</v>
      </c>
      <c r="AE569">
        <f t="shared" si="17"/>
        <v>1</v>
      </c>
      <c r="AF569">
        <v>1</v>
      </c>
      <c r="AG569">
        <v>0</v>
      </c>
      <c r="AH569">
        <v>0</v>
      </c>
      <c r="AI569">
        <v>0</v>
      </c>
      <c r="AJ569">
        <v>5.8823529411764705E-2</v>
      </c>
      <c r="AK569">
        <v>7.1428571428571425E-2</v>
      </c>
      <c r="AL569">
        <v>0</v>
      </c>
      <c r="AM569">
        <v>0</v>
      </c>
      <c r="AN569">
        <v>0</v>
      </c>
    </row>
    <row r="570" spans="1:40" x14ac:dyDescent="0.25">
      <c r="A570">
        <v>2024</v>
      </c>
      <c r="B570" t="s">
        <v>99</v>
      </c>
      <c r="C570" t="str">
        <f>IF(COUNTIF('Rookies 22-25'!$B$126:$B$197,E570)&gt;0,"(R)","No")</f>
        <v>(R)</v>
      </c>
      <c r="D570">
        <v>114</v>
      </c>
      <c r="E570" t="s">
        <v>430</v>
      </c>
      <c r="F570" t="s">
        <v>55</v>
      </c>
      <c r="G570">
        <f>VLOOKUP(E570,'24 Draft ADP'!$B$3:$D$436,3,FALSE)</f>
        <v>221</v>
      </c>
      <c r="H570">
        <v>15</v>
      </c>
      <c r="I570">
        <v>0</v>
      </c>
      <c r="J570">
        <v>4.2</v>
      </c>
      <c r="K570">
        <v>5.8</v>
      </c>
      <c r="L570">
        <v>12.2</v>
      </c>
      <c r="M570">
        <v>15.9</v>
      </c>
      <c r="N570" t="s">
        <v>22</v>
      </c>
      <c r="O570">
        <v>0</v>
      </c>
      <c r="P570" t="s">
        <v>33</v>
      </c>
      <c r="Q570" t="s">
        <v>33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1.6</v>
      </c>
      <c r="Z570">
        <v>12.8</v>
      </c>
      <c r="AA570">
        <v>3.5</v>
      </c>
      <c r="AB570">
        <f t="shared" si="16"/>
        <v>39.700000000000003</v>
      </c>
      <c r="AC570">
        <v>52.5</v>
      </c>
      <c r="AD570">
        <v>20</v>
      </c>
      <c r="AE570">
        <f t="shared" si="17"/>
        <v>2</v>
      </c>
      <c r="AF570">
        <v>1</v>
      </c>
      <c r="AG570">
        <v>0</v>
      </c>
      <c r="AH570">
        <v>0</v>
      </c>
      <c r="AI570">
        <v>0</v>
      </c>
      <c r="AJ570">
        <v>0.17647058823529413</v>
      </c>
      <c r="AK570">
        <v>6.6666666666666666E-2</v>
      </c>
      <c r="AL570">
        <v>0</v>
      </c>
      <c r="AM570">
        <v>0</v>
      </c>
      <c r="AN570">
        <v>0</v>
      </c>
    </row>
    <row r="571" spans="1:40" x14ac:dyDescent="0.25">
      <c r="A571">
        <v>2024</v>
      </c>
      <c r="B571" t="s">
        <v>99</v>
      </c>
      <c r="C571" t="str">
        <f>IF(COUNTIF('Rookies 22-25'!$B$126:$B$197,E571)&gt;0,"(R)","No")</f>
        <v>No</v>
      </c>
      <c r="D571">
        <v>115</v>
      </c>
      <c r="E571" t="s">
        <v>431</v>
      </c>
      <c r="F571" t="s">
        <v>37</v>
      </c>
      <c r="G571">
        <f>VLOOKUP(E571,'24 Draft ADP'!$B$3:$D$436,3,FALSE)</f>
        <v>313</v>
      </c>
      <c r="H571">
        <v>15</v>
      </c>
      <c r="I571">
        <v>-2</v>
      </c>
      <c r="J571">
        <v>0</v>
      </c>
      <c r="K571">
        <v>1.3</v>
      </c>
      <c r="L571">
        <v>0</v>
      </c>
      <c r="M571">
        <v>0</v>
      </c>
      <c r="N571">
        <v>4.8</v>
      </c>
      <c r="O571">
        <v>17.7</v>
      </c>
      <c r="P571" t="s">
        <v>33</v>
      </c>
      <c r="Q571">
        <v>5.4</v>
      </c>
      <c r="R571" t="s">
        <v>33</v>
      </c>
      <c r="S571">
        <v>0</v>
      </c>
      <c r="T571" t="s">
        <v>22</v>
      </c>
      <c r="U571">
        <v>2.9</v>
      </c>
      <c r="V571">
        <v>2.8</v>
      </c>
      <c r="W571">
        <v>4.8</v>
      </c>
      <c r="X571">
        <v>2.2999999999999998</v>
      </c>
      <c r="Y571">
        <v>4.7</v>
      </c>
      <c r="Z571">
        <v>5.2</v>
      </c>
      <c r="AA571">
        <v>3.3</v>
      </c>
      <c r="AB571">
        <f t="shared" si="16"/>
        <v>44.699999999999996</v>
      </c>
      <c r="AC571">
        <v>49.9</v>
      </c>
      <c r="AD571">
        <v>20</v>
      </c>
      <c r="AE571">
        <f t="shared" si="17"/>
        <v>1</v>
      </c>
      <c r="AF571">
        <v>1</v>
      </c>
      <c r="AG571">
        <v>0</v>
      </c>
      <c r="AH571">
        <v>0</v>
      </c>
      <c r="AI571">
        <v>0</v>
      </c>
      <c r="AJ571">
        <v>5.8823529411764705E-2</v>
      </c>
      <c r="AK571">
        <v>6.6666666666666666E-2</v>
      </c>
      <c r="AL571">
        <v>0</v>
      </c>
      <c r="AM571">
        <v>0</v>
      </c>
      <c r="AN571">
        <v>0</v>
      </c>
    </row>
    <row r="572" spans="1:40" x14ac:dyDescent="0.25">
      <c r="A572">
        <v>2024</v>
      </c>
      <c r="B572" t="s">
        <v>99</v>
      </c>
      <c r="C572" t="str">
        <f>IF(COUNTIF('Rookies 22-25'!$B$126:$B$197,E572)&gt;0,"(R)","No")</f>
        <v>No</v>
      </c>
      <c r="D572">
        <v>116</v>
      </c>
      <c r="E572" t="s">
        <v>432</v>
      </c>
      <c r="F572" t="s">
        <v>53</v>
      </c>
      <c r="G572">
        <f>VLOOKUP(E572,'24 Draft ADP'!$B$3:$D$436,3,FALSE)</f>
        <v>273</v>
      </c>
      <c r="H572">
        <v>14</v>
      </c>
      <c r="I572">
        <v>1.6</v>
      </c>
      <c r="J572">
        <v>2.2999999999999998</v>
      </c>
      <c r="K572">
        <v>6.6</v>
      </c>
      <c r="L572">
        <v>3</v>
      </c>
      <c r="M572">
        <v>1.4</v>
      </c>
      <c r="N572">
        <v>3.5</v>
      </c>
      <c r="O572">
        <v>3</v>
      </c>
      <c r="P572">
        <v>12.6</v>
      </c>
      <c r="Q572">
        <v>3.9</v>
      </c>
      <c r="R572">
        <v>7.6</v>
      </c>
      <c r="S572">
        <v>0</v>
      </c>
      <c r="T572">
        <v>0</v>
      </c>
      <c r="U572">
        <v>0</v>
      </c>
      <c r="V572" t="s">
        <v>22</v>
      </c>
      <c r="W572">
        <v>3.6</v>
      </c>
      <c r="X572" t="s">
        <v>33</v>
      </c>
      <c r="Y572" t="s">
        <v>33</v>
      </c>
      <c r="Z572">
        <v>0</v>
      </c>
      <c r="AA572">
        <v>3.5</v>
      </c>
      <c r="AB572">
        <f t="shared" si="16"/>
        <v>49.1</v>
      </c>
      <c r="AC572">
        <v>49.1</v>
      </c>
      <c r="AD572">
        <v>20</v>
      </c>
      <c r="AE572">
        <f t="shared" si="17"/>
        <v>1</v>
      </c>
      <c r="AF572">
        <v>0</v>
      </c>
      <c r="AG572">
        <v>0</v>
      </c>
      <c r="AH572">
        <v>0</v>
      </c>
      <c r="AI572">
        <v>0</v>
      </c>
      <c r="AJ572">
        <v>5.8823529411764705E-2</v>
      </c>
      <c r="AK572">
        <v>0</v>
      </c>
      <c r="AL572">
        <v>0</v>
      </c>
      <c r="AM572">
        <v>0</v>
      </c>
      <c r="AN572">
        <v>0</v>
      </c>
    </row>
    <row r="573" spans="1:40" x14ac:dyDescent="0.25">
      <c r="A573">
        <v>2024</v>
      </c>
      <c r="B573" t="s">
        <v>99</v>
      </c>
      <c r="C573" t="str">
        <f>IF(COUNTIF('Rookies 22-25'!$B$126:$B$197,E573)&gt;0,"(R)","No")</f>
        <v>No</v>
      </c>
      <c r="D573">
        <v>117</v>
      </c>
      <c r="E573" t="s">
        <v>433</v>
      </c>
      <c r="F573" t="s">
        <v>43</v>
      </c>
      <c r="G573">
        <v>300</v>
      </c>
      <c r="H573">
        <v>13</v>
      </c>
      <c r="I573">
        <v>1.9</v>
      </c>
      <c r="J573">
        <v>0.2</v>
      </c>
      <c r="K573">
        <v>0</v>
      </c>
      <c r="L573">
        <v>7.8</v>
      </c>
      <c r="M573">
        <v>2.7</v>
      </c>
      <c r="N573">
        <v>5.7</v>
      </c>
      <c r="O573">
        <v>3.7</v>
      </c>
      <c r="P573">
        <v>13.2</v>
      </c>
      <c r="Q573">
        <v>0</v>
      </c>
      <c r="R573" t="s">
        <v>22</v>
      </c>
      <c r="S573">
        <v>5.9</v>
      </c>
      <c r="T573">
        <v>2.5</v>
      </c>
      <c r="U573">
        <v>3.5</v>
      </c>
      <c r="V573" t="s">
        <v>33</v>
      </c>
      <c r="W573" t="s">
        <v>33</v>
      </c>
      <c r="X573" t="s">
        <v>33</v>
      </c>
      <c r="Y573">
        <v>0</v>
      </c>
      <c r="Z573">
        <v>0</v>
      </c>
      <c r="AA573">
        <v>3.6</v>
      </c>
      <c r="AB573">
        <f t="shared" si="16"/>
        <v>47.1</v>
      </c>
      <c r="AC573">
        <v>47.1</v>
      </c>
      <c r="AD573">
        <v>20</v>
      </c>
      <c r="AE573">
        <f t="shared" si="17"/>
        <v>1</v>
      </c>
      <c r="AF573">
        <v>0</v>
      </c>
      <c r="AG573">
        <v>0</v>
      </c>
      <c r="AH573">
        <v>0</v>
      </c>
      <c r="AI573">
        <v>0</v>
      </c>
      <c r="AJ573">
        <v>5.8823529411764705E-2</v>
      </c>
      <c r="AK573">
        <v>0</v>
      </c>
      <c r="AL573">
        <v>0</v>
      </c>
      <c r="AM573">
        <v>0</v>
      </c>
      <c r="AN573">
        <v>0</v>
      </c>
    </row>
    <row r="574" spans="1:40" x14ac:dyDescent="0.25">
      <c r="A574">
        <v>2024</v>
      </c>
      <c r="B574" t="s">
        <v>99</v>
      </c>
      <c r="C574" t="str">
        <f>IF(COUNTIF('Rookies 22-25'!$B$126:$B$197,E574)&gt;0,"(R)","No")</f>
        <v>No</v>
      </c>
      <c r="D574">
        <v>118</v>
      </c>
      <c r="E574" t="s">
        <v>209</v>
      </c>
      <c r="F574" t="s">
        <v>35</v>
      </c>
      <c r="G574">
        <f>VLOOKUP(E574,'24 Draft ADP'!$B$3:$D$436,3,FALSE)</f>
        <v>171</v>
      </c>
      <c r="H574">
        <v>17</v>
      </c>
      <c r="I574">
        <v>0</v>
      </c>
      <c r="J574">
        <v>1.6</v>
      </c>
      <c r="K574">
        <v>2.8</v>
      </c>
      <c r="L574">
        <v>3.1</v>
      </c>
      <c r="M574" t="s">
        <v>22</v>
      </c>
      <c r="N574">
        <v>3.3</v>
      </c>
      <c r="O574">
        <v>0</v>
      </c>
      <c r="P574">
        <v>0</v>
      </c>
      <c r="Q574">
        <v>4.5999999999999996</v>
      </c>
      <c r="R574">
        <v>3.7</v>
      </c>
      <c r="S574">
        <v>1.8</v>
      </c>
      <c r="T574">
        <v>1.4</v>
      </c>
      <c r="U574">
        <v>1.7</v>
      </c>
      <c r="V574">
        <v>1.5</v>
      </c>
      <c r="W574">
        <v>0</v>
      </c>
      <c r="X574">
        <v>0</v>
      </c>
      <c r="Y574">
        <v>0</v>
      </c>
      <c r="Z574">
        <v>16.399999999999999</v>
      </c>
      <c r="AA574">
        <v>2.5</v>
      </c>
      <c r="AB574">
        <f t="shared" si="16"/>
        <v>25.5</v>
      </c>
      <c r="AC574">
        <v>41.9</v>
      </c>
      <c r="AD574">
        <v>15</v>
      </c>
      <c r="AE574">
        <f t="shared" si="17"/>
        <v>0</v>
      </c>
      <c r="AF574">
        <v>1</v>
      </c>
      <c r="AG574">
        <v>0</v>
      </c>
      <c r="AH574">
        <v>0</v>
      </c>
      <c r="AI574">
        <v>0</v>
      </c>
      <c r="AJ574">
        <v>5.8823529411764705E-2</v>
      </c>
      <c r="AK574">
        <v>5.8823529411764705E-2</v>
      </c>
      <c r="AL574">
        <v>0</v>
      </c>
      <c r="AM574">
        <v>0</v>
      </c>
      <c r="AN574">
        <v>0</v>
      </c>
    </row>
    <row r="575" spans="1:40" x14ac:dyDescent="0.25">
      <c r="A575">
        <v>2024</v>
      </c>
      <c r="B575" t="s">
        <v>99</v>
      </c>
      <c r="C575" t="str">
        <f>IF(COUNTIF('Rookies 22-25'!$B$126:$B$197,E575)&gt;0,"(R)","No")</f>
        <v>No</v>
      </c>
      <c r="D575">
        <v>119</v>
      </c>
      <c r="E575" t="s">
        <v>434</v>
      </c>
      <c r="F575" t="s">
        <v>51</v>
      </c>
      <c r="G575">
        <f>VLOOKUP(E575,'24 Draft ADP'!$B$3:$D$436,3,FALSE)</f>
        <v>352</v>
      </c>
      <c r="H575">
        <v>15</v>
      </c>
      <c r="I575">
        <v>0.9</v>
      </c>
      <c r="J575">
        <v>0</v>
      </c>
      <c r="K575">
        <v>0.8</v>
      </c>
      <c r="L575">
        <v>0</v>
      </c>
      <c r="M575" t="s">
        <v>22</v>
      </c>
      <c r="N575">
        <v>3.2</v>
      </c>
      <c r="O575" t="s">
        <v>33</v>
      </c>
      <c r="P575" t="s">
        <v>33</v>
      </c>
      <c r="Q575">
        <v>0</v>
      </c>
      <c r="R575">
        <v>3.3</v>
      </c>
      <c r="S575">
        <v>3</v>
      </c>
      <c r="T575">
        <v>2.4</v>
      </c>
      <c r="U575">
        <v>1.6</v>
      </c>
      <c r="V575">
        <v>2.1</v>
      </c>
      <c r="W575">
        <v>0</v>
      </c>
      <c r="X575">
        <v>10.8</v>
      </c>
      <c r="Y575">
        <v>10.6</v>
      </c>
      <c r="Z575">
        <v>1.4</v>
      </c>
      <c r="AA575">
        <v>2.7</v>
      </c>
      <c r="AB575">
        <f t="shared" si="16"/>
        <v>38.700000000000003</v>
      </c>
      <c r="AC575">
        <v>40.1</v>
      </c>
      <c r="AD575">
        <v>20</v>
      </c>
      <c r="AE575">
        <f t="shared" si="17"/>
        <v>2</v>
      </c>
      <c r="AF575">
        <v>0</v>
      </c>
      <c r="AG575">
        <v>0</v>
      </c>
      <c r="AH575">
        <v>0</v>
      </c>
      <c r="AI575">
        <v>0</v>
      </c>
      <c r="AJ575">
        <v>0.11764705882352941</v>
      </c>
      <c r="AK575">
        <v>0</v>
      </c>
      <c r="AL575">
        <v>0</v>
      </c>
      <c r="AM575">
        <v>0</v>
      </c>
      <c r="AN575">
        <v>0</v>
      </c>
    </row>
    <row r="576" spans="1:40" x14ac:dyDescent="0.25">
      <c r="A576">
        <v>2024</v>
      </c>
      <c r="B576" t="s">
        <v>99</v>
      </c>
      <c r="C576" t="str">
        <f>IF(COUNTIF('Rookies 22-25'!$B$126:$B$197,E576)&gt;0,"(R)","No")</f>
        <v>No</v>
      </c>
      <c r="D576">
        <v>120</v>
      </c>
      <c r="E576" t="s">
        <v>435</v>
      </c>
      <c r="F576" t="s">
        <v>67</v>
      </c>
      <c r="G576">
        <f>VLOOKUP(E576,'24 Draft ADP'!$B$3:$D$436,3,FALSE)</f>
        <v>229</v>
      </c>
      <c r="H576">
        <v>9</v>
      </c>
      <c r="I576">
        <v>9.5</v>
      </c>
      <c r="J576">
        <v>13.3</v>
      </c>
      <c r="K576">
        <v>5.6</v>
      </c>
      <c r="L576">
        <v>0</v>
      </c>
      <c r="M576">
        <v>7.9</v>
      </c>
      <c r="N576" t="s">
        <v>33</v>
      </c>
      <c r="O576" t="s">
        <v>33</v>
      </c>
      <c r="P576" t="s">
        <v>33</v>
      </c>
      <c r="Q576" t="s">
        <v>33</v>
      </c>
      <c r="R576" t="s">
        <v>33</v>
      </c>
      <c r="S576" t="s">
        <v>33</v>
      </c>
      <c r="T576" t="s">
        <v>22</v>
      </c>
      <c r="U576" t="s">
        <v>33</v>
      </c>
      <c r="V576" t="s">
        <v>33</v>
      </c>
      <c r="W576">
        <v>0</v>
      </c>
      <c r="X576">
        <v>0</v>
      </c>
      <c r="Y576">
        <v>0</v>
      </c>
      <c r="Z576">
        <v>2.1</v>
      </c>
      <c r="AA576">
        <v>4.3</v>
      </c>
      <c r="AB576">
        <f t="shared" si="16"/>
        <v>36.299999999999997</v>
      </c>
      <c r="AC576">
        <v>38.4</v>
      </c>
      <c r="AD576">
        <v>20</v>
      </c>
      <c r="AE576">
        <f t="shared" si="17"/>
        <v>1</v>
      </c>
      <c r="AF576">
        <v>0</v>
      </c>
      <c r="AG576">
        <v>0</v>
      </c>
      <c r="AH576">
        <v>0</v>
      </c>
      <c r="AI576">
        <v>0</v>
      </c>
      <c r="AJ576">
        <v>5.8823529411764705E-2</v>
      </c>
      <c r="AK576">
        <v>0</v>
      </c>
      <c r="AL576">
        <v>0</v>
      </c>
      <c r="AM576">
        <v>0</v>
      </c>
      <c r="AN576">
        <v>0</v>
      </c>
    </row>
    <row r="577" spans="1:40" x14ac:dyDescent="0.25">
      <c r="A577">
        <v>2024</v>
      </c>
      <c r="B577" t="s">
        <v>19</v>
      </c>
      <c r="C577" t="str">
        <f>IF(COUNTIF('Rookies 22-25'!$B$126:$B$197,E577)&gt;0,"(R)","No")</f>
        <v>(R)</v>
      </c>
      <c r="D577">
        <v>1</v>
      </c>
      <c r="E577" t="s">
        <v>42</v>
      </c>
      <c r="F577" t="s">
        <v>43</v>
      </c>
      <c r="G577">
        <f>VLOOKUP(E577,'24 Draft ADP'!$B$3:$D$436,3,FALSE)</f>
        <v>101</v>
      </c>
      <c r="H577">
        <v>17</v>
      </c>
      <c r="I577">
        <v>11.8</v>
      </c>
      <c r="J577">
        <v>18.8</v>
      </c>
      <c r="K577">
        <v>7.1</v>
      </c>
      <c r="L577">
        <v>5.0999999999999996</v>
      </c>
      <c r="M577">
        <v>23.7</v>
      </c>
      <c r="N577">
        <v>16.100000000000001</v>
      </c>
      <c r="O577">
        <v>19.3</v>
      </c>
      <c r="P577">
        <v>10.8</v>
      </c>
      <c r="Q577">
        <v>15.5</v>
      </c>
      <c r="R577" t="s">
        <v>22</v>
      </c>
      <c r="S577">
        <v>31.3</v>
      </c>
      <c r="T577">
        <v>7.8</v>
      </c>
      <c r="U577">
        <v>30.2</v>
      </c>
      <c r="V577">
        <v>8.1999999999999993</v>
      </c>
      <c r="W577">
        <v>6.5</v>
      </c>
      <c r="X577">
        <v>20.9</v>
      </c>
      <c r="Y577">
        <v>14.6</v>
      </c>
      <c r="Z577">
        <v>15</v>
      </c>
      <c r="AA577">
        <v>15.5</v>
      </c>
      <c r="AB577">
        <f t="shared" si="16"/>
        <v>247.7</v>
      </c>
      <c r="AC577">
        <v>262.7</v>
      </c>
      <c r="AD577">
        <v>9</v>
      </c>
      <c r="AE577">
        <f t="shared" si="17"/>
        <v>11</v>
      </c>
      <c r="AF577">
        <v>8</v>
      </c>
      <c r="AG577">
        <v>4</v>
      </c>
      <c r="AH577">
        <v>2</v>
      </c>
      <c r="AI577">
        <v>2</v>
      </c>
      <c r="AJ577">
        <v>0.70588235294117652</v>
      </c>
      <c r="AK577">
        <v>0.47058823529411764</v>
      </c>
      <c r="AL577">
        <v>0.23529411764705882</v>
      </c>
      <c r="AM577">
        <v>0.11764705882352941</v>
      </c>
      <c r="AN577">
        <v>0.11764705882352941</v>
      </c>
    </row>
    <row r="578" spans="1:40" x14ac:dyDescent="0.25">
      <c r="A578">
        <v>2024</v>
      </c>
      <c r="B578" t="s">
        <v>19</v>
      </c>
      <c r="C578" t="str">
        <f>IF(COUNTIF('Rookies 22-25'!$B$126:$B$197,E578)&gt;0,"(R)","No")</f>
        <v>No</v>
      </c>
      <c r="D578">
        <v>2</v>
      </c>
      <c r="E578" t="s">
        <v>20</v>
      </c>
      <c r="F578" t="s">
        <v>21</v>
      </c>
      <c r="G578">
        <f>VLOOKUP(E578,'24 Draft ADP'!$B$3:$D$436,3,FALSE)</f>
        <v>45</v>
      </c>
      <c r="H578">
        <v>16</v>
      </c>
      <c r="I578">
        <v>8</v>
      </c>
      <c r="J578">
        <v>18.7</v>
      </c>
      <c r="K578">
        <v>5.5</v>
      </c>
      <c r="L578" t="s">
        <v>33</v>
      </c>
      <c r="M578">
        <v>11.3</v>
      </c>
      <c r="N578">
        <v>17.600000000000001</v>
      </c>
      <c r="O578">
        <v>10.1</v>
      </c>
      <c r="P578">
        <v>21.4</v>
      </c>
      <c r="Q578">
        <v>12.7</v>
      </c>
      <c r="R578">
        <v>11.1</v>
      </c>
      <c r="S578" t="s">
        <v>22</v>
      </c>
      <c r="T578">
        <v>25.3</v>
      </c>
      <c r="U578">
        <v>21.6</v>
      </c>
      <c r="V578">
        <v>14</v>
      </c>
      <c r="W578">
        <v>17.7</v>
      </c>
      <c r="X578">
        <v>5</v>
      </c>
      <c r="Y578">
        <v>30.3</v>
      </c>
      <c r="Z578">
        <v>19.5</v>
      </c>
      <c r="AA578">
        <v>15.6</v>
      </c>
      <c r="AB578">
        <f t="shared" si="16"/>
        <v>230.3</v>
      </c>
      <c r="AC578">
        <v>249.8</v>
      </c>
      <c r="AD578">
        <v>4</v>
      </c>
      <c r="AE578">
        <f t="shared" si="17"/>
        <v>12</v>
      </c>
      <c r="AF578">
        <v>8</v>
      </c>
      <c r="AG578">
        <v>4</v>
      </c>
      <c r="AH578">
        <v>2</v>
      </c>
      <c r="AI578">
        <v>1</v>
      </c>
      <c r="AJ578">
        <v>0.76470588235294112</v>
      </c>
      <c r="AK578">
        <v>0.5</v>
      </c>
      <c r="AL578">
        <v>0.25</v>
      </c>
      <c r="AM578">
        <v>0.125</v>
      </c>
      <c r="AN578">
        <v>6.25E-2</v>
      </c>
    </row>
    <row r="579" spans="1:40" x14ac:dyDescent="0.25">
      <c r="A579">
        <v>2024</v>
      </c>
      <c r="B579" t="s">
        <v>19</v>
      </c>
      <c r="C579" t="str">
        <f>IF(COUNTIF('Rookies 22-25'!$B$126:$B$197,E579)&gt;0,"(R)","No")</f>
        <v>No</v>
      </c>
      <c r="D579">
        <v>3</v>
      </c>
      <c r="E579" t="s">
        <v>46</v>
      </c>
      <c r="F579" t="s">
        <v>47</v>
      </c>
      <c r="G579">
        <f>VLOOKUP(E579,'24 Draft ADP'!$B$3:$D$436,3,FALSE)</f>
        <v>66</v>
      </c>
      <c r="H579">
        <v>15</v>
      </c>
      <c r="I579">
        <v>8</v>
      </c>
      <c r="J579">
        <v>20.6</v>
      </c>
      <c r="K579" t="s">
        <v>33</v>
      </c>
      <c r="L579">
        <v>14.5</v>
      </c>
      <c r="M579">
        <v>20.399999999999999</v>
      </c>
      <c r="N579">
        <v>22.8</v>
      </c>
      <c r="O579">
        <v>15.2</v>
      </c>
      <c r="P579">
        <v>24.8</v>
      </c>
      <c r="Q579" t="s">
        <v>22</v>
      </c>
      <c r="R579">
        <v>14.7</v>
      </c>
      <c r="S579" t="s">
        <v>33</v>
      </c>
      <c r="T579">
        <v>20.2</v>
      </c>
      <c r="U579">
        <v>1.7</v>
      </c>
      <c r="V579">
        <v>21.1</v>
      </c>
      <c r="W579">
        <v>10.1</v>
      </c>
      <c r="X579">
        <v>18.600000000000001</v>
      </c>
      <c r="Y579">
        <v>19.2</v>
      </c>
      <c r="Z579">
        <v>4.7</v>
      </c>
      <c r="AA579">
        <v>15.8</v>
      </c>
      <c r="AB579">
        <f t="shared" ref="AB579:AB642" si="18">AC579-Z579</f>
        <v>231.9</v>
      </c>
      <c r="AC579">
        <v>236.6</v>
      </c>
      <c r="AD579">
        <v>6</v>
      </c>
      <c r="AE579">
        <f t="shared" ref="AE579:AE642" si="19">COUNTIF(I579:Y579,"&gt;10")</f>
        <v>12</v>
      </c>
      <c r="AF579">
        <v>9</v>
      </c>
      <c r="AG579">
        <v>6</v>
      </c>
      <c r="AH579">
        <v>0</v>
      </c>
      <c r="AI579">
        <v>0</v>
      </c>
      <c r="AJ579">
        <v>0.70588235294117652</v>
      </c>
      <c r="AK579">
        <v>0.6</v>
      </c>
      <c r="AL579">
        <v>0.4</v>
      </c>
      <c r="AM579">
        <v>0</v>
      </c>
      <c r="AN579">
        <v>0</v>
      </c>
    </row>
    <row r="580" spans="1:40" x14ac:dyDescent="0.25">
      <c r="A580">
        <v>2024</v>
      </c>
      <c r="B580" t="s">
        <v>19</v>
      </c>
      <c r="C580" t="str">
        <f>IF(COUNTIF('Rookies 22-25'!$B$126:$B$197,E580)&gt;0,"(R)","No")</f>
        <v>No</v>
      </c>
      <c r="D580">
        <v>4</v>
      </c>
      <c r="E580" t="s">
        <v>86</v>
      </c>
      <c r="F580" t="s">
        <v>84</v>
      </c>
      <c r="G580">
        <f>VLOOKUP(E580,'24 Draft ADP'!$B$3:$D$436,3,FALSE)</f>
        <v>184</v>
      </c>
      <c r="H580">
        <v>17</v>
      </c>
      <c r="I580">
        <v>1.7</v>
      </c>
      <c r="J580">
        <v>11.3</v>
      </c>
      <c r="K580">
        <v>3.8</v>
      </c>
      <c r="L580">
        <v>0</v>
      </c>
      <c r="M580">
        <v>11.1</v>
      </c>
      <c r="N580" t="s">
        <v>22</v>
      </c>
      <c r="O580">
        <v>22.6</v>
      </c>
      <c r="P580">
        <v>6</v>
      </c>
      <c r="Q580">
        <v>9.6</v>
      </c>
      <c r="R580">
        <v>7.5</v>
      </c>
      <c r="S580">
        <v>28.1</v>
      </c>
      <c r="T580">
        <v>23.7</v>
      </c>
      <c r="U580">
        <v>21.3</v>
      </c>
      <c r="V580">
        <v>13.4</v>
      </c>
      <c r="W580">
        <v>19.8</v>
      </c>
      <c r="X580">
        <v>12.2</v>
      </c>
      <c r="Y580">
        <v>11.6</v>
      </c>
      <c r="Z580">
        <v>18.600000000000001</v>
      </c>
      <c r="AA580">
        <v>13.1</v>
      </c>
      <c r="AB580">
        <f t="shared" si="18"/>
        <v>203.70000000000002</v>
      </c>
      <c r="AC580">
        <v>222.3</v>
      </c>
      <c r="AD580">
        <v>16</v>
      </c>
      <c r="AE580">
        <f t="shared" si="19"/>
        <v>10</v>
      </c>
      <c r="AF580">
        <v>6</v>
      </c>
      <c r="AG580">
        <v>4</v>
      </c>
      <c r="AH580">
        <v>1</v>
      </c>
      <c r="AI580">
        <v>0</v>
      </c>
      <c r="AJ580">
        <v>0.6470588235294118</v>
      </c>
      <c r="AK580">
        <v>0.35294117647058826</v>
      </c>
      <c r="AL580">
        <v>0.23529411764705882</v>
      </c>
      <c r="AM580">
        <v>5.8823529411764705E-2</v>
      </c>
      <c r="AN580">
        <v>0</v>
      </c>
    </row>
    <row r="581" spans="1:40" x14ac:dyDescent="0.25">
      <c r="A581">
        <v>2024</v>
      </c>
      <c r="B581" t="s">
        <v>19</v>
      </c>
      <c r="C581" t="str">
        <f>IF(COUNTIF('Rookies 22-25'!$B$126:$B$197,E581)&gt;0,"(R)","No")</f>
        <v>No</v>
      </c>
      <c r="D581">
        <v>5</v>
      </c>
      <c r="E581" t="s">
        <v>25</v>
      </c>
      <c r="F581" t="s">
        <v>26</v>
      </c>
      <c r="G581">
        <f>VLOOKUP(E581,'24 Draft ADP'!$B$3:$D$436,3,FALSE)</f>
        <v>40</v>
      </c>
      <c r="H581">
        <v>16</v>
      </c>
      <c r="I581">
        <v>6.4</v>
      </c>
      <c r="J581">
        <v>1.6</v>
      </c>
      <c r="K581">
        <v>7</v>
      </c>
      <c r="L581">
        <v>15.9</v>
      </c>
      <c r="M581">
        <v>16</v>
      </c>
      <c r="N581" t="s">
        <v>22</v>
      </c>
      <c r="O581">
        <v>5.7</v>
      </c>
      <c r="P581">
        <v>25</v>
      </c>
      <c r="Q581">
        <v>22</v>
      </c>
      <c r="R581">
        <v>20.399999999999999</v>
      </c>
      <c r="S581">
        <v>2.8</v>
      </c>
      <c r="T581">
        <v>12.2</v>
      </c>
      <c r="U581">
        <v>13.8</v>
      </c>
      <c r="V581">
        <v>9.5</v>
      </c>
      <c r="W581">
        <v>6.7</v>
      </c>
      <c r="X581">
        <v>8</v>
      </c>
      <c r="Y581">
        <v>22.4</v>
      </c>
      <c r="Z581">
        <v>0</v>
      </c>
      <c r="AA581">
        <v>12.2</v>
      </c>
      <c r="AB581">
        <f t="shared" si="18"/>
        <v>195.4</v>
      </c>
      <c r="AC581">
        <v>195.4</v>
      </c>
      <c r="AD581">
        <v>4</v>
      </c>
      <c r="AE581">
        <f t="shared" si="19"/>
        <v>8</v>
      </c>
      <c r="AF581">
        <v>6</v>
      </c>
      <c r="AG581">
        <v>4</v>
      </c>
      <c r="AH581">
        <v>0</v>
      </c>
      <c r="AI581">
        <v>0</v>
      </c>
      <c r="AJ581">
        <v>0.47058823529411764</v>
      </c>
      <c r="AK581">
        <v>0.375</v>
      </c>
      <c r="AL581">
        <v>0.25</v>
      </c>
      <c r="AM581">
        <v>0</v>
      </c>
      <c r="AN581">
        <v>0</v>
      </c>
    </row>
    <row r="582" spans="1:40" x14ac:dyDescent="0.25">
      <c r="A582">
        <v>2024</v>
      </c>
      <c r="B582" t="s">
        <v>19</v>
      </c>
      <c r="C582" t="str">
        <f>IF(COUNTIF('Rookies 22-25'!$B$126:$B$197,E582)&gt;0,"(R)","No")</f>
        <v>No</v>
      </c>
      <c r="D582">
        <v>6</v>
      </c>
      <c r="E582" t="s">
        <v>52</v>
      </c>
      <c r="F582" t="s">
        <v>53</v>
      </c>
      <c r="G582">
        <f>VLOOKUP(E582,'24 Draft ADP'!$B$3:$D$436,3,FALSE)</f>
        <v>53</v>
      </c>
      <c r="H582">
        <v>17</v>
      </c>
      <c r="I582">
        <v>3.4</v>
      </c>
      <c r="J582">
        <v>9.1</v>
      </c>
      <c r="K582">
        <v>0</v>
      </c>
      <c r="L582">
        <v>0</v>
      </c>
      <c r="M582">
        <v>9.5</v>
      </c>
      <c r="N582">
        <v>15.6</v>
      </c>
      <c r="O582">
        <v>20.100000000000001</v>
      </c>
      <c r="P582">
        <v>14.6</v>
      </c>
      <c r="Q582">
        <v>4.5999999999999996</v>
      </c>
      <c r="R582">
        <v>18.8</v>
      </c>
      <c r="S582">
        <v>4.2</v>
      </c>
      <c r="T582">
        <v>15.6</v>
      </c>
      <c r="U582">
        <v>18.899999999999999</v>
      </c>
      <c r="V582" t="s">
        <v>22</v>
      </c>
      <c r="W582">
        <v>10.4</v>
      </c>
      <c r="X582">
        <v>13.8</v>
      </c>
      <c r="Y582">
        <v>14.8</v>
      </c>
      <c r="Z582">
        <v>15.4</v>
      </c>
      <c r="AA582">
        <v>11.1</v>
      </c>
      <c r="AB582">
        <f t="shared" si="18"/>
        <v>173.4</v>
      </c>
      <c r="AC582">
        <v>188.8</v>
      </c>
      <c r="AD582">
        <v>5</v>
      </c>
      <c r="AE582">
        <f t="shared" si="19"/>
        <v>9</v>
      </c>
      <c r="AF582">
        <v>6</v>
      </c>
      <c r="AG582">
        <v>1</v>
      </c>
      <c r="AH582">
        <v>0</v>
      </c>
      <c r="AI582">
        <v>0</v>
      </c>
      <c r="AJ582">
        <v>0.58823529411764708</v>
      </c>
      <c r="AK582">
        <v>0.35294117647058826</v>
      </c>
      <c r="AL582">
        <v>5.8823529411764705E-2</v>
      </c>
      <c r="AM582">
        <v>0</v>
      </c>
      <c r="AN582">
        <v>0</v>
      </c>
    </row>
    <row r="583" spans="1:40" x14ac:dyDescent="0.25">
      <c r="A583">
        <v>2024</v>
      </c>
      <c r="B583" t="s">
        <v>19</v>
      </c>
      <c r="C583" t="str">
        <f>IF(COUNTIF('Rookies 22-25'!$B$126:$B$197,E583)&gt;0,"(R)","No")</f>
        <v>No</v>
      </c>
      <c r="D583">
        <v>7</v>
      </c>
      <c r="E583" t="s">
        <v>58</v>
      </c>
      <c r="F583" t="s">
        <v>59</v>
      </c>
      <c r="G583">
        <f>VLOOKUP(E583,'24 Draft ADP'!$B$3:$D$436,3,FALSE)</f>
        <v>222</v>
      </c>
      <c r="H583">
        <v>17</v>
      </c>
      <c r="I583">
        <v>5.8</v>
      </c>
      <c r="J583">
        <v>10.199999999999999</v>
      </c>
      <c r="K583">
        <v>8.8000000000000007</v>
      </c>
      <c r="L583">
        <v>7.2</v>
      </c>
      <c r="M583">
        <v>3</v>
      </c>
      <c r="N583">
        <v>10.8</v>
      </c>
      <c r="O583">
        <v>14</v>
      </c>
      <c r="P583">
        <v>14.7</v>
      </c>
      <c r="Q583">
        <v>1.5</v>
      </c>
      <c r="R583">
        <v>7.1</v>
      </c>
      <c r="S583">
        <v>18.7</v>
      </c>
      <c r="T583">
        <v>15.8</v>
      </c>
      <c r="U583">
        <v>12.5</v>
      </c>
      <c r="V583" t="s">
        <v>22</v>
      </c>
      <c r="W583">
        <v>4.5</v>
      </c>
      <c r="X583">
        <v>2.2000000000000002</v>
      </c>
      <c r="Y583">
        <v>25.2</v>
      </c>
      <c r="Z583">
        <v>15.4</v>
      </c>
      <c r="AA583">
        <v>10.4</v>
      </c>
      <c r="AB583">
        <f t="shared" si="18"/>
        <v>162</v>
      </c>
      <c r="AC583">
        <v>177.4</v>
      </c>
      <c r="AD583">
        <v>19</v>
      </c>
      <c r="AE583">
        <f t="shared" si="19"/>
        <v>8</v>
      </c>
      <c r="AF583">
        <v>4</v>
      </c>
      <c r="AG583">
        <v>1</v>
      </c>
      <c r="AH583">
        <v>1</v>
      </c>
      <c r="AI583">
        <v>0</v>
      </c>
      <c r="AJ583">
        <v>0.52941176470588236</v>
      </c>
      <c r="AK583">
        <v>0.23529411764705882</v>
      </c>
      <c r="AL583">
        <v>5.8823529411764705E-2</v>
      </c>
      <c r="AM583">
        <v>5.8823529411764705E-2</v>
      </c>
      <c r="AN583">
        <v>0</v>
      </c>
    </row>
    <row r="584" spans="1:40" x14ac:dyDescent="0.25">
      <c r="A584">
        <v>2024</v>
      </c>
      <c r="B584" t="s">
        <v>19</v>
      </c>
      <c r="C584" t="str">
        <f>IF(COUNTIF('Rookies 22-25'!$B$126:$B$197,E584)&gt;0,"(R)","No")</f>
        <v>No</v>
      </c>
      <c r="D584">
        <v>8</v>
      </c>
      <c r="E584" t="s">
        <v>74</v>
      </c>
      <c r="F584" t="s">
        <v>75</v>
      </c>
      <c r="G584">
        <f>VLOOKUP(E584,'24 Draft ADP'!$B$3:$D$436,3,FALSE)</f>
        <v>36</v>
      </c>
      <c r="H584">
        <v>16</v>
      </c>
      <c r="I584">
        <v>8.5</v>
      </c>
      <c r="J584">
        <v>3.3</v>
      </c>
      <c r="K584">
        <v>5.6</v>
      </c>
      <c r="L584">
        <v>9.3000000000000007</v>
      </c>
      <c r="M584" t="s">
        <v>22</v>
      </c>
      <c r="N584">
        <v>12.2</v>
      </c>
      <c r="O584">
        <v>3.5</v>
      </c>
      <c r="P584">
        <v>16.8</v>
      </c>
      <c r="Q584">
        <v>4.8</v>
      </c>
      <c r="R584">
        <v>15.6</v>
      </c>
      <c r="S584" t="s">
        <v>33</v>
      </c>
      <c r="T584">
        <v>4.9000000000000004</v>
      </c>
      <c r="U584">
        <v>15.6</v>
      </c>
      <c r="V584">
        <v>10.4</v>
      </c>
      <c r="W584">
        <v>18.100000000000001</v>
      </c>
      <c r="X584">
        <v>14.3</v>
      </c>
      <c r="Y584">
        <v>18.399999999999999</v>
      </c>
      <c r="Z584">
        <v>13.3</v>
      </c>
      <c r="AA584">
        <v>10.9</v>
      </c>
      <c r="AB584">
        <f t="shared" si="18"/>
        <v>161.29999999999998</v>
      </c>
      <c r="AC584">
        <v>174.6</v>
      </c>
      <c r="AD584">
        <v>3</v>
      </c>
      <c r="AE584">
        <f t="shared" si="19"/>
        <v>8</v>
      </c>
      <c r="AF584">
        <v>5</v>
      </c>
      <c r="AG584">
        <v>0</v>
      </c>
      <c r="AH584">
        <v>0</v>
      </c>
      <c r="AI584">
        <v>0</v>
      </c>
      <c r="AJ584">
        <v>0.52941176470588236</v>
      </c>
      <c r="AK584">
        <v>0.3125</v>
      </c>
      <c r="AL584">
        <v>0</v>
      </c>
      <c r="AM584">
        <v>0</v>
      </c>
      <c r="AN584">
        <v>0</v>
      </c>
    </row>
    <row r="585" spans="1:40" x14ac:dyDescent="0.25">
      <c r="A585">
        <v>2024</v>
      </c>
      <c r="B585" t="s">
        <v>19</v>
      </c>
      <c r="C585" t="str">
        <f>IF(COUNTIF('Rookies 22-25'!$B$126:$B$197,E585)&gt;0,"(R)","No")</f>
        <v>No</v>
      </c>
      <c r="D585">
        <v>9</v>
      </c>
      <c r="E585" t="s">
        <v>70</v>
      </c>
      <c r="F585" t="s">
        <v>71</v>
      </c>
      <c r="G585">
        <f>VLOOKUP(E585,'24 Draft ADP'!$B$3:$D$436,3,FALSE)</f>
        <v>134</v>
      </c>
      <c r="H585">
        <v>17</v>
      </c>
      <c r="I585">
        <v>6.7</v>
      </c>
      <c r="J585">
        <v>7.9</v>
      </c>
      <c r="K585">
        <v>7.3</v>
      </c>
      <c r="L585">
        <v>16.7</v>
      </c>
      <c r="M585">
        <v>9.1999999999999993</v>
      </c>
      <c r="N585">
        <v>3.6</v>
      </c>
      <c r="O585">
        <v>7.1</v>
      </c>
      <c r="P585">
        <v>3.9</v>
      </c>
      <c r="Q585" t="s">
        <v>22</v>
      </c>
      <c r="R585">
        <v>10.7</v>
      </c>
      <c r="S585">
        <v>3.4</v>
      </c>
      <c r="T585">
        <v>9.9</v>
      </c>
      <c r="U585">
        <v>18.8</v>
      </c>
      <c r="V585">
        <v>13.8</v>
      </c>
      <c r="W585">
        <v>11.2</v>
      </c>
      <c r="X585">
        <v>4.5999999999999996</v>
      </c>
      <c r="Y585">
        <v>11</v>
      </c>
      <c r="Z585">
        <v>22.5</v>
      </c>
      <c r="AA585">
        <v>9.9</v>
      </c>
      <c r="AB585">
        <f t="shared" si="18"/>
        <v>145.80000000000001</v>
      </c>
      <c r="AC585">
        <v>168.3</v>
      </c>
      <c r="AD585">
        <v>12</v>
      </c>
      <c r="AE585">
        <f t="shared" si="19"/>
        <v>6</v>
      </c>
      <c r="AF585">
        <v>3</v>
      </c>
      <c r="AG585">
        <v>1</v>
      </c>
      <c r="AH585">
        <v>0</v>
      </c>
      <c r="AI585">
        <v>0</v>
      </c>
      <c r="AJ585">
        <v>0.41176470588235292</v>
      </c>
      <c r="AK585">
        <v>0.17647058823529413</v>
      </c>
      <c r="AL585">
        <v>5.8823529411764705E-2</v>
      </c>
      <c r="AM585">
        <v>0</v>
      </c>
      <c r="AN585">
        <v>0</v>
      </c>
    </row>
    <row r="586" spans="1:40" x14ac:dyDescent="0.25">
      <c r="A586">
        <v>2024</v>
      </c>
      <c r="B586" t="s">
        <v>19</v>
      </c>
      <c r="C586" t="str">
        <f>IF(COUNTIF('Rookies 22-25'!$B$126:$B$197,E586)&gt;0,"(R)","No")</f>
        <v>No</v>
      </c>
      <c r="D586">
        <v>10</v>
      </c>
      <c r="E586" t="s">
        <v>68</v>
      </c>
      <c r="F586" t="s">
        <v>69</v>
      </c>
      <c r="G586">
        <f>VLOOKUP(E586,'24 Draft ADP'!$B$3:$D$436,3,FALSE)</f>
        <v>226</v>
      </c>
      <c r="H586">
        <v>17</v>
      </c>
      <c r="I586">
        <v>5.7</v>
      </c>
      <c r="J586">
        <v>3.6</v>
      </c>
      <c r="K586">
        <v>4.4000000000000004</v>
      </c>
      <c r="L586">
        <v>17.3</v>
      </c>
      <c r="M586">
        <v>24.8</v>
      </c>
      <c r="N586">
        <v>3.5</v>
      </c>
      <c r="O586">
        <v>12.3</v>
      </c>
      <c r="P586">
        <v>16.8</v>
      </c>
      <c r="Q586">
        <v>7.6</v>
      </c>
      <c r="R586" t="s">
        <v>22</v>
      </c>
      <c r="S586">
        <v>0</v>
      </c>
      <c r="T586">
        <v>10.6</v>
      </c>
      <c r="U586">
        <v>13.8</v>
      </c>
      <c r="V586">
        <v>13.1</v>
      </c>
      <c r="W586">
        <v>5.4</v>
      </c>
      <c r="X586">
        <v>9.5</v>
      </c>
      <c r="Y586">
        <v>7.3</v>
      </c>
      <c r="Z586">
        <v>7.6</v>
      </c>
      <c r="AA586">
        <v>9.6</v>
      </c>
      <c r="AB586">
        <f t="shared" si="18"/>
        <v>155.70000000000002</v>
      </c>
      <c r="AC586">
        <v>163.30000000000001</v>
      </c>
      <c r="AD586">
        <v>20</v>
      </c>
      <c r="AE586">
        <f t="shared" si="19"/>
        <v>7</v>
      </c>
      <c r="AF586">
        <v>3</v>
      </c>
      <c r="AG586">
        <v>1</v>
      </c>
      <c r="AH586">
        <v>0</v>
      </c>
      <c r="AI586">
        <v>0</v>
      </c>
      <c r="AJ586">
        <v>0.41176470588235292</v>
      </c>
      <c r="AK586">
        <v>0.17647058823529413</v>
      </c>
      <c r="AL586">
        <v>5.8823529411764705E-2</v>
      </c>
      <c r="AM586">
        <v>0</v>
      </c>
      <c r="AN586">
        <v>0</v>
      </c>
    </row>
    <row r="587" spans="1:40" x14ac:dyDescent="0.25">
      <c r="A587">
        <v>2024</v>
      </c>
      <c r="B587" t="s">
        <v>19</v>
      </c>
      <c r="C587" t="str">
        <f>IF(COUNTIF('Rookies 22-25'!$B$126:$B$197,E587)&gt;0,"(R)","No")</f>
        <v>No</v>
      </c>
      <c r="D587">
        <v>11</v>
      </c>
      <c r="E587" t="s">
        <v>85</v>
      </c>
      <c r="F587" t="s">
        <v>32</v>
      </c>
      <c r="G587">
        <f>VLOOKUP(E587,'24 Draft ADP'!$B$3:$D$436,3,FALSE)</f>
        <v>98</v>
      </c>
      <c r="H587">
        <v>11</v>
      </c>
      <c r="I587">
        <v>8.4</v>
      </c>
      <c r="J587" t="s">
        <v>33</v>
      </c>
      <c r="K587" t="s">
        <v>33</v>
      </c>
      <c r="L587" t="s">
        <v>33</v>
      </c>
      <c r="M587">
        <v>2.4</v>
      </c>
      <c r="N587">
        <v>8.1</v>
      </c>
      <c r="O587">
        <v>23.6</v>
      </c>
      <c r="P587">
        <v>17.100000000000001</v>
      </c>
      <c r="Q587">
        <v>7.9</v>
      </c>
      <c r="R587" t="s">
        <v>22</v>
      </c>
      <c r="S587">
        <v>19.100000000000001</v>
      </c>
      <c r="T587">
        <v>3.9</v>
      </c>
      <c r="U587">
        <v>26.2</v>
      </c>
      <c r="V587">
        <v>17.2</v>
      </c>
      <c r="W587" t="s">
        <v>33</v>
      </c>
      <c r="X587">
        <v>14.6</v>
      </c>
      <c r="Y587" t="s">
        <v>33</v>
      </c>
      <c r="Z587">
        <v>0</v>
      </c>
      <c r="AA587">
        <v>13.5</v>
      </c>
      <c r="AB587">
        <f t="shared" si="18"/>
        <v>148.5</v>
      </c>
      <c r="AC587">
        <v>148.5</v>
      </c>
      <c r="AD587">
        <v>9</v>
      </c>
      <c r="AE587">
        <f t="shared" si="19"/>
        <v>6</v>
      </c>
      <c r="AF587">
        <v>5</v>
      </c>
      <c r="AG587">
        <v>2</v>
      </c>
      <c r="AH587">
        <v>1</v>
      </c>
      <c r="AI587">
        <v>0</v>
      </c>
      <c r="AJ587">
        <v>0.35294117647058826</v>
      </c>
      <c r="AK587">
        <v>0.45454545454545453</v>
      </c>
      <c r="AL587">
        <v>0.18181818181818182</v>
      </c>
      <c r="AM587">
        <v>9.0909090909090912E-2</v>
      </c>
      <c r="AN587">
        <v>0</v>
      </c>
    </row>
    <row r="588" spans="1:40" x14ac:dyDescent="0.25">
      <c r="A588">
        <v>2024</v>
      </c>
      <c r="B588" t="s">
        <v>19</v>
      </c>
      <c r="C588" t="str">
        <f>IF(COUNTIF('Rookies 22-25'!$B$126:$B$197,E588)&gt;0,"(R)","No")</f>
        <v>No</v>
      </c>
      <c r="D588">
        <v>12</v>
      </c>
      <c r="E588" t="s">
        <v>38</v>
      </c>
      <c r="F588" t="s">
        <v>39</v>
      </c>
      <c r="G588">
        <f>VLOOKUP(E588,'24 Draft ADP'!$B$3:$D$436,3,FALSE)</f>
        <v>169</v>
      </c>
      <c r="H588">
        <v>16</v>
      </c>
      <c r="I588">
        <v>3.8</v>
      </c>
      <c r="J588">
        <v>18.899999999999999</v>
      </c>
      <c r="K588">
        <v>2.9</v>
      </c>
      <c r="L588">
        <v>3.2</v>
      </c>
      <c r="M588">
        <v>5.2</v>
      </c>
      <c r="N588">
        <v>13.1</v>
      </c>
      <c r="O588">
        <v>17.2</v>
      </c>
      <c r="P588">
        <v>9.5</v>
      </c>
      <c r="Q588">
        <v>12.6</v>
      </c>
      <c r="R588">
        <v>2.4</v>
      </c>
      <c r="S588">
        <v>12.3</v>
      </c>
      <c r="T588">
        <v>9.4</v>
      </c>
      <c r="U588">
        <v>14.5</v>
      </c>
      <c r="V588" t="s">
        <v>22</v>
      </c>
      <c r="W588">
        <v>6.5</v>
      </c>
      <c r="X588">
        <v>13.9</v>
      </c>
      <c r="Y588">
        <v>0</v>
      </c>
      <c r="Z588">
        <v>0</v>
      </c>
      <c r="AA588">
        <v>9.1</v>
      </c>
      <c r="AB588">
        <f t="shared" si="18"/>
        <v>145.4</v>
      </c>
      <c r="AC588">
        <v>145.4</v>
      </c>
      <c r="AD588">
        <v>15</v>
      </c>
      <c r="AE588">
        <f t="shared" si="19"/>
        <v>7</v>
      </c>
      <c r="AF588">
        <v>2</v>
      </c>
      <c r="AG588">
        <v>0</v>
      </c>
      <c r="AH588">
        <v>0</v>
      </c>
      <c r="AI588">
        <v>0</v>
      </c>
      <c r="AJ588">
        <v>0.41176470588235292</v>
      </c>
      <c r="AK588">
        <v>0.125</v>
      </c>
      <c r="AL588">
        <v>0</v>
      </c>
      <c r="AM588">
        <v>0</v>
      </c>
      <c r="AN588">
        <v>0</v>
      </c>
    </row>
    <row r="589" spans="1:40" x14ac:dyDescent="0.25">
      <c r="A589">
        <v>2024</v>
      </c>
      <c r="B589" t="s">
        <v>19</v>
      </c>
      <c r="C589" t="str">
        <f>IF(COUNTIF('Rookies 22-25'!$B$126:$B$197,E589)&gt;0,"(R)","No")</f>
        <v>No</v>
      </c>
      <c r="D589">
        <v>13</v>
      </c>
      <c r="E589" t="s">
        <v>93</v>
      </c>
      <c r="F589" t="s">
        <v>89</v>
      </c>
      <c r="G589">
        <f>VLOOKUP(E589,'24 Draft ADP'!$B$3:$D$436,3,FALSE)</f>
        <v>213</v>
      </c>
      <c r="H589">
        <v>17</v>
      </c>
      <c r="I589">
        <v>4.8</v>
      </c>
      <c r="J589">
        <v>16.100000000000001</v>
      </c>
      <c r="K589">
        <v>8.6999999999999993</v>
      </c>
      <c r="L589">
        <v>0.1</v>
      </c>
      <c r="M589">
        <v>5.0999999999999996</v>
      </c>
      <c r="N589">
        <v>0</v>
      </c>
      <c r="O589">
        <v>1.2</v>
      </c>
      <c r="P589">
        <v>12.3</v>
      </c>
      <c r="Q589">
        <v>27</v>
      </c>
      <c r="R589">
        <v>7</v>
      </c>
      <c r="S589">
        <v>0</v>
      </c>
      <c r="T589" t="s">
        <v>22</v>
      </c>
      <c r="U589">
        <v>10.3</v>
      </c>
      <c r="V589">
        <v>5.4</v>
      </c>
      <c r="W589">
        <v>6.7</v>
      </c>
      <c r="X589">
        <v>3.4</v>
      </c>
      <c r="Y589">
        <v>18.600000000000001</v>
      </c>
      <c r="Z589">
        <v>14.8</v>
      </c>
      <c r="AA589">
        <v>8.3000000000000007</v>
      </c>
      <c r="AB589">
        <f t="shared" si="18"/>
        <v>126.7</v>
      </c>
      <c r="AC589">
        <v>141.5</v>
      </c>
      <c r="AD589">
        <v>18</v>
      </c>
      <c r="AE589">
        <f t="shared" si="19"/>
        <v>5</v>
      </c>
      <c r="AF589">
        <v>3</v>
      </c>
      <c r="AG589">
        <v>1</v>
      </c>
      <c r="AH589">
        <v>1</v>
      </c>
      <c r="AI589">
        <v>0</v>
      </c>
      <c r="AJ589">
        <v>0.35294117647058826</v>
      </c>
      <c r="AK589">
        <v>0.17647058823529413</v>
      </c>
      <c r="AL589">
        <v>5.8823529411764705E-2</v>
      </c>
      <c r="AM589">
        <v>5.8823529411764705E-2</v>
      </c>
      <c r="AN589">
        <v>0</v>
      </c>
    </row>
    <row r="590" spans="1:40" x14ac:dyDescent="0.25">
      <c r="A590">
        <v>2024</v>
      </c>
      <c r="B590" t="s">
        <v>19</v>
      </c>
      <c r="C590" t="str">
        <f>IF(COUNTIF('Rookies 22-25'!$B$126:$B$197,E590)&gt;0,"(R)","No")</f>
        <v>No</v>
      </c>
      <c r="D590">
        <v>14</v>
      </c>
      <c r="E590" t="s">
        <v>64</v>
      </c>
      <c r="F590" t="s">
        <v>65</v>
      </c>
      <c r="G590">
        <f>VLOOKUP(E590,'24 Draft ADP'!$B$3:$D$436,3,FALSE)</f>
        <v>176</v>
      </c>
      <c r="H590">
        <v>14</v>
      </c>
      <c r="I590">
        <v>1.5</v>
      </c>
      <c r="J590">
        <v>-0.4</v>
      </c>
      <c r="K590">
        <v>9.6999999999999993</v>
      </c>
      <c r="L590">
        <v>11.2</v>
      </c>
      <c r="M590">
        <v>7.4</v>
      </c>
      <c r="N590">
        <v>9.5</v>
      </c>
      <c r="O590">
        <v>18</v>
      </c>
      <c r="P590">
        <v>29.1</v>
      </c>
      <c r="Q590">
        <v>21.7</v>
      </c>
      <c r="R590">
        <v>8.5</v>
      </c>
      <c r="S590" t="s">
        <v>22</v>
      </c>
      <c r="T590">
        <v>4</v>
      </c>
      <c r="U590">
        <v>6</v>
      </c>
      <c r="V590">
        <v>10</v>
      </c>
      <c r="W590">
        <v>4.4000000000000004</v>
      </c>
      <c r="X590" t="s">
        <v>33</v>
      </c>
      <c r="Y590" t="s">
        <v>33</v>
      </c>
      <c r="Z590">
        <v>0</v>
      </c>
      <c r="AA590">
        <v>10</v>
      </c>
      <c r="AB590">
        <f t="shared" si="18"/>
        <v>140.6</v>
      </c>
      <c r="AC590">
        <v>140.6</v>
      </c>
      <c r="AD590">
        <v>15</v>
      </c>
      <c r="AE590">
        <f t="shared" si="19"/>
        <v>4</v>
      </c>
      <c r="AF590">
        <v>3</v>
      </c>
      <c r="AG590">
        <v>2</v>
      </c>
      <c r="AH590">
        <v>1</v>
      </c>
      <c r="AI590">
        <v>0</v>
      </c>
      <c r="AJ590">
        <v>0.23529411764705882</v>
      </c>
      <c r="AK590">
        <v>0.21428571428571427</v>
      </c>
      <c r="AL590">
        <v>0.14285714285714285</v>
      </c>
      <c r="AM590">
        <v>7.1428571428571425E-2</v>
      </c>
      <c r="AN590">
        <v>0</v>
      </c>
    </row>
    <row r="591" spans="1:40" x14ac:dyDescent="0.25">
      <c r="A591">
        <v>2024</v>
      </c>
      <c r="B591" t="s">
        <v>19</v>
      </c>
      <c r="C591" t="str">
        <f>IF(COUNTIF('Rookies 22-25'!$B$126:$B$197,E591)&gt;0,"(R)","No")</f>
        <v>No</v>
      </c>
      <c r="D591">
        <v>15</v>
      </c>
      <c r="E591" t="s">
        <v>23</v>
      </c>
      <c r="F591" t="s">
        <v>24</v>
      </c>
      <c r="G591">
        <f>VLOOKUP(E591,'24 Draft ADP'!$B$3:$D$436,3,FALSE)</f>
        <v>61</v>
      </c>
      <c r="H591">
        <v>17</v>
      </c>
      <c r="I591">
        <v>11.6</v>
      </c>
      <c r="J591">
        <v>5</v>
      </c>
      <c r="K591">
        <v>7.9</v>
      </c>
      <c r="L591">
        <v>0</v>
      </c>
      <c r="M591">
        <v>15.8</v>
      </c>
      <c r="N591">
        <v>10</v>
      </c>
      <c r="O591">
        <v>13.5</v>
      </c>
      <c r="P591">
        <v>25.1</v>
      </c>
      <c r="Q591">
        <v>2.1</v>
      </c>
      <c r="R591">
        <v>9.5</v>
      </c>
      <c r="S591">
        <v>1.9</v>
      </c>
      <c r="T591" t="s">
        <v>22</v>
      </c>
      <c r="U591">
        <v>0</v>
      </c>
      <c r="V591">
        <v>2.4</v>
      </c>
      <c r="W591">
        <v>6.8</v>
      </c>
      <c r="X591">
        <v>1.7</v>
      </c>
      <c r="Y591">
        <v>14.4</v>
      </c>
      <c r="Z591">
        <v>3.5</v>
      </c>
      <c r="AA591">
        <v>7.7</v>
      </c>
      <c r="AB591">
        <f t="shared" si="18"/>
        <v>127.69999999999999</v>
      </c>
      <c r="AC591">
        <v>131.19999999999999</v>
      </c>
      <c r="AD591">
        <v>6</v>
      </c>
      <c r="AE591">
        <f t="shared" si="19"/>
        <v>5</v>
      </c>
      <c r="AF591">
        <v>2</v>
      </c>
      <c r="AG591">
        <v>1</v>
      </c>
      <c r="AH591">
        <v>1</v>
      </c>
      <c r="AI591">
        <v>0</v>
      </c>
      <c r="AJ591">
        <v>0.29411764705882354</v>
      </c>
      <c r="AK591">
        <v>0.11764705882352941</v>
      </c>
      <c r="AL591">
        <v>5.8823529411764705E-2</v>
      </c>
      <c r="AM591">
        <v>5.8823529411764705E-2</v>
      </c>
      <c r="AN591">
        <v>0</v>
      </c>
    </row>
    <row r="592" spans="1:40" x14ac:dyDescent="0.25">
      <c r="A592">
        <v>2024</v>
      </c>
      <c r="B592" t="s">
        <v>19</v>
      </c>
      <c r="C592" t="str">
        <f>IF(COUNTIF('Rookies 22-25'!$B$126:$B$197,E592)&gt;0,"(R)","No")</f>
        <v>No</v>
      </c>
      <c r="D592">
        <v>16</v>
      </c>
      <c r="E592" t="s">
        <v>98</v>
      </c>
      <c r="F592" t="s">
        <v>53</v>
      </c>
      <c r="G592">
        <f>VLOOKUP(E592,'24 Draft ADP'!$B$3:$D$436,3,FALSE)</f>
        <v>170</v>
      </c>
      <c r="H592">
        <v>16</v>
      </c>
      <c r="I592">
        <v>26.1</v>
      </c>
      <c r="J592">
        <v>4.5999999999999996</v>
      </c>
      <c r="K592">
        <v>1.4</v>
      </c>
      <c r="L592">
        <v>3.6</v>
      </c>
      <c r="M592">
        <v>16.3</v>
      </c>
      <c r="N592">
        <v>4.7</v>
      </c>
      <c r="O592">
        <v>3.7</v>
      </c>
      <c r="P592">
        <v>8.6999999999999993</v>
      </c>
      <c r="Q592">
        <v>0</v>
      </c>
      <c r="R592" t="s">
        <v>33</v>
      </c>
      <c r="S592">
        <v>9.5</v>
      </c>
      <c r="T592">
        <v>0</v>
      </c>
      <c r="U592">
        <v>14.8</v>
      </c>
      <c r="V592" t="s">
        <v>22</v>
      </c>
      <c r="W592">
        <v>3.7</v>
      </c>
      <c r="X592">
        <v>11.9</v>
      </c>
      <c r="Y592">
        <v>7.9</v>
      </c>
      <c r="Z592">
        <v>6.8</v>
      </c>
      <c r="AA592">
        <v>7.7</v>
      </c>
      <c r="AB592">
        <f t="shared" si="18"/>
        <v>116.9</v>
      </c>
      <c r="AC592">
        <v>123.7</v>
      </c>
      <c r="AD592">
        <v>15</v>
      </c>
      <c r="AE592">
        <f t="shared" si="19"/>
        <v>4</v>
      </c>
      <c r="AF592">
        <v>2</v>
      </c>
      <c r="AG592">
        <v>1</v>
      </c>
      <c r="AH592">
        <v>1</v>
      </c>
      <c r="AI592">
        <v>0</v>
      </c>
      <c r="AJ592">
        <v>0.23529411764705882</v>
      </c>
      <c r="AK592">
        <v>0.125</v>
      </c>
      <c r="AL592">
        <v>6.25E-2</v>
      </c>
      <c r="AM592">
        <v>6.25E-2</v>
      </c>
      <c r="AN592">
        <v>0</v>
      </c>
    </row>
    <row r="593" spans="1:40" x14ac:dyDescent="0.25">
      <c r="A593">
        <v>2024</v>
      </c>
      <c r="B593" t="s">
        <v>19</v>
      </c>
      <c r="C593" t="str">
        <f>IF(COUNTIF('Rookies 22-25'!$B$126:$B$197,E593)&gt;0,"(R)","No")</f>
        <v>No</v>
      </c>
      <c r="D593">
        <v>17</v>
      </c>
      <c r="E593" t="s">
        <v>36</v>
      </c>
      <c r="F593" t="s">
        <v>37</v>
      </c>
      <c r="G593">
        <f>VLOOKUP(E593,'24 Draft ADP'!$B$3:$D$436,3,FALSE)</f>
        <v>192</v>
      </c>
      <c r="H593">
        <v>17</v>
      </c>
      <c r="I593">
        <v>10.6</v>
      </c>
      <c r="J593">
        <v>0</v>
      </c>
      <c r="K593">
        <v>0</v>
      </c>
      <c r="L593">
        <v>3.3</v>
      </c>
      <c r="M593">
        <v>8.1</v>
      </c>
      <c r="N593">
        <v>7.8</v>
      </c>
      <c r="O593">
        <v>4.8</v>
      </c>
      <c r="P593">
        <v>7.8</v>
      </c>
      <c r="Q593">
        <v>6.1</v>
      </c>
      <c r="R593">
        <v>4.2</v>
      </c>
      <c r="S593">
        <v>12</v>
      </c>
      <c r="T593" t="s">
        <v>22</v>
      </c>
      <c r="U593">
        <v>8.6</v>
      </c>
      <c r="V593">
        <v>15</v>
      </c>
      <c r="W593">
        <v>3.2</v>
      </c>
      <c r="X593">
        <v>4.7</v>
      </c>
      <c r="Y593">
        <v>12.6</v>
      </c>
      <c r="Z593">
        <v>14</v>
      </c>
      <c r="AA593">
        <v>7.2</v>
      </c>
      <c r="AB593">
        <f t="shared" si="18"/>
        <v>108.8</v>
      </c>
      <c r="AC593">
        <v>122.8</v>
      </c>
      <c r="AD593">
        <v>16</v>
      </c>
      <c r="AE593">
        <f t="shared" si="19"/>
        <v>4</v>
      </c>
      <c r="AF593">
        <v>0</v>
      </c>
      <c r="AG593">
        <v>0</v>
      </c>
      <c r="AH593">
        <v>0</v>
      </c>
      <c r="AI593">
        <v>0</v>
      </c>
      <c r="AJ593">
        <v>0.29411764705882354</v>
      </c>
      <c r="AK593">
        <v>0</v>
      </c>
      <c r="AL593">
        <v>0</v>
      </c>
      <c r="AM593">
        <v>0</v>
      </c>
      <c r="AN593">
        <v>0</v>
      </c>
    </row>
    <row r="594" spans="1:40" x14ac:dyDescent="0.25">
      <c r="A594">
        <v>2024</v>
      </c>
      <c r="B594" t="s">
        <v>19</v>
      </c>
      <c r="C594" t="str">
        <f>IF(COUNTIF('Rookies 22-25'!$B$126:$B$197,E594)&gt;0,"(R)","No")</f>
        <v>No</v>
      </c>
      <c r="D594">
        <v>18</v>
      </c>
      <c r="E594" t="s">
        <v>436</v>
      </c>
      <c r="F594" t="s">
        <v>82</v>
      </c>
      <c r="G594">
        <f>VLOOKUP(E594,'24 Draft ADP'!$B$3:$D$436,3,FALSE)</f>
        <v>166</v>
      </c>
      <c r="H594">
        <v>16</v>
      </c>
      <c r="I594">
        <v>1.6</v>
      </c>
      <c r="J594">
        <v>2</v>
      </c>
      <c r="K594">
        <v>14.3</v>
      </c>
      <c r="L594">
        <v>5.7</v>
      </c>
      <c r="M594">
        <v>11.5</v>
      </c>
      <c r="N594">
        <v>3</v>
      </c>
      <c r="O594">
        <v>10.7</v>
      </c>
      <c r="P594">
        <v>13.2</v>
      </c>
      <c r="Q594">
        <v>0.7</v>
      </c>
      <c r="R594">
        <v>1.8</v>
      </c>
      <c r="S594">
        <v>1.7</v>
      </c>
      <c r="T594" t="s">
        <v>22</v>
      </c>
      <c r="U594">
        <v>7.2</v>
      </c>
      <c r="V594">
        <v>6.3</v>
      </c>
      <c r="W594" t="s">
        <v>33</v>
      </c>
      <c r="X594">
        <v>10.9</v>
      </c>
      <c r="Y594">
        <v>21.7</v>
      </c>
      <c r="Z594">
        <v>9.6</v>
      </c>
      <c r="AA594">
        <v>7.6</v>
      </c>
      <c r="AB594">
        <f t="shared" si="18"/>
        <v>112.30000000000001</v>
      </c>
      <c r="AC594">
        <v>121.9</v>
      </c>
      <c r="AD594">
        <v>14</v>
      </c>
      <c r="AE594">
        <f t="shared" si="19"/>
        <v>6</v>
      </c>
      <c r="AF594">
        <v>1</v>
      </c>
      <c r="AG594">
        <v>1</v>
      </c>
      <c r="AH594">
        <v>0</v>
      </c>
      <c r="AI594">
        <v>0</v>
      </c>
      <c r="AJ594">
        <v>0.35294117647058826</v>
      </c>
      <c r="AK594">
        <v>6.25E-2</v>
      </c>
      <c r="AL594">
        <v>6.25E-2</v>
      </c>
      <c r="AM594">
        <v>0</v>
      </c>
      <c r="AN594">
        <v>0</v>
      </c>
    </row>
    <row r="595" spans="1:40" x14ac:dyDescent="0.25">
      <c r="A595">
        <v>2024</v>
      </c>
      <c r="B595" t="s">
        <v>19</v>
      </c>
      <c r="C595" t="str">
        <f>IF(COUNTIF('Rookies 22-25'!$B$126:$B$197,E595)&gt;0,"(R)","No")</f>
        <v>No</v>
      </c>
      <c r="D595">
        <v>19</v>
      </c>
      <c r="E595" t="s">
        <v>87</v>
      </c>
      <c r="F595" t="s">
        <v>45</v>
      </c>
      <c r="G595">
        <f>VLOOKUP(E595,'24 Draft ADP'!$B$3:$D$436,3,FALSE)</f>
        <v>146</v>
      </c>
      <c r="H595">
        <v>17</v>
      </c>
      <c r="I595">
        <v>1.4</v>
      </c>
      <c r="J595">
        <v>6.7</v>
      </c>
      <c r="K595">
        <v>25.7</v>
      </c>
      <c r="L595">
        <v>6.4</v>
      </c>
      <c r="M595">
        <v>8.6999999999999993</v>
      </c>
      <c r="N595">
        <v>24</v>
      </c>
      <c r="O595" t="s">
        <v>22</v>
      </c>
      <c r="P595">
        <v>4.4000000000000004</v>
      </c>
      <c r="Q595">
        <v>0</v>
      </c>
      <c r="R595">
        <v>3.3</v>
      </c>
      <c r="S595">
        <v>7.2</v>
      </c>
      <c r="T595">
        <v>13.4</v>
      </c>
      <c r="U595">
        <v>5.6</v>
      </c>
      <c r="V595">
        <v>0</v>
      </c>
      <c r="W595">
        <v>2.4</v>
      </c>
      <c r="X595">
        <v>8.9</v>
      </c>
      <c r="Y595">
        <v>0</v>
      </c>
      <c r="Z595">
        <v>2.2999999999999998</v>
      </c>
      <c r="AA595">
        <v>7.1</v>
      </c>
      <c r="AB595">
        <f t="shared" si="18"/>
        <v>118.10000000000001</v>
      </c>
      <c r="AC595">
        <v>120.4</v>
      </c>
      <c r="AD595">
        <v>13</v>
      </c>
      <c r="AE595">
        <f t="shared" si="19"/>
        <v>3</v>
      </c>
      <c r="AF595">
        <v>2</v>
      </c>
      <c r="AG595">
        <v>2</v>
      </c>
      <c r="AH595">
        <v>1</v>
      </c>
      <c r="AI595">
        <v>0</v>
      </c>
      <c r="AJ595">
        <v>0.17647058823529413</v>
      </c>
      <c r="AK595">
        <v>0.11764705882352941</v>
      </c>
      <c r="AL595">
        <v>0.11764705882352941</v>
      </c>
      <c r="AM595">
        <v>5.8823529411764705E-2</v>
      </c>
      <c r="AN595">
        <v>0</v>
      </c>
    </row>
    <row r="596" spans="1:40" x14ac:dyDescent="0.25">
      <c r="A596">
        <v>2024</v>
      </c>
      <c r="B596" t="s">
        <v>19</v>
      </c>
      <c r="C596" t="str">
        <f>IF(COUNTIF('Rookies 22-25'!$B$126:$B$197,E596)&gt;0,"(R)","No")</f>
        <v>No</v>
      </c>
      <c r="D596">
        <v>20</v>
      </c>
      <c r="E596" t="s">
        <v>40</v>
      </c>
      <c r="F596" t="s">
        <v>41</v>
      </c>
      <c r="G596">
        <f>VLOOKUP(E596,'24 Draft ADP'!$B$3:$D$436,3,FALSE)</f>
        <v>131</v>
      </c>
      <c r="H596">
        <v>17</v>
      </c>
      <c r="I596">
        <v>4.5999999999999996</v>
      </c>
      <c r="J596">
        <v>4.0999999999999996</v>
      </c>
      <c r="K596">
        <v>3.1</v>
      </c>
      <c r="L596">
        <v>6.4</v>
      </c>
      <c r="M596">
        <v>7.4</v>
      </c>
      <c r="N596">
        <v>6.7</v>
      </c>
      <c r="O596">
        <v>3.8</v>
      </c>
      <c r="P596">
        <v>9.1999999999999993</v>
      </c>
      <c r="Q596">
        <v>5.0999999999999996</v>
      </c>
      <c r="R596">
        <v>9.6</v>
      </c>
      <c r="S596">
        <v>8.3000000000000007</v>
      </c>
      <c r="T596">
        <v>4</v>
      </c>
      <c r="U596">
        <v>17.100000000000001</v>
      </c>
      <c r="V596" t="s">
        <v>22</v>
      </c>
      <c r="W596">
        <v>3.3</v>
      </c>
      <c r="X596">
        <v>15.5</v>
      </c>
      <c r="Y596">
        <v>4.0999999999999996</v>
      </c>
      <c r="Z596">
        <v>5.9</v>
      </c>
      <c r="AA596">
        <v>7</v>
      </c>
      <c r="AB596">
        <f t="shared" si="18"/>
        <v>112.3</v>
      </c>
      <c r="AC596">
        <v>118.2</v>
      </c>
      <c r="AD596">
        <v>11</v>
      </c>
      <c r="AE596">
        <f t="shared" si="19"/>
        <v>2</v>
      </c>
      <c r="AF596">
        <v>2</v>
      </c>
      <c r="AG596">
        <v>0</v>
      </c>
      <c r="AH596">
        <v>0</v>
      </c>
      <c r="AI596">
        <v>0</v>
      </c>
      <c r="AJ596">
        <v>0.11764705882352941</v>
      </c>
      <c r="AK596">
        <v>0.11764705882352941</v>
      </c>
      <c r="AL596">
        <v>0</v>
      </c>
      <c r="AM596">
        <v>0</v>
      </c>
      <c r="AN596">
        <v>0</v>
      </c>
    </row>
    <row r="597" spans="1:40" x14ac:dyDescent="0.25">
      <c r="A597">
        <v>2024</v>
      </c>
      <c r="B597" t="s">
        <v>19</v>
      </c>
      <c r="C597" t="str">
        <f>IF(COUNTIF('Rookies 22-25'!$B$126:$B$197,E597)&gt;0,"(R)","No")</f>
        <v>No</v>
      </c>
      <c r="D597">
        <v>21</v>
      </c>
      <c r="E597" t="s">
        <v>62</v>
      </c>
      <c r="F597" t="s">
        <v>63</v>
      </c>
      <c r="G597">
        <f>VLOOKUP(E597,'24 Draft ADP'!$B$3:$D$436,3,FALSE)</f>
        <v>195</v>
      </c>
      <c r="H597">
        <v>17</v>
      </c>
      <c r="I597">
        <v>9.5</v>
      </c>
      <c r="J597">
        <v>4.5999999999999996</v>
      </c>
      <c r="K597">
        <v>3.5</v>
      </c>
      <c r="L597">
        <v>1.5</v>
      </c>
      <c r="M597" t="s">
        <v>22</v>
      </c>
      <c r="N597">
        <v>3.6</v>
      </c>
      <c r="O597">
        <v>9</v>
      </c>
      <c r="P597">
        <v>1.4</v>
      </c>
      <c r="Q597">
        <v>6.8</v>
      </c>
      <c r="R597">
        <v>2.4</v>
      </c>
      <c r="S597">
        <v>3.9</v>
      </c>
      <c r="T597">
        <v>14</v>
      </c>
      <c r="U597">
        <v>5.7</v>
      </c>
      <c r="V597">
        <v>3.8</v>
      </c>
      <c r="W597">
        <v>13.9</v>
      </c>
      <c r="X597">
        <v>19.100000000000001</v>
      </c>
      <c r="Y597">
        <v>10.9</v>
      </c>
      <c r="Z597">
        <v>0</v>
      </c>
      <c r="AA597">
        <v>6.7</v>
      </c>
      <c r="AB597">
        <f t="shared" si="18"/>
        <v>113.6</v>
      </c>
      <c r="AC597">
        <v>113.6</v>
      </c>
      <c r="AD597">
        <v>17</v>
      </c>
      <c r="AE597">
        <f t="shared" si="19"/>
        <v>4</v>
      </c>
      <c r="AF597">
        <v>1</v>
      </c>
      <c r="AG597">
        <v>0</v>
      </c>
      <c r="AH597">
        <v>0</v>
      </c>
      <c r="AI597">
        <v>0</v>
      </c>
      <c r="AJ597">
        <v>0.23529411764705882</v>
      </c>
      <c r="AK597">
        <v>5.8823529411764705E-2</v>
      </c>
      <c r="AL597">
        <v>0</v>
      </c>
      <c r="AM597">
        <v>0</v>
      </c>
      <c r="AN597">
        <v>0</v>
      </c>
    </row>
    <row r="598" spans="1:40" x14ac:dyDescent="0.25">
      <c r="A598">
        <v>2024</v>
      </c>
      <c r="B598" t="s">
        <v>19</v>
      </c>
      <c r="C598" t="str">
        <f>IF(COUNTIF('Rookies 22-25'!$B$126:$B$197,E598)&gt;0,"(R)","No")</f>
        <v>No</v>
      </c>
      <c r="D598">
        <v>22</v>
      </c>
      <c r="E598" t="s">
        <v>437</v>
      </c>
      <c r="F598" t="s">
        <v>26</v>
      </c>
      <c r="G598">
        <f>VLOOKUP(E598,'24 Draft ADP'!$B$3:$D$436,3,FALSE)</f>
        <v>306</v>
      </c>
      <c r="H598">
        <v>17</v>
      </c>
      <c r="I598">
        <v>6.7</v>
      </c>
      <c r="J598">
        <v>0</v>
      </c>
      <c r="K598">
        <v>2.2999999999999998</v>
      </c>
      <c r="L598">
        <v>8</v>
      </c>
      <c r="M598">
        <v>4.9000000000000004</v>
      </c>
      <c r="N598" t="s">
        <v>22</v>
      </c>
      <c r="O598">
        <v>10.6</v>
      </c>
      <c r="P598">
        <v>5.3</v>
      </c>
      <c r="Q598">
        <v>0</v>
      </c>
      <c r="R598">
        <v>3.8</v>
      </c>
      <c r="S598">
        <v>18.3</v>
      </c>
      <c r="T598">
        <v>22.6</v>
      </c>
      <c r="U598">
        <v>9.8000000000000007</v>
      </c>
      <c r="V598">
        <v>6.6</v>
      </c>
      <c r="W598">
        <v>10.1</v>
      </c>
      <c r="X598">
        <v>2</v>
      </c>
      <c r="Y598">
        <v>1.6</v>
      </c>
      <c r="Z598">
        <v>0.7</v>
      </c>
      <c r="AA598">
        <v>6.7</v>
      </c>
      <c r="AB598">
        <f t="shared" si="18"/>
        <v>112.6</v>
      </c>
      <c r="AC598">
        <v>113.3</v>
      </c>
      <c r="AD598">
        <v>20</v>
      </c>
      <c r="AE598">
        <f t="shared" si="19"/>
        <v>4</v>
      </c>
      <c r="AF598">
        <v>2</v>
      </c>
      <c r="AG598">
        <v>1</v>
      </c>
      <c r="AH598">
        <v>0</v>
      </c>
      <c r="AI598">
        <v>0</v>
      </c>
      <c r="AJ598">
        <v>0.23529411764705882</v>
      </c>
      <c r="AK598">
        <v>0.11764705882352941</v>
      </c>
      <c r="AL598">
        <v>5.8823529411764705E-2</v>
      </c>
      <c r="AM598">
        <v>0</v>
      </c>
      <c r="AN598">
        <v>0</v>
      </c>
    </row>
    <row r="599" spans="1:40" x14ac:dyDescent="0.25">
      <c r="A599">
        <v>2024</v>
      </c>
      <c r="B599" t="s">
        <v>19</v>
      </c>
      <c r="C599" t="str">
        <f>IF(COUNTIF('Rookies 22-25'!$B$126:$B$197,E599)&gt;0,"(R)","No")</f>
        <v>No</v>
      </c>
      <c r="D599">
        <v>23</v>
      </c>
      <c r="E599" t="s">
        <v>438</v>
      </c>
      <c r="F599" t="s">
        <v>51</v>
      </c>
      <c r="G599">
        <f>VLOOKUP(E599,'24 Draft ADP'!$B$3:$D$436,3,FALSE)</f>
        <v>270</v>
      </c>
      <c r="H599">
        <v>15</v>
      </c>
      <c r="I599">
        <v>2.2999999999999998</v>
      </c>
      <c r="J599">
        <v>5.9</v>
      </c>
      <c r="K599">
        <v>4.9000000000000004</v>
      </c>
      <c r="L599">
        <v>4.4000000000000004</v>
      </c>
      <c r="M599" t="s">
        <v>22</v>
      </c>
      <c r="N599">
        <v>6.6</v>
      </c>
      <c r="O599">
        <v>16.100000000000001</v>
      </c>
      <c r="P599">
        <v>9.1</v>
      </c>
      <c r="Q599">
        <v>2.9</v>
      </c>
      <c r="R599">
        <v>8</v>
      </c>
      <c r="S599">
        <v>18</v>
      </c>
      <c r="T599">
        <v>8.6999999999999993</v>
      </c>
      <c r="U599">
        <v>0</v>
      </c>
      <c r="V599">
        <v>3.9</v>
      </c>
      <c r="W599" t="s">
        <v>33</v>
      </c>
      <c r="X599" t="s">
        <v>33</v>
      </c>
      <c r="Y599">
        <v>4.0999999999999996</v>
      </c>
      <c r="Z599">
        <v>15.2</v>
      </c>
      <c r="AA599">
        <v>7.3</v>
      </c>
      <c r="AB599">
        <f t="shared" si="18"/>
        <v>94.899999999999991</v>
      </c>
      <c r="AC599">
        <v>110.1</v>
      </c>
      <c r="AD599">
        <v>20</v>
      </c>
      <c r="AE599">
        <f t="shared" si="19"/>
        <v>2</v>
      </c>
      <c r="AF599">
        <v>3</v>
      </c>
      <c r="AG599">
        <v>0</v>
      </c>
      <c r="AH599">
        <v>0</v>
      </c>
      <c r="AI599">
        <v>0</v>
      </c>
      <c r="AJ599">
        <v>0.17647058823529413</v>
      </c>
      <c r="AK599">
        <v>0.2</v>
      </c>
      <c r="AL599">
        <v>0</v>
      </c>
      <c r="AM599">
        <v>0</v>
      </c>
      <c r="AN599">
        <v>0</v>
      </c>
    </row>
    <row r="600" spans="1:40" x14ac:dyDescent="0.25">
      <c r="A600">
        <v>2024</v>
      </c>
      <c r="B600" t="s">
        <v>19</v>
      </c>
      <c r="C600" t="str">
        <f>IF(COUNTIF('Rookies 22-25'!$B$126:$B$197,E600)&gt;0,"(R)","No")</f>
        <v>No</v>
      </c>
      <c r="D600">
        <v>24</v>
      </c>
      <c r="E600" t="s">
        <v>439</v>
      </c>
      <c r="F600" t="s">
        <v>39</v>
      </c>
      <c r="G600">
        <f>VLOOKUP(E600,'24 Draft ADP'!$B$3:$D$436,3,FALSE)</f>
        <v>398</v>
      </c>
      <c r="H600">
        <v>17</v>
      </c>
      <c r="I600">
        <v>5.0999999999999996</v>
      </c>
      <c r="J600">
        <v>1.5</v>
      </c>
      <c r="K600">
        <v>2.9</v>
      </c>
      <c r="L600">
        <v>9.3000000000000007</v>
      </c>
      <c r="M600">
        <v>1.9</v>
      </c>
      <c r="N600">
        <v>-0.5</v>
      </c>
      <c r="O600">
        <v>7.2</v>
      </c>
      <c r="P600">
        <v>4.5</v>
      </c>
      <c r="Q600">
        <v>1.8</v>
      </c>
      <c r="R600">
        <v>9.4</v>
      </c>
      <c r="S600">
        <v>7.5</v>
      </c>
      <c r="T600">
        <v>15.9</v>
      </c>
      <c r="U600">
        <v>14.2</v>
      </c>
      <c r="V600" t="s">
        <v>22</v>
      </c>
      <c r="W600">
        <v>6.8</v>
      </c>
      <c r="X600">
        <v>9.5</v>
      </c>
      <c r="Y600">
        <v>4.9000000000000004</v>
      </c>
      <c r="Z600">
        <v>6.7</v>
      </c>
      <c r="AA600">
        <v>6.4</v>
      </c>
      <c r="AB600">
        <f t="shared" si="18"/>
        <v>101.89999999999999</v>
      </c>
      <c r="AC600">
        <v>108.6</v>
      </c>
      <c r="AD600">
        <v>20</v>
      </c>
      <c r="AE600">
        <f t="shared" si="19"/>
        <v>2</v>
      </c>
      <c r="AF600">
        <v>1</v>
      </c>
      <c r="AG600">
        <v>0</v>
      </c>
      <c r="AH600">
        <v>0</v>
      </c>
      <c r="AI600">
        <v>0</v>
      </c>
      <c r="AJ600">
        <v>0.11764705882352941</v>
      </c>
      <c r="AK600">
        <v>5.8823529411764705E-2</v>
      </c>
      <c r="AL600">
        <v>0</v>
      </c>
      <c r="AM600">
        <v>0</v>
      </c>
      <c r="AN600">
        <v>0</v>
      </c>
    </row>
    <row r="601" spans="1:40" x14ac:dyDescent="0.25">
      <c r="A601">
        <v>2024</v>
      </c>
      <c r="B601" t="s">
        <v>19</v>
      </c>
      <c r="C601" t="str">
        <f>IF(COUNTIF('Rookies 22-25'!$B$126:$B$197,E601)&gt;0,"(R)","No")</f>
        <v>No</v>
      </c>
      <c r="D601">
        <v>25</v>
      </c>
      <c r="E601" t="s">
        <v>29</v>
      </c>
      <c r="F601" t="s">
        <v>30</v>
      </c>
      <c r="G601">
        <f>VLOOKUP(E601,'24 Draft ADP'!$B$3:$D$436,3,FALSE)</f>
        <v>86</v>
      </c>
      <c r="H601">
        <v>14</v>
      </c>
      <c r="I601">
        <v>4.5</v>
      </c>
      <c r="J601" t="s">
        <v>33</v>
      </c>
      <c r="K601">
        <v>15.5</v>
      </c>
      <c r="L601">
        <v>11.9</v>
      </c>
      <c r="M601">
        <v>13</v>
      </c>
      <c r="N601">
        <v>4.0999999999999996</v>
      </c>
      <c r="O601" t="s">
        <v>22</v>
      </c>
      <c r="P601">
        <v>8.3000000000000007</v>
      </c>
      <c r="Q601">
        <v>14.1</v>
      </c>
      <c r="R601">
        <v>4.4000000000000004</v>
      </c>
      <c r="S601">
        <v>2.1</v>
      </c>
      <c r="T601" t="s">
        <v>33</v>
      </c>
      <c r="U601" t="s">
        <v>33</v>
      </c>
      <c r="V601">
        <v>6.2</v>
      </c>
      <c r="W601">
        <v>4.3</v>
      </c>
      <c r="X601">
        <v>10</v>
      </c>
      <c r="Y601">
        <v>2.8</v>
      </c>
      <c r="Z601">
        <v>3.2</v>
      </c>
      <c r="AA601">
        <v>7.5</v>
      </c>
      <c r="AB601">
        <f t="shared" si="18"/>
        <v>101.2</v>
      </c>
      <c r="AC601">
        <v>104.4</v>
      </c>
      <c r="AD601">
        <v>8</v>
      </c>
      <c r="AE601">
        <f t="shared" si="19"/>
        <v>4</v>
      </c>
      <c r="AF601">
        <v>1</v>
      </c>
      <c r="AG601">
        <v>0</v>
      </c>
      <c r="AH601">
        <v>0</v>
      </c>
      <c r="AI601">
        <v>0</v>
      </c>
      <c r="AJ601">
        <v>0.23529411764705882</v>
      </c>
      <c r="AK601">
        <v>7.1428571428571425E-2</v>
      </c>
      <c r="AL601">
        <v>0</v>
      </c>
      <c r="AM601">
        <v>0</v>
      </c>
      <c r="AN601">
        <v>0</v>
      </c>
    </row>
    <row r="602" spans="1:40" x14ac:dyDescent="0.25">
      <c r="A602">
        <v>2024</v>
      </c>
      <c r="B602" t="s">
        <v>19</v>
      </c>
      <c r="C602" t="str">
        <f>IF(COUNTIF('Rookies 22-25'!$B$126:$B$197,E602)&gt;0,"(R)","No")</f>
        <v>No</v>
      </c>
      <c r="D602">
        <v>26</v>
      </c>
      <c r="E602" t="s">
        <v>88</v>
      </c>
      <c r="F602" t="s">
        <v>49</v>
      </c>
      <c r="G602">
        <f>VLOOKUP(E602,'24 Draft ADP'!$B$3:$D$436,3,FALSE)</f>
        <v>183</v>
      </c>
      <c r="H602">
        <v>14</v>
      </c>
      <c r="I602">
        <v>3.1</v>
      </c>
      <c r="J602">
        <v>2.4</v>
      </c>
      <c r="K602">
        <v>12</v>
      </c>
      <c r="L602">
        <v>4.5999999999999996</v>
      </c>
      <c r="M602">
        <v>5.4</v>
      </c>
      <c r="N602">
        <v>12.3</v>
      </c>
      <c r="O602">
        <v>10.5</v>
      </c>
      <c r="P602">
        <v>5.2</v>
      </c>
      <c r="Q602" t="s">
        <v>33</v>
      </c>
      <c r="R602" t="s">
        <v>22</v>
      </c>
      <c r="S602" t="s">
        <v>33</v>
      </c>
      <c r="T602" t="s">
        <v>33</v>
      </c>
      <c r="U602">
        <v>5.6</v>
      </c>
      <c r="V602">
        <v>4.8</v>
      </c>
      <c r="W602">
        <v>4.5</v>
      </c>
      <c r="X602">
        <v>8</v>
      </c>
      <c r="Y602">
        <v>8.3000000000000007</v>
      </c>
      <c r="Z602">
        <v>17.3</v>
      </c>
      <c r="AA602">
        <v>7.4</v>
      </c>
      <c r="AB602">
        <f t="shared" si="18"/>
        <v>86.7</v>
      </c>
      <c r="AC602">
        <v>104</v>
      </c>
      <c r="AD602">
        <v>16</v>
      </c>
      <c r="AE602">
        <f t="shared" si="19"/>
        <v>3</v>
      </c>
      <c r="AF602">
        <v>1</v>
      </c>
      <c r="AG602">
        <v>0</v>
      </c>
      <c r="AH602">
        <v>0</v>
      </c>
      <c r="AI602">
        <v>0</v>
      </c>
      <c r="AJ602">
        <v>0.23529411764705882</v>
      </c>
      <c r="AK602">
        <v>7.1428571428571425E-2</v>
      </c>
      <c r="AL602">
        <v>0</v>
      </c>
      <c r="AM602">
        <v>0</v>
      </c>
      <c r="AN602">
        <v>0</v>
      </c>
    </row>
    <row r="603" spans="1:40" x14ac:dyDescent="0.25">
      <c r="A603">
        <v>2024</v>
      </c>
      <c r="B603" t="s">
        <v>19</v>
      </c>
      <c r="C603" t="str">
        <f>IF(COUNTIF('Rookies 22-25'!$B$126:$B$197,E603)&gt;0,"(R)","No")</f>
        <v>No</v>
      </c>
      <c r="D603">
        <v>27</v>
      </c>
      <c r="E603" t="s">
        <v>34</v>
      </c>
      <c r="F603" t="s">
        <v>35</v>
      </c>
      <c r="G603">
        <f>VLOOKUP(E603,'24 Draft ADP'!$B$3:$D$436,3,FALSE)</f>
        <v>118</v>
      </c>
      <c r="H603">
        <v>10</v>
      </c>
      <c r="I603">
        <v>7.1</v>
      </c>
      <c r="J603">
        <v>6.8</v>
      </c>
      <c r="K603">
        <v>27</v>
      </c>
      <c r="L603">
        <v>13.2</v>
      </c>
      <c r="M603" t="s">
        <v>22</v>
      </c>
      <c r="N603">
        <v>0</v>
      </c>
      <c r="O603" t="s">
        <v>33</v>
      </c>
      <c r="P603" t="s">
        <v>33</v>
      </c>
      <c r="Q603" t="s">
        <v>33</v>
      </c>
      <c r="R603">
        <v>10.5</v>
      </c>
      <c r="S603">
        <v>11.1</v>
      </c>
      <c r="T603">
        <v>5.9</v>
      </c>
      <c r="U603">
        <v>12.5</v>
      </c>
      <c r="V603" t="s">
        <v>33</v>
      </c>
      <c r="W603" t="s">
        <v>33</v>
      </c>
      <c r="X603" t="s">
        <v>33</v>
      </c>
      <c r="Y603" t="s">
        <v>33</v>
      </c>
      <c r="Z603">
        <v>9.5</v>
      </c>
      <c r="AA603">
        <v>10.4</v>
      </c>
      <c r="AB603">
        <f t="shared" si="18"/>
        <v>94.1</v>
      </c>
      <c r="AC603">
        <v>103.6</v>
      </c>
      <c r="AD603">
        <v>10</v>
      </c>
      <c r="AE603">
        <f t="shared" si="19"/>
        <v>5</v>
      </c>
      <c r="AF603">
        <v>1</v>
      </c>
      <c r="AG603">
        <v>1</v>
      </c>
      <c r="AH603">
        <v>1</v>
      </c>
      <c r="AI603">
        <v>0</v>
      </c>
      <c r="AJ603">
        <v>0.29411764705882354</v>
      </c>
      <c r="AK603">
        <v>0.1</v>
      </c>
      <c r="AL603">
        <v>0.1</v>
      </c>
      <c r="AM603">
        <v>0.1</v>
      </c>
      <c r="AN603">
        <v>0</v>
      </c>
    </row>
    <row r="604" spans="1:40" x14ac:dyDescent="0.25">
      <c r="A604">
        <v>2024</v>
      </c>
      <c r="B604" t="s">
        <v>19</v>
      </c>
      <c r="C604" t="str">
        <f>IF(COUNTIF('Rookies 22-25'!$B$126:$B$197,E604)&gt;0,"(R)","No")</f>
        <v>No</v>
      </c>
      <c r="D604">
        <v>28</v>
      </c>
      <c r="E604" t="s">
        <v>440</v>
      </c>
      <c r="F604" t="s">
        <v>37</v>
      </c>
      <c r="G604">
        <f>VLOOKUP(E604,'24 Draft ADP'!$B$3:$D$436,3,FALSE)</f>
        <v>156</v>
      </c>
      <c r="H604">
        <v>8</v>
      </c>
      <c r="I604">
        <v>4.5999999999999996</v>
      </c>
      <c r="J604">
        <v>2.9</v>
      </c>
      <c r="K604" t="s">
        <v>33</v>
      </c>
      <c r="L604">
        <v>14.4</v>
      </c>
      <c r="M604" t="s">
        <v>33</v>
      </c>
      <c r="N604" t="s">
        <v>33</v>
      </c>
      <c r="O604" t="s">
        <v>33</v>
      </c>
      <c r="P604">
        <v>6.2</v>
      </c>
      <c r="Q604">
        <v>16</v>
      </c>
      <c r="R604">
        <v>7</v>
      </c>
      <c r="S604">
        <v>42.5</v>
      </c>
      <c r="T604" t="s">
        <v>22</v>
      </c>
      <c r="U604">
        <v>9.6999999999999993</v>
      </c>
      <c r="V604" t="s">
        <v>33</v>
      </c>
      <c r="W604" t="s">
        <v>33</v>
      </c>
      <c r="X604" t="s">
        <v>33</v>
      </c>
      <c r="Y604" t="s">
        <v>33</v>
      </c>
      <c r="Z604">
        <v>0</v>
      </c>
      <c r="AA604">
        <v>12.9</v>
      </c>
      <c r="AB604">
        <f t="shared" si="18"/>
        <v>103.3</v>
      </c>
      <c r="AC604">
        <v>103.3</v>
      </c>
      <c r="AD604">
        <v>13</v>
      </c>
      <c r="AE604">
        <f t="shared" si="19"/>
        <v>3</v>
      </c>
      <c r="AF604">
        <v>2</v>
      </c>
      <c r="AG604">
        <v>1</v>
      </c>
      <c r="AH604">
        <v>1</v>
      </c>
      <c r="AI604">
        <v>1</v>
      </c>
      <c r="AJ604">
        <v>0.17647058823529413</v>
      </c>
      <c r="AK604">
        <v>0.25</v>
      </c>
      <c r="AL604">
        <v>0.125</v>
      </c>
      <c r="AM604">
        <v>0.125</v>
      </c>
      <c r="AN604">
        <v>0.125</v>
      </c>
    </row>
    <row r="605" spans="1:40" x14ac:dyDescent="0.25">
      <c r="A605">
        <v>2024</v>
      </c>
      <c r="B605" t="s">
        <v>19</v>
      </c>
      <c r="C605" t="str">
        <f>IF(COUNTIF('Rookies 22-25'!$B$126:$B$197,E605)&gt;0,"(R)","No")</f>
        <v>No</v>
      </c>
      <c r="D605">
        <v>28</v>
      </c>
      <c r="E605" t="s">
        <v>441</v>
      </c>
      <c r="F605" t="s">
        <v>37</v>
      </c>
      <c r="G605">
        <f>VLOOKUP(E605,'24 Draft ADP'!$B$3:$D$436,3,FALSE)</f>
        <v>396</v>
      </c>
      <c r="H605">
        <v>17</v>
      </c>
      <c r="I605">
        <v>14.3</v>
      </c>
      <c r="J605">
        <v>0</v>
      </c>
      <c r="K605">
        <v>1.2</v>
      </c>
      <c r="L605">
        <v>0</v>
      </c>
      <c r="M605">
        <v>9.3000000000000007</v>
      </c>
      <c r="N605">
        <v>7.4</v>
      </c>
      <c r="O605">
        <v>5.8</v>
      </c>
      <c r="P605">
        <v>0</v>
      </c>
      <c r="Q605">
        <v>8.6999999999999993</v>
      </c>
      <c r="R605">
        <v>0</v>
      </c>
      <c r="S605">
        <v>8</v>
      </c>
      <c r="T605" t="s">
        <v>22</v>
      </c>
      <c r="U605">
        <v>2.6</v>
      </c>
      <c r="V605">
        <v>6</v>
      </c>
      <c r="W605">
        <v>13.9</v>
      </c>
      <c r="X605">
        <v>5.3</v>
      </c>
      <c r="Y605">
        <v>13.7</v>
      </c>
      <c r="Z605">
        <v>7.1</v>
      </c>
      <c r="AA605">
        <v>6.1</v>
      </c>
      <c r="AB605">
        <f t="shared" si="18"/>
        <v>96.2</v>
      </c>
      <c r="AC605">
        <v>103.3</v>
      </c>
      <c r="AD605">
        <v>20</v>
      </c>
      <c r="AE605">
        <f t="shared" si="19"/>
        <v>3</v>
      </c>
      <c r="AF605">
        <v>0</v>
      </c>
      <c r="AG605">
        <v>0</v>
      </c>
      <c r="AH605">
        <v>0</v>
      </c>
      <c r="AI605">
        <v>0</v>
      </c>
      <c r="AJ605">
        <v>0.17647058823529413</v>
      </c>
      <c r="AK605">
        <v>0</v>
      </c>
      <c r="AL605">
        <v>0</v>
      </c>
      <c r="AM605">
        <v>0</v>
      </c>
      <c r="AN605">
        <v>0</v>
      </c>
    </row>
    <row r="606" spans="1:40" x14ac:dyDescent="0.25">
      <c r="A606">
        <v>2024</v>
      </c>
      <c r="B606" t="s">
        <v>19</v>
      </c>
      <c r="C606" t="str">
        <f>IF(COUNTIF('Rookies 22-25'!$B$126:$B$197,E606)&gt;0,"(R)","No")</f>
        <v>No</v>
      </c>
      <c r="D606">
        <v>30</v>
      </c>
      <c r="E606" t="s">
        <v>60</v>
      </c>
      <c r="F606" t="s">
        <v>61</v>
      </c>
      <c r="G606">
        <f>VLOOKUP(E606,'24 Draft ADP'!$B$3:$D$436,3,FALSE)</f>
        <v>52</v>
      </c>
      <c r="H606">
        <v>13</v>
      </c>
      <c r="I606">
        <v>2.1</v>
      </c>
      <c r="J606">
        <v>7.3</v>
      </c>
      <c r="K606">
        <v>13.1</v>
      </c>
      <c r="L606">
        <v>9.6999999999999993</v>
      </c>
      <c r="M606">
        <v>5.4</v>
      </c>
      <c r="N606">
        <v>11.1</v>
      </c>
      <c r="O606">
        <v>8.1999999999999993</v>
      </c>
      <c r="P606">
        <v>13.1</v>
      </c>
      <c r="Q606">
        <v>7.2</v>
      </c>
      <c r="R606">
        <v>4.4000000000000004</v>
      </c>
      <c r="S606" t="s">
        <v>33</v>
      </c>
      <c r="T606" t="s">
        <v>22</v>
      </c>
      <c r="U606" t="s">
        <v>33</v>
      </c>
      <c r="V606" t="s">
        <v>33</v>
      </c>
      <c r="W606">
        <v>9.3000000000000007</v>
      </c>
      <c r="X606">
        <v>5.5</v>
      </c>
      <c r="Y606">
        <v>4.4000000000000004</v>
      </c>
      <c r="Z606">
        <v>0</v>
      </c>
      <c r="AA606">
        <v>7.8</v>
      </c>
      <c r="AB606">
        <f t="shared" si="18"/>
        <v>100.8</v>
      </c>
      <c r="AC606">
        <v>100.8</v>
      </c>
      <c r="AD606">
        <v>5</v>
      </c>
      <c r="AE606">
        <f t="shared" si="19"/>
        <v>3</v>
      </c>
      <c r="AF606">
        <v>0</v>
      </c>
      <c r="AG606">
        <v>0</v>
      </c>
      <c r="AH606">
        <v>0</v>
      </c>
      <c r="AI606">
        <v>0</v>
      </c>
      <c r="AJ606">
        <v>0.17647058823529413</v>
      </c>
      <c r="AK606">
        <v>0</v>
      </c>
      <c r="AL606">
        <v>0</v>
      </c>
      <c r="AM606">
        <v>0</v>
      </c>
      <c r="AN606">
        <v>0</v>
      </c>
    </row>
    <row r="607" spans="1:40" x14ac:dyDescent="0.25">
      <c r="A607">
        <v>2024</v>
      </c>
      <c r="B607" t="s">
        <v>19</v>
      </c>
      <c r="C607" t="str">
        <f>IF(COUNTIF('Rookies 22-25'!$B$126:$B$197,E607)&gt;0,"(R)","No")</f>
        <v>No</v>
      </c>
      <c r="D607">
        <v>31</v>
      </c>
      <c r="E607" t="s">
        <v>66</v>
      </c>
      <c r="F607" t="s">
        <v>67</v>
      </c>
      <c r="G607">
        <v>300</v>
      </c>
      <c r="H607">
        <v>17</v>
      </c>
      <c r="I607">
        <v>0</v>
      </c>
      <c r="J607">
        <v>9.5</v>
      </c>
      <c r="K607">
        <v>9.1999999999999993</v>
      </c>
      <c r="L607">
        <v>4.9000000000000004</v>
      </c>
      <c r="M607">
        <v>12.4</v>
      </c>
      <c r="N607">
        <v>2.1</v>
      </c>
      <c r="O607">
        <v>0</v>
      </c>
      <c r="P607">
        <v>10.9</v>
      </c>
      <c r="Q607">
        <v>0</v>
      </c>
      <c r="R607">
        <v>4.5</v>
      </c>
      <c r="S607">
        <v>1.6</v>
      </c>
      <c r="T607" t="s">
        <v>22</v>
      </c>
      <c r="U607">
        <v>2.4</v>
      </c>
      <c r="V607">
        <v>3.1</v>
      </c>
      <c r="W607">
        <v>18.3</v>
      </c>
      <c r="X607">
        <v>2.2000000000000002</v>
      </c>
      <c r="Y607">
        <v>0</v>
      </c>
      <c r="Z607">
        <v>10</v>
      </c>
      <c r="AA607">
        <v>5.4</v>
      </c>
      <c r="AB607">
        <f t="shared" si="18"/>
        <v>81.099999999999994</v>
      </c>
      <c r="AC607">
        <v>91.1</v>
      </c>
      <c r="AD607">
        <v>20</v>
      </c>
      <c r="AE607">
        <f t="shared" si="19"/>
        <v>3</v>
      </c>
      <c r="AF607">
        <v>1</v>
      </c>
      <c r="AG607">
        <v>0</v>
      </c>
      <c r="AH607">
        <v>0</v>
      </c>
      <c r="AI607">
        <v>0</v>
      </c>
      <c r="AJ607">
        <v>0.17647058823529413</v>
      </c>
      <c r="AK607">
        <v>5.8823529411764705E-2</v>
      </c>
      <c r="AL607">
        <v>0</v>
      </c>
      <c r="AM607">
        <v>0</v>
      </c>
      <c r="AN607">
        <v>0</v>
      </c>
    </row>
    <row r="608" spans="1:40" x14ac:dyDescent="0.25">
      <c r="A608">
        <v>2024</v>
      </c>
      <c r="B608" t="s">
        <v>19</v>
      </c>
      <c r="C608" t="str">
        <f>IF(COUNTIF('Rookies 22-25'!$B$126:$B$197,E608)&gt;0,"(R)","No")</f>
        <v>No</v>
      </c>
      <c r="D608">
        <v>32</v>
      </c>
      <c r="E608" t="s">
        <v>442</v>
      </c>
      <c r="F608" t="s">
        <v>32</v>
      </c>
      <c r="G608">
        <f>VLOOKUP(E608,'24 Draft ADP'!$B$3:$D$436,3,FALSE)</f>
        <v>402</v>
      </c>
      <c r="H608">
        <v>17</v>
      </c>
      <c r="I608">
        <v>5.7</v>
      </c>
      <c r="J608">
        <v>2</v>
      </c>
      <c r="K608">
        <v>6.9</v>
      </c>
      <c r="L608">
        <v>2</v>
      </c>
      <c r="M608">
        <v>11.2</v>
      </c>
      <c r="N608">
        <v>0</v>
      </c>
      <c r="O608">
        <v>8.1999999999999993</v>
      </c>
      <c r="P608">
        <v>0</v>
      </c>
      <c r="Q608">
        <v>6.2</v>
      </c>
      <c r="R608" t="s">
        <v>22</v>
      </c>
      <c r="S608">
        <v>2.9</v>
      </c>
      <c r="T608">
        <v>6.8</v>
      </c>
      <c r="U608">
        <v>0</v>
      </c>
      <c r="V608">
        <v>2.4</v>
      </c>
      <c r="W608">
        <v>6</v>
      </c>
      <c r="X608">
        <v>1.8</v>
      </c>
      <c r="Y608">
        <v>10.9</v>
      </c>
      <c r="Z608">
        <v>18</v>
      </c>
      <c r="AA608">
        <v>5.4</v>
      </c>
      <c r="AB608">
        <f t="shared" si="18"/>
        <v>73</v>
      </c>
      <c r="AC608">
        <v>91</v>
      </c>
      <c r="AD608">
        <v>20</v>
      </c>
      <c r="AE608">
        <f t="shared" si="19"/>
        <v>2</v>
      </c>
      <c r="AF608">
        <v>1</v>
      </c>
      <c r="AG608">
        <v>0</v>
      </c>
      <c r="AH608">
        <v>0</v>
      </c>
      <c r="AI608">
        <v>0</v>
      </c>
      <c r="AJ608">
        <v>0.17647058823529413</v>
      </c>
      <c r="AK608">
        <v>5.8823529411764705E-2</v>
      </c>
      <c r="AL608">
        <v>0</v>
      </c>
      <c r="AM608">
        <v>0</v>
      </c>
      <c r="AN608">
        <v>0</v>
      </c>
    </row>
    <row r="609" spans="1:40" x14ac:dyDescent="0.25">
      <c r="A609">
        <v>2024</v>
      </c>
      <c r="B609" t="s">
        <v>19</v>
      </c>
      <c r="C609" t="str">
        <f>IF(COUNTIF('Rookies 22-25'!$B$126:$B$197,E609)&gt;0,"(R)","No")</f>
        <v>No</v>
      </c>
      <c r="D609">
        <v>33</v>
      </c>
      <c r="E609" t="s">
        <v>77</v>
      </c>
      <c r="F609" t="s">
        <v>67</v>
      </c>
      <c r="G609">
        <f>VLOOKUP(E609,'24 Draft ADP'!$B$3:$D$436,3,FALSE)</f>
        <v>69</v>
      </c>
      <c r="H609">
        <v>9</v>
      </c>
      <c r="I609">
        <v>1.5</v>
      </c>
      <c r="J609" t="s">
        <v>33</v>
      </c>
      <c r="K609" t="s">
        <v>33</v>
      </c>
      <c r="L609" t="s">
        <v>33</v>
      </c>
      <c r="M609" t="s">
        <v>33</v>
      </c>
      <c r="N609">
        <v>18.2</v>
      </c>
      <c r="O609">
        <v>8.5</v>
      </c>
      <c r="P609">
        <v>13.6</v>
      </c>
      <c r="Q609">
        <v>11.5</v>
      </c>
      <c r="R609">
        <v>10</v>
      </c>
      <c r="S609">
        <v>7.8</v>
      </c>
      <c r="T609" t="s">
        <v>22</v>
      </c>
      <c r="U609">
        <v>11.1</v>
      </c>
      <c r="V609">
        <v>7.3</v>
      </c>
      <c r="W609" t="s">
        <v>33</v>
      </c>
      <c r="X609" t="s">
        <v>33</v>
      </c>
      <c r="Y609" t="s">
        <v>33</v>
      </c>
      <c r="Z609">
        <v>0</v>
      </c>
      <c r="AA609">
        <v>9.9</v>
      </c>
      <c r="AB609">
        <f t="shared" si="18"/>
        <v>89.5</v>
      </c>
      <c r="AC609">
        <v>89.5</v>
      </c>
      <c r="AD609">
        <v>6</v>
      </c>
      <c r="AE609">
        <f t="shared" si="19"/>
        <v>4</v>
      </c>
      <c r="AF609">
        <v>1</v>
      </c>
      <c r="AG609">
        <v>0</v>
      </c>
      <c r="AH609">
        <v>0</v>
      </c>
      <c r="AI609">
        <v>0</v>
      </c>
      <c r="AJ609">
        <v>0.23529411764705882</v>
      </c>
      <c r="AK609">
        <v>0.1111111111111111</v>
      </c>
      <c r="AL609">
        <v>0</v>
      </c>
      <c r="AM609">
        <v>0</v>
      </c>
      <c r="AN609">
        <v>0</v>
      </c>
    </row>
    <row r="610" spans="1:40" x14ac:dyDescent="0.25">
      <c r="A610">
        <v>2024</v>
      </c>
      <c r="B610" t="s">
        <v>19</v>
      </c>
      <c r="C610" t="str">
        <f>IF(COUNTIF('Rookies 22-25'!$B$126:$B$197,E610)&gt;0,"(R)","No")</f>
        <v>No</v>
      </c>
      <c r="D610">
        <v>34</v>
      </c>
      <c r="E610" t="s">
        <v>72</v>
      </c>
      <c r="F610" t="s">
        <v>73</v>
      </c>
      <c r="G610">
        <f>VLOOKUP(E610,'24 Draft ADP'!$B$3:$D$436,3,FALSE)</f>
        <v>142</v>
      </c>
      <c r="H610">
        <v>10</v>
      </c>
      <c r="I610" t="s">
        <v>33</v>
      </c>
      <c r="J610" t="s">
        <v>33</v>
      </c>
      <c r="K610" t="s">
        <v>33</v>
      </c>
      <c r="L610" t="s">
        <v>33</v>
      </c>
      <c r="M610" t="s">
        <v>33</v>
      </c>
      <c r="N610" t="s">
        <v>22</v>
      </c>
      <c r="O610" t="s">
        <v>33</v>
      </c>
      <c r="P610" t="s">
        <v>33</v>
      </c>
      <c r="Q610">
        <v>5.7</v>
      </c>
      <c r="R610">
        <v>15.2</v>
      </c>
      <c r="S610">
        <v>3.3</v>
      </c>
      <c r="T610">
        <v>18.399999999999999</v>
      </c>
      <c r="U610">
        <v>5.8</v>
      </c>
      <c r="V610">
        <v>8.5</v>
      </c>
      <c r="W610">
        <v>10.199999999999999</v>
      </c>
      <c r="X610">
        <v>4.7</v>
      </c>
      <c r="Y610">
        <v>11.8</v>
      </c>
      <c r="Z610">
        <v>2.9</v>
      </c>
      <c r="AA610">
        <v>8.6999999999999993</v>
      </c>
      <c r="AB610">
        <f t="shared" si="18"/>
        <v>83.6</v>
      </c>
      <c r="AC610">
        <v>86.5</v>
      </c>
      <c r="AD610">
        <v>12</v>
      </c>
      <c r="AE610">
        <f t="shared" si="19"/>
        <v>4</v>
      </c>
      <c r="AF610">
        <v>2</v>
      </c>
      <c r="AG610">
        <v>0</v>
      </c>
      <c r="AH610">
        <v>0</v>
      </c>
      <c r="AI610">
        <v>0</v>
      </c>
      <c r="AJ610">
        <v>0.23529411764705882</v>
      </c>
      <c r="AK610">
        <v>0.2</v>
      </c>
      <c r="AL610">
        <v>0</v>
      </c>
      <c r="AM610">
        <v>0</v>
      </c>
      <c r="AN610">
        <v>0</v>
      </c>
    </row>
    <row r="611" spans="1:40" x14ac:dyDescent="0.25">
      <c r="A611">
        <v>2024</v>
      </c>
      <c r="B611" t="s">
        <v>19</v>
      </c>
      <c r="C611" t="str">
        <f>IF(COUNTIF('Rookies 22-25'!$B$126:$B$197,E611)&gt;0,"(R)","No")</f>
        <v>No</v>
      </c>
      <c r="D611">
        <v>35</v>
      </c>
      <c r="E611" t="s">
        <v>48</v>
      </c>
      <c r="F611" t="s">
        <v>49</v>
      </c>
      <c r="G611">
        <v>300</v>
      </c>
      <c r="H611">
        <v>17</v>
      </c>
      <c r="I611">
        <v>0</v>
      </c>
      <c r="J611">
        <v>0</v>
      </c>
      <c r="K611">
        <v>4.3</v>
      </c>
      <c r="L611">
        <v>10.7</v>
      </c>
      <c r="M611">
        <v>2.2999999999999998</v>
      </c>
      <c r="N611">
        <v>2.2999999999999998</v>
      </c>
      <c r="O611">
        <v>1.5</v>
      </c>
      <c r="P611">
        <v>5.4</v>
      </c>
      <c r="Q611">
        <v>6.7</v>
      </c>
      <c r="R611" t="s">
        <v>22</v>
      </c>
      <c r="S611">
        <v>3.5</v>
      </c>
      <c r="T611">
        <v>4.9000000000000004</v>
      </c>
      <c r="U611">
        <v>9.4</v>
      </c>
      <c r="V611">
        <v>2.2999999999999998</v>
      </c>
      <c r="W611">
        <v>1.5</v>
      </c>
      <c r="X611">
        <v>9.3000000000000007</v>
      </c>
      <c r="Y611">
        <v>0</v>
      </c>
      <c r="Z611">
        <v>14.4</v>
      </c>
      <c r="AA611">
        <v>4.5999999999999996</v>
      </c>
      <c r="AB611">
        <f t="shared" si="18"/>
        <v>64.099999999999994</v>
      </c>
      <c r="AC611">
        <v>78.5</v>
      </c>
      <c r="AD611">
        <v>20</v>
      </c>
      <c r="AE611">
        <f t="shared" si="19"/>
        <v>1</v>
      </c>
      <c r="AF611">
        <v>0</v>
      </c>
      <c r="AG611">
        <v>0</v>
      </c>
      <c r="AH611">
        <v>0</v>
      </c>
      <c r="AI611">
        <v>0</v>
      </c>
      <c r="AJ611">
        <v>0.11764705882352941</v>
      </c>
      <c r="AK611">
        <v>0</v>
      </c>
      <c r="AL611">
        <v>0</v>
      </c>
      <c r="AM611">
        <v>0</v>
      </c>
      <c r="AN611">
        <v>0</v>
      </c>
    </row>
    <row r="612" spans="1:40" x14ac:dyDescent="0.25">
      <c r="A612">
        <v>2024</v>
      </c>
      <c r="B612" t="s">
        <v>19</v>
      </c>
      <c r="C612" t="str">
        <f>IF(COUNTIF('Rookies 22-25'!$B$126:$B$197,E612)&gt;0,"(R)","No")</f>
        <v>(R)</v>
      </c>
      <c r="D612">
        <v>36</v>
      </c>
      <c r="E612" t="s">
        <v>443</v>
      </c>
      <c r="F612" t="s">
        <v>95</v>
      </c>
      <c r="G612">
        <f>VLOOKUP(E612,'24 Draft ADP'!$B$3:$D$436,3,FALSE)</f>
        <v>245</v>
      </c>
      <c r="H612">
        <v>16</v>
      </c>
      <c r="I612">
        <v>1.4</v>
      </c>
      <c r="J612">
        <v>2.8</v>
      </c>
      <c r="K612">
        <v>0</v>
      </c>
      <c r="L612">
        <v>3.6</v>
      </c>
      <c r="M612">
        <v>4.3</v>
      </c>
      <c r="N612">
        <v>9.9</v>
      </c>
      <c r="O612">
        <v>12.1</v>
      </c>
      <c r="P612">
        <v>1.7</v>
      </c>
      <c r="Q612">
        <v>12.7</v>
      </c>
      <c r="R612">
        <v>8.8000000000000007</v>
      </c>
      <c r="S612" t="s">
        <v>22</v>
      </c>
      <c r="T612">
        <v>7.9</v>
      </c>
      <c r="U612" t="s">
        <v>33</v>
      </c>
      <c r="V612">
        <v>0</v>
      </c>
      <c r="W612">
        <v>0</v>
      </c>
      <c r="X612">
        <v>0</v>
      </c>
      <c r="Y612">
        <v>1.5</v>
      </c>
      <c r="Z612">
        <v>6.5</v>
      </c>
      <c r="AA612">
        <v>4.5999999999999996</v>
      </c>
      <c r="AB612">
        <f t="shared" si="18"/>
        <v>66.7</v>
      </c>
      <c r="AC612">
        <v>73.2</v>
      </c>
      <c r="AD612">
        <v>19</v>
      </c>
      <c r="AE612">
        <f t="shared" si="19"/>
        <v>2</v>
      </c>
      <c r="AF612">
        <v>0</v>
      </c>
      <c r="AG612">
        <v>0</v>
      </c>
      <c r="AH612">
        <v>0</v>
      </c>
      <c r="AI612">
        <v>0</v>
      </c>
      <c r="AJ612">
        <v>0.11764705882352941</v>
      </c>
      <c r="AK612">
        <v>0</v>
      </c>
      <c r="AL612">
        <v>0</v>
      </c>
      <c r="AM612">
        <v>0</v>
      </c>
      <c r="AN612">
        <v>0</v>
      </c>
    </row>
    <row r="613" spans="1:40" x14ac:dyDescent="0.25">
      <c r="A613">
        <v>2024</v>
      </c>
      <c r="B613" t="s">
        <v>19</v>
      </c>
      <c r="C613" t="str">
        <f>IF(COUNTIF('Rookies 22-25'!$B$126:$B$197,E613)&gt;0,"(R)","No")</f>
        <v>(R)</v>
      </c>
      <c r="D613">
        <v>37</v>
      </c>
      <c r="E613" t="s">
        <v>56</v>
      </c>
      <c r="F613" t="s">
        <v>57</v>
      </c>
      <c r="G613">
        <f>VLOOKUP(E613,'24 Draft ADP'!$B$3:$D$436,3,FALSE)</f>
        <v>232</v>
      </c>
      <c r="H613">
        <v>12</v>
      </c>
      <c r="I613">
        <v>2.8</v>
      </c>
      <c r="J613">
        <v>0</v>
      </c>
      <c r="K613">
        <v>2.2999999999999998</v>
      </c>
      <c r="L613">
        <v>1.6</v>
      </c>
      <c r="M613">
        <v>9.8000000000000007</v>
      </c>
      <c r="N613">
        <v>6</v>
      </c>
      <c r="O613">
        <v>0</v>
      </c>
      <c r="P613">
        <v>6.5</v>
      </c>
      <c r="Q613">
        <v>14.1</v>
      </c>
      <c r="R613">
        <v>7.7</v>
      </c>
      <c r="S613" t="s">
        <v>22</v>
      </c>
      <c r="T613">
        <v>6.9</v>
      </c>
      <c r="U613">
        <v>10.4</v>
      </c>
      <c r="V613" t="s">
        <v>33</v>
      </c>
      <c r="W613" t="s">
        <v>33</v>
      </c>
      <c r="X613" t="s">
        <v>33</v>
      </c>
      <c r="Y613" t="s">
        <v>33</v>
      </c>
      <c r="Z613">
        <v>0</v>
      </c>
      <c r="AA613">
        <v>5.7</v>
      </c>
      <c r="AB613">
        <f t="shared" si="18"/>
        <v>68.099999999999994</v>
      </c>
      <c r="AC613">
        <v>68.099999999999994</v>
      </c>
      <c r="AD613">
        <v>20</v>
      </c>
      <c r="AE613">
        <f t="shared" si="19"/>
        <v>2</v>
      </c>
      <c r="AF613">
        <v>0</v>
      </c>
      <c r="AG613">
        <v>0</v>
      </c>
      <c r="AH613">
        <v>0</v>
      </c>
      <c r="AI613">
        <v>0</v>
      </c>
      <c r="AJ613">
        <v>0.11764705882352941</v>
      </c>
      <c r="AK613">
        <v>0</v>
      </c>
      <c r="AL613">
        <v>0</v>
      </c>
      <c r="AM613">
        <v>0</v>
      </c>
      <c r="AN613">
        <v>0</v>
      </c>
    </row>
    <row r="614" spans="1:40" x14ac:dyDescent="0.25">
      <c r="A614">
        <v>2024</v>
      </c>
      <c r="B614" t="s">
        <v>19</v>
      </c>
      <c r="C614" t="str">
        <f>IF(COUNTIF('Rookies 22-25'!$B$126:$B$197,E614)&gt;0,"(R)","No")</f>
        <v>No</v>
      </c>
      <c r="D614">
        <v>38</v>
      </c>
      <c r="E614" t="s">
        <v>444</v>
      </c>
      <c r="F614" t="s">
        <v>73</v>
      </c>
      <c r="G614">
        <f>VLOOKUP(E614,'24 Draft ADP'!$B$3:$D$436,3,FALSE)</f>
        <v>345</v>
      </c>
      <c r="H614">
        <v>15</v>
      </c>
      <c r="I614">
        <v>4.7</v>
      </c>
      <c r="J614">
        <v>0</v>
      </c>
      <c r="K614">
        <v>0</v>
      </c>
      <c r="L614">
        <v>9</v>
      </c>
      <c r="M614">
        <v>0</v>
      </c>
      <c r="N614" t="s">
        <v>22</v>
      </c>
      <c r="O614">
        <v>1.5</v>
      </c>
      <c r="P614">
        <v>11</v>
      </c>
      <c r="Q614">
        <v>16.8</v>
      </c>
      <c r="R614">
        <v>9.1999999999999993</v>
      </c>
      <c r="S614">
        <v>6.4</v>
      </c>
      <c r="T614" t="s">
        <v>33</v>
      </c>
      <c r="U614" t="s">
        <v>33</v>
      </c>
      <c r="V614">
        <v>3.6</v>
      </c>
      <c r="W614">
        <v>0</v>
      </c>
      <c r="X614">
        <v>0</v>
      </c>
      <c r="Y614">
        <v>0</v>
      </c>
      <c r="Z614">
        <v>3.6</v>
      </c>
      <c r="AA614">
        <v>4.4000000000000004</v>
      </c>
      <c r="AB614">
        <f t="shared" si="18"/>
        <v>62.199999999999996</v>
      </c>
      <c r="AC614">
        <v>65.8</v>
      </c>
      <c r="AD614">
        <v>20</v>
      </c>
      <c r="AE614">
        <f t="shared" si="19"/>
        <v>2</v>
      </c>
      <c r="AF614">
        <v>1</v>
      </c>
      <c r="AG614">
        <v>0</v>
      </c>
      <c r="AH614">
        <v>0</v>
      </c>
      <c r="AI614">
        <v>0</v>
      </c>
      <c r="AJ614">
        <v>0.11764705882352941</v>
      </c>
      <c r="AK614">
        <v>6.6666666666666666E-2</v>
      </c>
      <c r="AL614">
        <v>0</v>
      </c>
      <c r="AM614">
        <v>0</v>
      </c>
      <c r="AN614">
        <v>0</v>
      </c>
    </row>
    <row r="615" spans="1:40" x14ac:dyDescent="0.25">
      <c r="A615">
        <v>2024</v>
      </c>
      <c r="B615" t="s">
        <v>19</v>
      </c>
      <c r="C615" t="str">
        <f>IF(COUNTIF('Rookies 22-25'!$B$126:$B$197,E615)&gt;0,"(R)","No")</f>
        <v>No</v>
      </c>
      <c r="D615">
        <v>39</v>
      </c>
      <c r="E615" t="s">
        <v>54</v>
      </c>
      <c r="F615" t="s">
        <v>55</v>
      </c>
      <c r="G615">
        <f>VLOOKUP(E615,'24 Draft ADP'!$B$3:$D$436,3,FALSE)</f>
        <v>210</v>
      </c>
      <c r="H615">
        <v>17</v>
      </c>
      <c r="I615">
        <v>8.6999999999999993</v>
      </c>
      <c r="J615">
        <v>2.2000000000000002</v>
      </c>
      <c r="K615">
        <v>5.0999999999999996</v>
      </c>
      <c r="L615">
        <v>7.3</v>
      </c>
      <c r="M615">
        <v>12.2</v>
      </c>
      <c r="N615" t="s">
        <v>22</v>
      </c>
      <c r="O615">
        <v>5.2</v>
      </c>
      <c r="P615">
        <v>3.7</v>
      </c>
      <c r="Q615">
        <v>0</v>
      </c>
      <c r="R615">
        <v>0</v>
      </c>
      <c r="S615">
        <v>8.9</v>
      </c>
      <c r="T615">
        <v>2</v>
      </c>
      <c r="U615">
        <v>2.2999999999999998</v>
      </c>
      <c r="V615">
        <v>2.1</v>
      </c>
      <c r="W615">
        <v>4.0999999999999996</v>
      </c>
      <c r="X615">
        <v>0</v>
      </c>
      <c r="Y615">
        <v>0</v>
      </c>
      <c r="Z615">
        <v>1.6</v>
      </c>
      <c r="AA615">
        <v>3.8</v>
      </c>
      <c r="AB615">
        <f t="shared" si="18"/>
        <v>63.800000000000004</v>
      </c>
      <c r="AC615">
        <v>65.400000000000006</v>
      </c>
      <c r="AD615">
        <v>18</v>
      </c>
      <c r="AE615">
        <f t="shared" si="19"/>
        <v>1</v>
      </c>
      <c r="AF615">
        <v>0</v>
      </c>
      <c r="AG615">
        <v>0</v>
      </c>
      <c r="AH615">
        <v>0</v>
      </c>
      <c r="AI615">
        <v>0</v>
      </c>
      <c r="AJ615">
        <v>5.8823529411764705E-2</v>
      </c>
      <c r="AK615">
        <v>0</v>
      </c>
      <c r="AL615">
        <v>0</v>
      </c>
      <c r="AM615">
        <v>0</v>
      </c>
      <c r="AN615">
        <v>0</v>
      </c>
    </row>
    <row r="616" spans="1:40" x14ac:dyDescent="0.25">
      <c r="A616">
        <v>2024</v>
      </c>
      <c r="B616" t="s">
        <v>19</v>
      </c>
      <c r="C616" t="str">
        <f>IF(COUNTIF('Rookies 22-25'!$B$126:$B$197,E616)&gt;0,"(R)","No")</f>
        <v>No</v>
      </c>
      <c r="D616">
        <v>40</v>
      </c>
      <c r="E616" t="s">
        <v>445</v>
      </c>
      <c r="F616" t="s">
        <v>63</v>
      </c>
      <c r="G616">
        <f>VLOOKUP(E616,'24 Draft ADP'!$B$3:$D$436,3,FALSE)</f>
        <v>323</v>
      </c>
      <c r="H616">
        <v>17</v>
      </c>
      <c r="I616">
        <v>0</v>
      </c>
      <c r="J616">
        <v>3.3</v>
      </c>
      <c r="K616">
        <v>8.3000000000000007</v>
      </c>
      <c r="L616">
        <v>1.5</v>
      </c>
      <c r="M616" t="s">
        <v>22</v>
      </c>
      <c r="N616">
        <v>1.2</v>
      </c>
      <c r="O616">
        <v>6.4</v>
      </c>
      <c r="P616">
        <v>5.3</v>
      </c>
      <c r="Q616">
        <v>2.2000000000000002</v>
      </c>
      <c r="R616">
        <v>0</v>
      </c>
      <c r="S616">
        <v>1.6</v>
      </c>
      <c r="T616">
        <v>0</v>
      </c>
      <c r="U616">
        <v>1.3</v>
      </c>
      <c r="V616">
        <v>5.0999999999999996</v>
      </c>
      <c r="W616">
        <v>14.7</v>
      </c>
      <c r="X616">
        <v>0</v>
      </c>
      <c r="Y616">
        <v>0</v>
      </c>
      <c r="Z616">
        <v>9.9</v>
      </c>
      <c r="AA616">
        <v>3.6</v>
      </c>
      <c r="AB616">
        <f t="shared" si="18"/>
        <v>50.9</v>
      </c>
      <c r="AC616">
        <v>60.8</v>
      </c>
      <c r="AD616">
        <v>20</v>
      </c>
      <c r="AE616">
        <f t="shared" si="19"/>
        <v>1</v>
      </c>
      <c r="AF616">
        <v>0</v>
      </c>
      <c r="AG616">
        <v>0</v>
      </c>
      <c r="AH616">
        <v>0</v>
      </c>
      <c r="AI616">
        <v>0</v>
      </c>
      <c r="AJ616">
        <v>5.8823529411764705E-2</v>
      </c>
      <c r="AK616">
        <v>0</v>
      </c>
      <c r="AL616">
        <v>0</v>
      </c>
      <c r="AM616">
        <v>0</v>
      </c>
      <c r="AN616">
        <v>0</v>
      </c>
    </row>
    <row r="617" spans="1:40" x14ac:dyDescent="0.25">
      <c r="A617">
        <v>2024</v>
      </c>
      <c r="B617" t="s">
        <v>19</v>
      </c>
      <c r="C617" t="str">
        <f>IF(COUNTIF('Rookies 22-25'!$B$126:$B$197,E617)&gt;0,"(R)","No")</f>
        <v>No</v>
      </c>
      <c r="D617">
        <v>41</v>
      </c>
      <c r="E617" t="s">
        <v>446</v>
      </c>
      <c r="F617" t="s">
        <v>35</v>
      </c>
      <c r="G617">
        <f>VLOOKUP(E617,'24 Draft ADP'!$B$3:$D$436,3,FALSE)</f>
        <v>372</v>
      </c>
      <c r="H617">
        <v>17</v>
      </c>
      <c r="I617">
        <v>2.1</v>
      </c>
      <c r="J617">
        <v>3.9</v>
      </c>
      <c r="K617">
        <v>0</v>
      </c>
      <c r="L617">
        <v>3.6</v>
      </c>
      <c r="M617" t="s">
        <v>22</v>
      </c>
      <c r="N617">
        <v>10.7</v>
      </c>
      <c r="O617">
        <v>1.5</v>
      </c>
      <c r="P617">
        <v>8.8000000000000007</v>
      </c>
      <c r="Q617">
        <v>8</v>
      </c>
      <c r="R617">
        <v>0</v>
      </c>
      <c r="S617">
        <v>0</v>
      </c>
      <c r="T617">
        <v>0</v>
      </c>
      <c r="U617">
        <v>0</v>
      </c>
      <c r="V617">
        <v>10.6</v>
      </c>
      <c r="W617">
        <v>3.2</v>
      </c>
      <c r="X617">
        <v>0</v>
      </c>
      <c r="Y617">
        <v>4.4000000000000004</v>
      </c>
      <c r="Z617">
        <v>3</v>
      </c>
      <c r="AA617">
        <v>3.5</v>
      </c>
      <c r="AB617">
        <f t="shared" si="18"/>
        <v>56.8</v>
      </c>
      <c r="AC617">
        <v>59.8</v>
      </c>
      <c r="AD617">
        <v>20</v>
      </c>
      <c r="AE617">
        <f t="shared" si="19"/>
        <v>2</v>
      </c>
      <c r="AF617">
        <v>0</v>
      </c>
      <c r="AG617">
        <v>0</v>
      </c>
      <c r="AH617">
        <v>0</v>
      </c>
      <c r="AI617">
        <v>0</v>
      </c>
      <c r="AJ617">
        <v>0.11764705882352941</v>
      </c>
      <c r="AK617">
        <v>0</v>
      </c>
      <c r="AL617">
        <v>0</v>
      </c>
      <c r="AM617">
        <v>0</v>
      </c>
      <c r="AN617">
        <v>0</v>
      </c>
    </row>
    <row r="618" spans="1:40" x14ac:dyDescent="0.25">
      <c r="A618">
        <v>2024</v>
      </c>
      <c r="B618" t="s">
        <v>19</v>
      </c>
      <c r="C618" t="str">
        <f>IF(COUNTIF('Rookies 22-25'!$B$126:$B$197,E618)&gt;0,"(R)","No")</f>
        <v>No</v>
      </c>
      <c r="D618">
        <v>42</v>
      </c>
      <c r="E618" t="s">
        <v>76</v>
      </c>
      <c r="F618" t="s">
        <v>61</v>
      </c>
      <c r="G618">
        <f>VLOOKUP(E618,'24 Draft ADP'!$B$3:$D$436,3,FALSE)</f>
        <v>239</v>
      </c>
      <c r="H618">
        <v>16</v>
      </c>
      <c r="I618">
        <v>3.3</v>
      </c>
      <c r="J618">
        <v>0</v>
      </c>
      <c r="K618">
        <v>1.7</v>
      </c>
      <c r="L618">
        <v>1</v>
      </c>
      <c r="M618">
        <v>0</v>
      </c>
      <c r="N618">
        <v>8.1999999999999993</v>
      </c>
      <c r="O618">
        <v>1.5</v>
      </c>
      <c r="P618">
        <v>7</v>
      </c>
      <c r="Q618">
        <v>1.5</v>
      </c>
      <c r="R618">
        <v>6</v>
      </c>
      <c r="S618">
        <v>8</v>
      </c>
      <c r="T618" t="s">
        <v>22</v>
      </c>
      <c r="U618">
        <v>7.6</v>
      </c>
      <c r="V618">
        <v>1.5</v>
      </c>
      <c r="W618">
        <v>6.2</v>
      </c>
      <c r="X618">
        <v>4.2</v>
      </c>
      <c r="Y618">
        <v>1.4</v>
      </c>
      <c r="Z618">
        <v>0</v>
      </c>
      <c r="AA618">
        <v>3.7</v>
      </c>
      <c r="AB618">
        <f t="shared" si="18"/>
        <v>59.1</v>
      </c>
      <c r="AC618">
        <v>59.1</v>
      </c>
      <c r="AD618">
        <v>19</v>
      </c>
      <c r="AE618">
        <f t="shared" si="19"/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</row>
    <row r="619" spans="1:40" x14ac:dyDescent="0.25">
      <c r="A619">
        <v>2024</v>
      </c>
      <c r="B619" t="s">
        <v>19</v>
      </c>
      <c r="C619" t="str">
        <f>IF(COUNTIF('Rookies 22-25'!$B$126:$B$197,E619)&gt;0,"(R)","No")</f>
        <v>No</v>
      </c>
      <c r="D619">
        <v>43</v>
      </c>
      <c r="E619" t="s">
        <v>447</v>
      </c>
      <c r="F619" t="s">
        <v>30</v>
      </c>
      <c r="G619">
        <v>360</v>
      </c>
      <c r="H619">
        <v>17</v>
      </c>
      <c r="I619">
        <v>0</v>
      </c>
      <c r="J619">
        <v>10.3</v>
      </c>
      <c r="K619">
        <v>1.5</v>
      </c>
      <c r="L619">
        <v>0</v>
      </c>
      <c r="M619">
        <v>1.8</v>
      </c>
      <c r="N619">
        <v>0</v>
      </c>
      <c r="O619" t="s">
        <v>22</v>
      </c>
      <c r="P619">
        <v>0</v>
      </c>
      <c r="Q619">
        <v>0</v>
      </c>
      <c r="R619">
        <v>0</v>
      </c>
      <c r="S619">
        <v>11.6</v>
      </c>
      <c r="T619">
        <v>14.5</v>
      </c>
      <c r="U619">
        <v>8.3000000000000007</v>
      </c>
      <c r="V619">
        <v>4.2</v>
      </c>
      <c r="W619">
        <v>0</v>
      </c>
      <c r="X619">
        <v>1.3</v>
      </c>
      <c r="Y619">
        <v>0</v>
      </c>
      <c r="Z619">
        <v>3.6</v>
      </c>
      <c r="AA619">
        <v>3.4</v>
      </c>
      <c r="AB619">
        <f t="shared" si="18"/>
        <v>53.5</v>
      </c>
      <c r="AC619">
        <v>57.1</v>
      </c>
      <c r="AD619">
        <v>20</v>
      </c>
      <c r="AE619">
        <f t="shared" si="19"/>
        <v>3</v>
      </c>
      <c r="AF619">
        <v>0</v>
      </c>
      <c r="AG619">
        <v>0</v>
      </c>
      <c r="AH619">
        <v>0</v>
      </c>
      <c r="AI619">
        <v>0</v>
      </c>
      <c r="AJ619">
        <v>0.17647058823529413</v>
      </c>
      <c r="AK619">
        <v>0</v>
      </c>
      <c r="AL619">
        <v>0</v>
      </c>
      <c r="AM619">
        <v>0</v>
      </c>
      <c r="AN619">
        <v>0</v>
      </c>
    </row>
    <row r="620" spans="1:40" x14ac:dyDescent="0.25">
      <c r="A620">
        <v>2024</v>
      </c>
      <c r="B620" t="s">
        <v>19</v>
      </c>
      <c r="C620" t="str">
        <f>IF(COUNTIF('Rookies 22-25'!$B$126:$B$197,E620)&gt;0,"(R)","No")</f>
        <v>No</v>
      </c>
      <c r="D620">
        <v>44</v>
      </c>
      <c r="E620" t="s">
        <v>94</v>
      </c>
      <c r="F620" t="s">
        <v>95</v>
      </c>
      <c r="G620">
        <f>VLOOKUP(E620,'24 Draft ADP'!$B$3:$D$436,3,FALSE)</f>
        <v>351</v>
      </c>
      <c r="H620">
        <v>12</v>
      </c>
      <c r="I620" t="s">
        <v>33</v>
      </c>
      <c r="J620">
        <v>5.3</v>
      </c>
      <c r="K620">
        <v>5.9</v>
      </c>
      <c r="L620">
        <v>0</v>
      </c>
      <c r="M620">
        <v>-0.3</v>
      </c>
      <c r="N620" t="s">
        <v>33</v>
      </c>
      <c r="O620" t="s">
        <v>33</v>
      </c>
      <c r="P620">
        <v>3.3</v>
      </c>
      <c r="Q620" t="s">
        <v>33</v>
      </c>
      <c r="R620" t="s">
        <v>33</v>
      </c>
      <c r="S620" t="s">
        <v>22</v>
      </c>
      <c r="T620">
        <v>1.5</v>
      </c>
      <c r="U620">
        <v>12.7</v>
      </c>
      <c r="V620">
        <v>7.3</v>
      </c>
      <c r="W620">
        <v>3.5</v>
      </c>
      <c r="X620">
        <v>6.2</v>
      </c>
      <c r="Y620">
        <v>0</v>
      </c>
      <c r="Z620">
        <v>11</v>
      </c>
      <c r="AA620">
        <v>4.7</v>
      </c>
      <c r="AB620">
        <f t="shared" si="18"/>
        <v>45.4</v>
      </c>
      <c r="AC620">
        <v>56.4</v>
      </c>
      <c r="AD620">
        <v>20</v>
      </c>
      <c r="AE620">
        <f t="shared" si="19"/>
        <v>1</v>
      </c>
      <c r="AF620">
        <v>0</v>
      </c>
      <c r="AG620">
        <v>0</v>
      </c>
      <c r="AH620">
        <v>0</v>
      </c>
      <c r="AI620">
        <v>0</v>
      </c>
      <c r="AJ620">
        <v>0.11764705882352941</v>
      </c>
      <c r="AK620">
        <v>0</v>
      </c>
      <c r="AL620">
        <v>0</v>
      </c>
      <c r="AM620">
        <v>0</v>
      </c>
      <c r="AN620">
        <v>0</v>
      </c>
    </row>
    <row r="621" spans="1:40" x14ac:dyDescent="0.25">
      <c r="A621">
        <v>2024</v>
      </c>
      <c r="B621" t="s">
        <v>19</v>
      </c>
      <c r="C621" t="str">
        <f>IF(COUNTIF('Rookies 22-25'!$B$126:$B$197,E621)&gt;0,"(R)","No")</f>
        <v>No</v>
      </c>
      <c r="D621">
        <v>45</v>
      </c>
      <c r="E621" t="s">
        <v>448</v>
      </c>
      <c r="F621" t="s">
        <v>21</v>
      </c>
      <c r="G621">
        <f>VLOOKUP(E621,'24 Draft ADP'!$B$3:$D$436,3,FALSE)</f>
        <v>380</v>
      </c>
      <c r="H621">
        <v>17</v>
      </c>
      <c r="I621">
        <v>3.2</v>
      </c>
      <c r="J621">
        <v>8.8000000000000007</v>
      </c>
      <c r="K621">
        <v>2.1</v>
      </c>
      <c r="L621">
        <v>3.2</v>
      </c>
      <c r="M621">
        <v>7.2</v>
      </c>
      <c r="N621">
        <v>0</v>
      </c>
      <c r="O621">
        <v>1.1000000000000001</v>
      </c>
      <c r="P621">
        <v>3.3</v>
      </c>
      <c r="Q621">
        <v>5.4</v>
      </c>
      <c r="R621">
        <v>3.3</v>
      </c>
      <c r="S621" t="s">
        <v>22</v>
      </c>
      <c r="T621">
        <v>1.5</v>
      </c>
      <c r="U621">
        <v>4.3</v>
      </c>
      <c r="V621">
        <v>0</v>
      </c>
      <c r="W621">
        <v>1.5</v>
      </c>
      <c r="X621">
        <v>0</v>
      </c>
      <c r="Y621">
        <v>4.3</v>
      </c>
      <c r="Z621">
        <v>0</v>
      </c>
      <c r="AA621">
        <v>2.9</v>
      </c>
      <c r="AB621">
        <f t="shared" si="18"/>
        <v>49.2</v>
      </c>
      <c r="AC621">
        <v>49.2</v>
      </c>
      <c r="AD621">
        <v>20</v>
      </c>
      <c r="AE621">
        <f t="shared" si="19"/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</row>
    <row r="622" spans="1:40" x14ac:dyDescent="0.25">
      <c r="A622">
        <v>2023</v>
      </c>
      <c r="B622" t="s">
        <v>19</v>
      </c>
      <c r="C622" t="str">
        <f>IF(COUNTIF('Rookies 22-25'!$B$2:$B$60,E622)&gt;0,"(R)","No")</f>
        <v>(R)</v>
      </c>
      <c r="D622">
        <v>1</v>
      </c>
      <c r="E622" t="s">
        <v>74</v>
      </c>
      <c r="F622" t="s">
        <v>75</v>
      </c>
      <c r="G622">
        <f>VLOOKUP(E622,'23 Draft ADP'!$B$3:$D$323,3,)</f>
        <v>118</v>
      </c>
      <c r="H622">
        <v>17</v>
      </c>
      <c r="I622">
        <v>8.9</v>
      </c>
      <c r="J622">
        <v>11.3</v>
      </c>
      <c r="K622">
        <v>22.4</v>
      </c>
      <c r="L622">
        <v>9.6</v>
      </c>
      <c r="M622">
        <v>19.7</v>
      </c>
      <c r="N622">
        <v>7.6</v>
      </c>
      <c r="O622">
        <v>11.2</v>
      </c>
      <c r="P622">
        <v>19.7</v>
      </c>
      <c r="Q622" t="s">
        <v>22</v>
      </c>
      <c r="R622">
        <v>8</v>
      </c>
      <c r="S622">
        <v>6.8</v>
      </c>
      <c r="T622">
        <v>17.7</v>
      </c>
      <c r="U622">
        <v>29</v>
      </c>
      <c r="V622">
        <v>4.7</v>
      </c>
      <c r="W622">
        <v>28.6</v>
      </c>
      <c r="X622">
        <v>4.8</v>
      </c>
      <c r="Y622">
        <v>15.4</v>
      </c>
      <c r="Z622">
        <v>13.9</v>
      </c>
      <c r="AA622">
        <v>14.1</v>
      </c>
      <c r="AB622">
        <f t="shared" si="18"/>
        <v>225.4</v>
      </c>
      <c r="AC622">
        <v>239.3</v>
      </c>
      <c r="AD622">
        <v>6</v>
      </c>
      <c r="AE622">
        <f t="shared" si="19"/>
        <v>9</v>
      </c>
      <c r="AF622">
        <v>7</v>
      </c>
      <c r="AG622">
        <v>3</v>
      </c>
      <c r="AH622">
        <v>2</v>
      </c>
      <c r="AI622">
        <v>0</v>
      </c>
      <c r="AJ622">
        <v>0.58823529411764708</v>
      </c>
      <c r="AK622">
        <v>0.41176470588235292</v>
      </c>
      <c r="AL622">
        <v>0.17647058823529413</v>
      </c>
      <c r="AM622">
        <v>0.11764705882352941</v>
      </c>
      <c r="AN622">
        <v>0</v>
      </c>
    </row>
    <row r="623" spans="1:40" x14ac:dyDescent="0.25">
      <c r="A623">
        <v>2023</v>
      </c>
      <c r="B623" t="s">
        <v>19</v>
      </c>
      <c r="C623" t="str">
        <f>IF(COUNTIF('Rookies 22-25'!$B$2:$B$60,E623)&gt;0,"(R)","No")</f>
        <v>No</v>
      </c>
      <c r="D623">
        <v>2</v>
      </c>
      <c r="E623" t="s">
        <v>77</v>
      </c>
      <c r="F623" t="s">
        <v>67</v>
      </c>
      <c r="G623">
        <f>VLOOKUP(E623,'23 Draft ADP'!$B$3:$D$323,3,)</f>
        <v>94</v>
      </c>
      <c r="H623">
        <v>17</v>
      </c>
      <c r="I623">
        <v>9.9</v>
      </c>
      <c r="J623">
        <v>11.7</v>
      </c>
      <c r="K623">
        <v>13.7</v>
      </c>
      <c r="L623">
        <v>12.9</v>
      </c>
      <c r="M623">
        <v>6.8</v>
      </c>
      <c r="N623">
        <v>11.1</v>
      </c>
      <c r="O623">
        <v>9.5</v>
      </c>
      <c r="P623">
        <v>16.8</v>
      </c>
      <c r="Q623" t="s">
        <v>22</v>
      </c>
      <c r="R623">
        <v>5.2</v>
      </c>
      <c r="S623">
        <v>6.9</v>
      </c>
      <c r="T623">
        <v>9.9</v>
      </c>
      <c r="U623">
        <v>23.2</v>
      </c>
      <c r="V623">
        <v>32.5</v>
      </c>
      <c r="W623">
        <v>6.8</v>
      </c>
      <c r="X623">
        <v>17.5</v>
      </c>
      <c r="Y623">
        <v>12</v>
      </c>
      <c r="Z623">
        <v>23.9</v>
      </c>
      <c r="AA623">
        <v>13.5</v>
      </c>
      <c r="AB623">
        <f t="shared" si="18"/>
        <v>206.4</v>
      </c>
      <c r="AC623">
        <v>230.3</v>
      </c>
      <c r="AD623">
        <v>10</v>
      </c>
      <c r="AE623">
        <f t="shared" si="19"/>
        <v>9</v>
      </c>
      <c r="AF623">
        <v>5</v>
      </c>
      <c r="AG623">
        <v>3</v>
      </c>
      <c r="AH623">
        <v>1</v>
      </c>
      <c r="AI623">
        <v>1</v>
      </c>
      <c r="AJ623">
        <v>0.58823529411764708</v>
      </c>
      <c r="AK623">
        <v>0.29411764705882354</v>
      </c>
      <c r="AL623">
        <v>0.17647058823529413</v>
      </c>
      <c r="AM623">
        <v>5.8823529411764705E-2</v>
      </c>
      <c r="AN623">
        <v>5.8823529411764705E-2</v>
      </c>
    </row>
    <row r="624" spans="1:40" x14ac:dyDescent="0.25">
      <c r="A624">
        <v>2023</v>
      </c>
      <c r="B624" t="s">
        <v>19</v>
      </c>
      <c r="C624" t="str">
        <f>IF(COUNTIF('Rookies 22-25'!$B$2:$B$60,E624)&gt;0,"(R)","No")</f>
        <v>No</v>
      </c>
      <c r="D624">
        <v>3</v>
      </c>
      <c r="E624" t="s">
        <v>25</v>
      </c>
      <c r="F624" t="s">
        <v>26</v>
      </c>
      <c r="G624">
        <f>VLOOKUP(E624,'23 Draft ADP'!$B$3:$D$323,3,)</f>
        <v>7</v>
      </c>
      <c r="H624">
        <v>15</v>
      </c>
      <c r="I624" t="s">
        <v>33</v>
      </c>
      <c r="J624">
        <v>12.6</v>
      </c>
      <c r="K624">
        <v>19.899999999999999</v>
      </c>
      <c r="L624">
        <v>12</v>
      </c>
      <c r="M624">
        <v>22.7</v>
      </c>
      <c r="N624">
        <v>21.4</v>
      </c>
      <c r="O624">
        <v>35.9</v>
      </c>
      <c r="P624">
        <v>11.8</v>
      </c>
      <c r="Q624">
        <v>4.4000000000000004</v>
      </c>
      <c r="R624" t="s">
        <v>22</v>
      </c>
      <c r="S624">
        <v>15.4</v>
      </c>
      <c r="T624">
        <v>15.1</v>
      </c>
      <c r="U624">
        <v>12.1</v>
      </c>
      <c r="V624">
        <v>14.3</v>
      </c>
      <c r="W624">
        <v>7.8</v>
      </c>
      <c r="X624">
        <v>9.4</v>
      </c>
      <c r="Y624">
        <v>4.5999999999999996</v>
      </c>
      <c r="Z624">
        <v>0</v>
      </c>
      <c r="AA624">
        <v>14.6</v>
      </c>
      <c r="AB624">
        <f t="shared" si="18"/>
        <v>219.4</v>
      </c>
      <c r="AC624">
        <v>219.4</v>
      </c>
      <c r="AD624">
        <v>1</v>
      </c>
      <c r="AE624">
        <f t="shared" si="19"/>
        <v>11</v>
      </c>
      <c r="AF624">
        <v>6</v>
      </c>
      <c r="AG624">
        <v>3</v>
      </c>
      <c r="AH624">
        <v>1</v>
      </c>
      <c r="AI624">
        <v>1</v>
      </c>
      <c r="AJ624">
        <v>0.6470588235294118</v>
      </c>
      <c r="AK624">
        <v>0.4</v>
      </c>
      <c r="AL624">
        <v>0.2</v>
      </c>
      <c r="AM624">
        <v>6.6666666666666666E-2</v>
      </c>
      <c r="AN624">
        <v>6.6666666666666666E-2</v>
      </c>
    </row>
    <row r="625" spans="1:40" x14ac:dyDescent="0.25">
      <c r="A625">
        <v>2023</v>
      </c>
      <c r="B625" t="s">
        <v>19</v>
      </c>
      <c r="C625" t="str">
        <f>IF(COUNTIF('Rookies 22-25'!$B$2:$B$60,E625)&gt;0,"(R)","No")</f>
        <v>No</v>
      </c>
      <c r="D625">
        <v>4</v>
      </c>
      <c r="E625" t="s">
        <v>72</v>
      </c>
      <c r="F625" t="s">
        <v>73</v>
      </c>
      <c r="G625">
        <f>VLOOKUP(E625,'23 Draft ADP'!$B$3:$D$323,3,)</f>
        <v>45</v>
      </c>
      <c r="H625">
        <v>15</v>
      </c>
      <c r="I625">
        <v>11.5</v>
      </c>
      <c r="J625">
        <v>25.6</v>
      </c>
      <c r="K625">
        <v>13.8</v>
      </c>
      <c r="L625">
        <v>4.4000000000000004</v>
      </c>
      <c r="M625">
        <v>10.1</v>
      </c>
      <c r="N625">
        <v>11</v>
      </c>
      <c r="O625">
        <v>19.600000000000001</v>
      </c>
      <c r="P625">
        <v>20.8</v>
      </c>
      <c r="Q625">
        <v>13.9</v>
      </c>
      <c r="R625">
        <v>30.4</v>
      </c>
      <c r="S625">
        <v>9.5</v>
      </c>
      <c r="T625">
        <v>16</v>
      </c>
      <c r="U625" t="s">
        <v>22</v>
      </c>
      <c r="V625">
        <v>10.3</v>
      </c>
      <c r="W625">
        <v>12.3</v>
      </c>
      <c r="X625">
        <v>9.8000000000000007</v>
      </c>
      <c r="Y625" t="s">
        <v>33</v>
      </c>
      <c r="Z625">
        <v>0</v>
      </c>
      <c r="AA625">
        <v>14.6</v>
      </c>
      <c r="AB625">
        <f t="shared" si="18"/>
        <v>219</v>
      </c>
      <c r="AC625">
        <v>219</v>
      </c>
      <c r="AD625">
        <v>7</v>
      </c>
      <c r="AE625">
        <f t="shared" si="19"/>
        <v>12</v>
      </c>
      <c r="AF625">
        <v>5</v>
      </c>
      <c r="AG625">
        <v>3</v>
      </c>
      <c r="AH625">
        <v>2</v>
      </c>
      <c r="AI625">
        <v>1</v>
      </c>
      <c r="AJ625">
        <v>0.70588235294117652</v>
      </c>
      <c r="AK625">
        <v>0.33333333333333331</v>
      </c>
      <c r="AL625">
        <v>0.2</v>
      </c>
      <c r="AM625">
        <v>0.13333333333333333</v>
      </c>
      <c r="AN625">
        <v>6.6666666666666666E-2</v>
      </c>
    </row>
    <row r="626" spans="1:40" x14ac:dyDescent="0.25">
      <c r="A626">
        <v>2023</v>
      </c>
      <c r="B626" t="s">
        <v>19</v>
      </c>
      <c r="C626" t="str">
        <f>IF(COUNTIF('Rookies 22-25'!$B$2:$B$60,E626)&gt;0,"(R)","No")</f>
        <v>No</v>
      </c>
      <c r="D626">
        <v>5</v>
      </c>
      <c r="E626" t="s">
        <v>46</v>
      </c>
      <c r="F626" t="s">
        <v>47</v>
      </c>
      <c r="G626">
        <f>VLOOKUP(E626,'23 Draft ADP'!$B$3:$D$323,3,)</f>
        <v>50</v>
      </c>
      <c r="H626">
        <v>16</v>
      </c>
      <c r="I626">
        <v>4.9000000000000004</v>
      </c>
      <c r="J626">
        <v>6</v>
      </c>
      <c r="K626">
        <v>16</v>
      </c>
      <c r="L626">
        <v>1.9</v>
      </c>
      <c r="M626">
        <v>27.7</v>
      </c>
      <c r="N626">
        <v>1.1000000000000001</v>
      </c>
      <c r="O626">
        <v>13</v>
      </c>
      <c r="P626">
        <v>23.9</v>
      </c>
      <c r="Q626" t="s">
        <v>22</v>
      </c>
      <c r="R626">
        <v>20.6</v>
      </c>
      <c r="S626">
        <v>22.9</v>
      </c>
      <c r="T626">
        <v>4.9000000000000004</v>
      </c>
      <c r="U626">
        <v>10.8</v>
      </c>
      <c r="V626">
        <v>16.600000000000001</v>
      </c>
      <c r="W626">
        <v>7.4</v>
      </c>
      <c r="X626">
        <v>19.600000000000001</v>
      </c>
      <c r="Y626">
        <v>5.9</v>
      </c>
      <c r="Z626">
        <v>0</v>
      </c>
      <c r="AA626">
        <v>12.7</v>
      </c>
      <c r="AB626">
        <f t="shared" si="18"/>
        <v>203.2</v>
      </c>
      <c r="AC626">
        <v>203.2</v>
      </c>
      <c r="AD626">
        <v>2</v>
      </c>
      <c r="AE626">
        <f t="shared" si="19"/>
        <v>9</v>
      </c>
      <c r="AF626">
        <v>7</v>
      </c>
      <c r="AG626">
        <v>4</v>
      </c>
      <c r="AH626">
        <v>1</v>
      </c>
      <c r="AI626">
        <v>0</v>
      </c>
      <c r="AJ626">
        <v>0.52941176470588236</v>
      </c>
      <c r="AK626">
        <v>0.4375</v>
      </c>
      <c r="AL626">
        <v>0.25</v>
      </c>
      <c r="AM626">
        <v>6.25E-2</v>
      </c>
      <c r="AN626">
        <v>0</v>
      </c>
    </row>
    <row r="627" spans="1:40" x14ac:dyDescent="0.25">
      <c r="A627">
        <v>2023</v>
      </c>
      <c r="B627" t="s">
        <v>19</v>
      </c>
      <c r="C627" t="str">
        <f>IF(COUNTIF('Rookies 22-25'!$B$2:$B$60,E627)&gt;0,"(R)","No")</f>
        <v>No</v>
      </c>
      <c r="D627">
        <v>6</v>
      </c>
      <c r="E627" t="s">
        <v>85</v>
      </c>
      <c r="F627" t="s">
        <v>32</v>
      </c>
      <c r="G627">
        <f>VLOOKUP(E627,'23 Draft ADP'!$B$3:$D$323,3,)</f>
        <v>93</v>
      </c>
      <c r="H627">
        <v>16</v>
      </c>
      <c r="I627">
        <v>4.4000000000000004</v>
      </c>
      <c r="J627">
        <v>6.8</v>
      </c>
      <c r="K627">
        <v>6</v>
      </c>
      <c r="L627">
        <v>10.6</v>
      </c>
      <c r="M627" t="s">
        <v>22</v>
      </c>
      <c r="N627">
        <v>5.4</v>
      </c>
      <c r="O627">
        <v>10.4</v>
      </c>
      <c r="P627">
        <v>17.7</v>
      </c>
      <c r="Q627">
        <v>12.6</v>
      </c>
      <c r="R627">
        <v>11.8</v>
      </c>
      <c r="S627">
        <v>12.6</v>
      </c>
      <c r="T627">
        <v>11.9</v>
      </c>
      <c r="U627">
        <v>3.7</v>
      </c>
      <c r="V627">
        <v>27.1</v>
      </c>
      <c r="W627">
        <v>26.4</v>
      </c>
      <c r="X627">
        <v>16.399999999999999</v>
      </c>
      <c r="Y627">
        <v>17.399999999999999</v>
      </c>
      <c r="Z627">
        <v>0</v>
      </c>
      <c r="AA627">
        <v>12.6</v>
      </c>
      <c r="AB627">
        <f t="shared" si="18"/>
        <v>201.2</v>
      </c>
      <c r="AC627">
        <v>201.2</v>
      </c>
      <c r="AD627">
        <v>4</v>
      </c>
      <c r="AE627">
        <f t="shared" si="19"/>
        <v>11</v>
      </c>
      <c r="AF627">
        <v>5</v>
      </c>
      <c r="AG627">
        <v>2</v>
      </c>
      <c r="AH627">
        <v>2</v>
      </c>
      <c r="AI627">
        <v>0</v>
      </c>
      <c r="AJ627">
        <v>0.6470588235294118</v>
      </c>
      <c r="AK627">
        <v>0.3125</v>
      </c>
      <c r="AL627">
        <v>0.125</v>
      </c>
      <c r="AM627">
        <v>0.125</v>
      </c>
      <c r="AN627">
        <v>0</v>
      </c>
    </row>
    <row r="628" spans="1:40" x14ac:dyDescent="0.25">
      <c r="A628">
        <v>2023</v>
      </c>
      <c r="B628" t="s">
        <v>19</v>
      </c>
      <c r="C628" t="str">
        <f>IF(COUNTIF('Rookies 22-25'!$B$2:$B$60,E628)&gt;0,"(R)","No")</f>
        <v>No</v>
      </c>
      <c r="D628">
        <v>7</v>
      </c>
      <c r="E628" t="s">
        <v>20</v>
      </c>
      <c r="F628" t="s">
        <v>21</v>
      </c>
      <c r="G628">
        <f>VLOOKUP(E628,'23 Draft ADP'!$B$3:$D$323,3,)</f>
        <v>234</v>
      </c>
      <c r="H628">
        <v>17</v>
      </c>
      <c r="I628">
        <v>4.3</v>
      </c>
      <c r="J628">
        <v>5.2</v>
      </c>
      <c r="K628">
        <v>1.2</v>
      </c>
      <c r="L628">
        <v>1.5</v>
      </c>
      <c r="M628">
        <v>3.7</v>
      </c>
      <c r="N628">
        <v>10.199999999999999</v>
      </c>
      <c r="O628">
        <v>5.9</v>
      </c>
      <c r="P628">
        <v>25.5</v>
      </c>
      <c r="Q628">
        <v>5.2</v>
      </c>
      <c r="R628">
        <v>21.1</v>
      </c>
      <c r="S628">
        <v>9.3000000000000007</v>
      </c>
      <c r="T628">
        <v>13</v>
      </c>
      <c r="U628">
        <v>22.9</v>
      </c>
      <c r="V628" t="s">
        <v>22</v>
      </c>
      <c r="W628">
        <v>20.2</v>
      </c>
      <c r="X628">
        <v>9.1</v>
      </c>
      <c r="Y628">
        <v>10.8</v>
      </c>
      <c r="Z628">
        <v>12.4</v>
      </c>
      <c r="AA628">
        <v>10.7</v>
      </c>
      <c r="AB628">
        <f t="shared" si="18"/>
        <v>169.1</v>
      </c>
      <c r="AC628">
        <v>181.5</v>
      </c>
      <c r="AD628">
        <v>20</v>
      </c>
      <c r="AE628">
        <f t="shared" si="19"/>
        <v>7</v>
      </c>
      <c r="AF628">
        <v>4</v>
      </c>
      <c r="AG628">
        <v>4</v>
      </c>
      <c r="AH628">
        <v>1</v>
      </c>
      <c r="AI628">
        <v>0</v>
      </c>
      <c r="AJ628">
        <v>0.47058823529411764</v>
      </c>
      <c r="AK628">
        <v>0.23529411764705882</v>
      </c>
      <c r="AL628">
        <v>0.23529411764705882</v>
      </c>
      <c r="AM628">
        <v>5.8823529411764705E-2</v>
      </c>
      <c r="AN628">
        <v>0</v>
      </c>
    </row>
    <row r="629" spans="1:40" x14ac:dyDescent="0.25">
      <c r="A629">
        <v>2023</v>
      </c>
      <c r="B629" t="s">
        <v>19</v>
      </c>
      <c r="C629" t="str">
        <f>IF(COUNTIF('Rookies 22-25'!$B$2:$B$60,E629)&gt;0,"(R)","No")</f>
        <v>No</v>
      </c>
      <c r="D629">
        <v>8</v>
      </c>
      <c r="E629" t="s">
        <v>87</v>
      </c>
      <c r="F629" t="s">
        <v>45</v>
      </c>
      <c r="G629">
        <f>VLOOKUP(E629,'23 Draft ADP'!$B$3:$D$323,3,)</f>
        <v>158</v>
      </c>
      <c r="H629">
        <v>17</v>
      </c>
      <c r="I629">
        <v>9.4</v>
      </c>
      <c r="J629">
        <v>7.8</v>
      </c>
      <c r="K629">
        <v>4.2</v>
      </c>
      <c r="L629">
        <v>27.6</v>
      </c>
      <c r="M629">
        <v>15.2</v>
      </c>
      <c r="N629">
        <v>2.9</v>
      </c>
      <c r="O629">
        <v>0</v>
      </c>
      <c r="P629">
        <v>17.899999999999999</v>
      </c>
      <c r="Q629">
        <v>23.5</v>
      </c>
      <c r="R629">
        <v>9.6</v>
      </c>
      <c r="S629">
        <v>5</v>
      </c>
      <c r="T629">
        <v>11.3</v>
      </c>
      <c r="U629" t="s">
        <v>22</v>
      </c>
      <c r="V629">
        <v>11.6</v>
      </c>
      <c r="W629">
        <v>13.3</v>
      </c>
      <c r="X629">
        <v>14.7</v>
      </c>
      <c r="Y629">
        <v>0</v>
      </c>
      <c r="Z629">
        <v>7.1</v>
      </c>
      <c r="AA629">
        <v>10.7</v>
      </c>
      <c r="AB629">
        <f t="shared" si="18"/>
        <v>174</v>
      </c>
      <c r="AC629">
        <v>181.1</v>
      </c>
      <c r="AD629">
        <v>13</v>
      </c>
      <c r="AE629">
        <f t="shared" si="19"/>
        <v>8</v>
      </c>
      <c r="AF629">
        <v>4</v>
      </c>
      <c r="AG629">
        <v>2</v>
      </c>
      <c r="AH629">
        <v>1</v>
      </c>
      <c r="AI629">
        <v>0</v>
      </c>
      <c r="AJ629">
        <v>0.47058823529411764</v>
      </c>
      <c r="AK629">
        <v>0.23529411764705882</v>
      </c>
      <c r="AL629">
        <v>0.11764705882352941</v>
      </c>
      <c r="AM629">
        <v>5.8823529411764705E-2</v>
      </c>
      <c r="AN629">
        <v>0</v>
      </c>
    </row>
    <row r="630" spans="1:40" x14ac:dyDescent="0.25">
      <c r="A630">
        <v>2023</v>
      </c>
      <c r="B630" t="s">
        <v>19</v>
      </c>
      <c r="C630" t="str">
        <f>IF(COUNTIF('Rookies 22-25'!$B$2:$B$60,E630)&gt;0,"(R)","No")</f>
        <v>No</v>
      </c>
      <c r="D630">
        <v>9</v>
      </c>
      <c r="E630" t="s">
        <v>29</v>
      </c>
      <c r="F630" t="s">
        <v>30</v>
      </c>
      <c r="G630">
        <f>VLOOKUP(E630,'23 Draft ADP'!$B$3:$D$323,3,)</f>
        <v>142</v>
      </c>
      <c r="H630">
        <v>17</v>
      </c>
      <c r="I630">
        <v>3.1</v>
      </c>
      <c r="J630">
        <v>10.1</v>
      </c>
      <c r="K630">
        <v>9.8000000000000007</v>
      </c>
      <c r="L630">
        <v>14.7</v>
      </c>
      <c r="M630">
        <v>5.8</v>
      </c>
      <c r="N630">
        <v>2.5</v>
      </c>
      <c r="O630" t="s">
        <v>22</v>
      </c>
      <c r="P630">
        <v>14.7</v>
      </c>
      <c r="Q630">
        <v>22.1</v>
      </c>
      <c r="R630">
        <v>12.6</v>
      </c>
      <c r="S630">
        <v>6.2</v>
      </c>
      <c r="T630">
        <v>4.5</v>
      </c>
      <c r="U630">
        <v>19.7</v>
      </c>
      <c r="V630">
        <v>12.2</v>
      </c>
      <c r="W630">
        <v>10.4</v>
      </c>
      <c r="X630">
        <v>8.5</v>
      </c>
      <c r="Y630">
        <v>7.3</v>
      </c>
      <c r="Z630">
        <v>12.9</v>
      </c>
      <c r="AA630">
        <v>10.4</v>
      </c>
      <c r="AB630">
        <f t="shared" si="18"/>
        <v>164.2</v>
      </c>
      <c r="AC630">
        <v>177.1</v>
      </c>
      <c r="AD630">
        <v>8</v>
      </c>
      <c r="AE630">
        <f t="shared" si="19"/>
        <v>8</v>
      </c>
      <c r="AF630">
        <v>2</v>
      </c>
      <c r="AG630">
        <v>1</v>
      </c>
      <c r="AH630">
        <v>0</v>
      </c>
      <c r="AI630">
        <v>0</v>
      </c>
      <c r="AJ630">
        <v>0.52941176470588236</v>
      </c>
      <c r="AK630">
        <v>0.11764705882352941</v>
      </c>
      <c r="AL630">
        <v>5.8823529411764705E-2</v>
      </c>
      <c r="AM630">
        <v>0</v>
      </c>
      <c r="AN630">
        <v>0</v>
      </c>
    </row>
    <row r="631" spans="1:40" x14ac:dyDescent="0.25">
      <c r="A631">
        <v>2023</v>
      </c>
      <c r="B631" t="s">
        <v>19</v>
      </c>
      <c r="C631" t="str">
        <f>IF(COUNTIF('Rookies 22-25'!$B$2:$B$60,E631)&gt;0,"(R)","No")</f>
        <v>No</v>
      </c>
      <c r="D631">
        <v>10</v>
      </c>
      <c r="E631" t="s">
        <v>40</v>
      </c>
      <c r="F631" t="s">
        <v>41</v>
      </c>
      <c r="G631">
        <f>VLOOKUP(E631,'23 Draft ADP'!$B$3:$D$323,3,)</f>
        <v>126</v>
      </c>
      <c r="H631">
        <v>15</v>
      </c>
      <c r="I631">
        <v>2.4</v>
      </c>
      <c r="J631">
        <v>7.4</v>
      </c>
      <c r="K631">
        <v>1.9</v>
      </c>
      <c r="L631">
        <v>13.2</v>
      </c>
      <c r="M631">
        <v>19.5</v>
      </c>
      <c r="N631">
        <v>16.100000000000001</v>
      </c>
      <c r="O631" t="s">
        <v>22</v>
      </c>
      <c r="P631">
        <v>2.5</v>
      </c>
      <c r="Q631">
        <v>27</v>
      </c>
      <c r="R631">
        <v>11.1</v>
      </c>
      <c r="S631">
        <v>11.2</v>
      </c>
      <c r="T631">
        <v>1.2</v>
      </c>
      <c r="U631" t="s">
        <v>33</v>
      </c>
      <c r="V631" t="s">
        <v>33</v>
      </c>
      <c r="W631">
        <v>9.8000000000000007</v>
      </c>
      <c r="X631">
        <v>14.1</v>
      </c>
      <c r="Y631">
        <v>3.9</v>
      </c>
      <c r="Z631">
        <v>9.1999999999999993</v>
      </c>
      <c r="AA631">
        <v>10</v>
      </c>
      <c r="AB631">
        <f t="shared" si="18"/>
        <v>141.30000000000001</v>
      </c>
      <c r="AC631">
        <v>150.5</v>
      </c>
      <c r="AD631">
        <v>6</v>
      </c>
      <c r="AE631">
        <f t="shared" si="19"/>
        <v>7</v>
      </c>
      <c r="AF631">
        <v>3</v>
      </c>
      <c r="AG631">
        <v>1</v>
      </c>
      <c r="AH631">
        <v>1</v>
      </c>
      <c r="AI631">
        <v>0</v>
      </c>
      <c r="AJ631">
        <v>0.41176470588235292</v>
      </c>
      <c r="AK631">
        <v>0.2</v>
      </c>
      <c r="AL631">
        <v>6.6666666666666666E-2</v>
      </c>
      <c r="AM631">
        <v>6.6666666666666666E-2</v>
      </c>
      <c r="AN631">
        <v>0</v>
      </c>
    </row>
    <row r="632" spans="1:40" x14ac:dyDescent="0.25">
      <c r="A632">
        <v>2023</v>
      </c>
      <c r="B632" t="s">
        <v>19</v>
      </c>
      <c r="C632" t="str">
        <f>IF(COUNTIF('Rookies 22-25'!$B$2:$B$60,E632)&gt;0,"(R)","No")</f>
        <v>(R)</v>
      </c>
      <c r="D632">
        <v>11</v>
      </c>
      <c r="E632" t="s">
        <v>60</v>
      </c>
      <c r="F632" t="s">
        <v>61</v>
      </c>
      <c r="G632">
        <f>VLOOKUP(E632,'23 Draft ADP'!$B$3:$D$323,3,)</f>
        <v>110</v>
      </c>
      <c r="H632">
        <v>16</v>
      </c>
      <c r="I632">
        <v>6.6</v>
      </c>
      <c r="J632">
        <v>9.3000000000000007</v>
      </c>
      <c r="K632">
        <v>2.2999999999999998</v>
      </c>
      <c r="L632">
        <v>6.7</v>
      </c>
      <c r="M632">
        <v>3.9</v>
      </c>
      <c r="N632" t="s">
        <v>33</v>
      </c>
      <c r="O632">
        <v>15.5</v>
      </c>
      <c r="P632">
        <v>17.5</v>
      </c>
      <c r="Q632">
        <v>16.100000000000001</v>
      </c>
      <c r="R632">
        <v>16.100000000000001</v>
      </c>
      <c r="S632">
        <v>10.6</v>
      </c>
      <c r="T632">
        <v>8.8000000000000007</v>
      </c>
      <c r="U632" t="s">
        <v>22</v>
      </c>
      <c r="V632">
        <v>7.1</v>
      </c>
      <c r="W632">
        <v>0</v>
      </c>
      <c r="X632">
        <v>1.7</v>
      </c>
      <c r="Y632">
        <v>12.7</v>
      </c>
      <c r="Z632">
        <v>15.4</v>
      </c>
      <c r="AA632">
        <v>9.4</v>
      </c>
      <c r="AB632">
        <f t="shared" si="18"/>
        <v>134.9</v>
      </c>
      <c r="AC632">
        <v>150.30000000000001</v>
      </c>
      <c r="AD632">
        <v>5</v>
      </c>
      <c r="AE632">
        <f t="shared" si="19"/>
        <v>6</v>
      </c>
      <c r="AF632">
        <v>5</v>
      </c>
      <c r="AG632">
        <v>0</v>
      </c>
      <c r="AH632">
        <v>0</v>
      </c>
      <c r="AI632">
        <v>0</v>
      </c>
      <c r="AJ632">
        <v>0.41176470588235292</v>
      </c>
      <c r="AK632">
        <v>0.3125</v>
      </c>
      <c r="AL632">
        <v>0</v>
      </c>
      <c r="AM632">
        <v>0</v>
      </c>
      <c r="AN632">
        <v>0</v>
      </c>
    </row>
    <row r="633" spans="1:40" x14ac:dyDescent="0.25">
      <c r="A633">
        <v>2023</v>
      </c>
      <c r="B633" t="s">
        <v>19</v>
      </c>
      <c r="C633" t="str">
        <f>IF(COUNTIF('Rookies 22-25'!$B$2:$B$60,E633)&gt;0,"(R)","No")</f>
        <v>No</v>
      </c>
      <c r="D633">
        <v>12</v>
      </c>
      <c r="E633" t="s">
        <v>440</v>
      </c>
      <c r="F633" t="s">
        <v>37</v>
      </c>
      <c r="G633">
        <f>VLOOKUP(E633,'23 Draft ADP'!$B$3:$D$323,3,)</f>
        <v>207</v>
      </c>
      <c r="H633">
        <v>16</v>
      </c>
      <c r="I633">
        <v>0.4</v>
      </c>
      <c r="J633">
        <v>8.6999999999999993</v>
      </c>
      <c r="K633">
        <v>3.1</v>
      </c>
      <c r="L633">
        <v>3.2</v>
      </c>
      <c r="M633">
        <v>3</v>
      </c>
      <c r="N633">
        <v>12.3</v>
      </c>
      <c r="O633">
        <v>16.8</v>
      </c>
      <c r="P633">
        <v>22.5</v>
      </c>
      <c r="Q633">
        <v>20.6</v>
      </c>
      <c r="R633">
        <v>4.3</v>
      </c>
      <c r="S633" t="s">
        <v>22</v>
      </c>
      <c r="T633">
        <v>8.1</v>
      </c>
      <c r="U633">
        <v>15.4</v>
      </c>
      <c r="V633" t="s">
        <v>33</v>
      </c>
      <c r="W633">
        <v>1.5</v>
      </c>
      <c r="X633">
        <v>0.2</v>
      </c>
      <c r="Y633">
        <v>11.5</v>
      </c>
      <c r="Z633">
        <v>11.9</v>
      </c>
      <c r="AA633">
        <v>9</v>
      </c>
      <c r="AB633">
        <f t="shared" si="18"/>
        <v>131.6</v>
      </c>
      <c r="AC633">
        <v>143.5</v>
      </c>
      <c r="AD633">
        <v>16</v>
      </c>
      <c r="AE633">
        <f t="shared" si="19"/>
        <v>6</v>
      </c>
      <c r="AF633">
        <v>4</v>
      </c>
      <c r="AG633">
        <v>2</v>
      </c>
      <c r="AH633">
        <v>0</v>
      </c>
      <c r="AI633">
        <v>0</v>
      </c>
      <c r="AJ633">
        <v>0.41176470588235292</v>
      </c>
      <c r="AK633">
        <v>0.25</v>
      </c>
      <c r="AL633">
        <v>0.125</v>
      </c>
      <c r="AM633">
        <v>0</v>
      </c>
      <c r="AN633">
        <v>0</v>
      </c>
    </row>
    <row r="634" spans="1:40" x14ac:dyDescent="0.25">
      <c r="A634">
        <v>2023</v>
      </c>
      <c r="B634" t="s">
        <v>19</v>
      </c>
      <c r="C634" t="str">
        <f>IF(COUNTIF('Rookies 22-25'!$B$2:$B$60,E634)&gt;0,"(R)","No")</f>
        <v>No</v>
      </c>
      <c r="D634">
        <v>13</v>
      </c>
      <c r="E634" t="s">
        <v>23</v>
      </c>
      <c r="F634" t="s">
        <v>24</v>
      </c>
      <c r="G634">
        <f>VLOOKUP(E634,'23 Draft ADP'!$B$3:$D$323,3,)</f>
        <v>80</v>
      </c>
      <c r="H634">
        <v>17</v>
      </c>
      <c r="I634">
        <v>6.4</v>
      </c>
      <c r="J634">
        <v>3.5</v>
      </c>
      <c r="K634">
        <v>8.6999999999999993</v>
      </c>
      <c r="L634">
        <v>4.0999999999999996</v>
      </c>
      <c r="M634">
        <v>15.7</v>
      </c>
      <c r="N634">
        <v>14.3</v>
      </c>
      <c r="O634">
        <v>7.7</v>
      </c>
      <c r="P634">
        <v>6.5</v>
      </c>
      <c r="Q634">
        <v>9.6</v>
      </c>
      <c r="R634">
        <v>6</v>
      </c>
      <c r="S634" t="s">
        <v>22</v>
      </c>
      <c r="T634">
        <v>4.2</v>
      </c>
      <c r="U634">
        <v>9.1</v>
      </c>
      <c r="V634">
        <v>14.7</v>
      </c>
      <c r="W634">
        <v>6.7</v>
      </c>
      <c r="X634">
        <v>13.9</v>
      </c>
      <c r="Y634">
        <v>1.5</v>
      </c>
      <c r="Z634">
        <v>4.7</v>
      </c>
      <c r="AA634">
        <v>8.1</v>
      </c>
      <c r="AB634">
        <f t="shared" si="18"/>
        <v>132.60000000000002</v>
      </c>
      <c r="AC634">
        <v>137.30000000000001</v>
      </c>
      <c r="AD634">
        <v>9</v>
      </c>
      <c r="AE634">
        <f t="shared" si="19"/>
        <v>4</v>
      </c>
      <c r="AF634">
        <v>1</v>
      </c>
      <c r="AG634">
        <v>0</v>
      </c>
      <c r="AH634">
        <v>0</v>
      </c>
      <c r="AI634">
        <v>0</v>
      </c>
      <c r="AJ634">
        <v>0.23529411764705882</v>
      </c>
      <c r="AK634">
        <v>5.8823529411764705E-2</v>
      </c>
      <c r="AL634">
        <v>0</v>
      </c>
      <c r="AM634">
        <v>0</v>
      </c>
      <c r="AN634">
        <v>0</v>
      </c>
    </row>
    <row r="635" spans="1:40" x14ac:dyDescent="0.25">
      <c r="A635">
        <v>2023</v>
      </c>
      <c r="B635" t="s">
        <v>19</v>
      </c>
      <c r="C635" t="str">
        <f>IF(COUNTIF('Rookies 22-25'!$B$2:$B$60,E635)&gt;0,"(R)","No")</f>
        <v>No</v>
      </c>
      <c r="D635">
        <v>14</v>
      </c>
      <c r="E635" t="s">
        <v>34</v>
      </c>
      <c r="F635" t="s">
        <v>35</v>
      </c>
      <c r="G635">
        <f>VLOOKUP(E635,'23 Draft ADP'!$B$3:$D$323,3,)</f>
        <v>66</v>
      </c>
      <c r="H635">
        <v>14</v>
      </c>
      <c r="I635">
        <v>0</v>
      </c>
      <c r="J635">
        <v>8.1999999999999993</v>
      </c>
      <c r="K635">
        <v>9.1</v>
      </c>
      <c r="L635">
        <v>4.5</v>
      </c>
      <c r="M635">
        <v>25.7</v>
      </c>
      <c r="N635">
        <v>9.1999999999999993</v>
      </c>
      <c r="O635">
        <v>18.7</v>
      </c>
      <c r="P635">
        <v>7.6</v>
      </c>
      <c r="Q635">
        <v>8</v>
      </c>
      <c r="R635" t="s">
        <v>22</v>
      </c>
      <c r="S635" t="s">
        <v>33</v>
      </c>
      <c r="T635" t="s">
        <v>33</v>
      </c>
      <c r="U635" t="s">
        <v>33</v>
      </c>
      <c r="V635">
        <v>7</v>
      </c>
      <c r="W635">
        <v>7.1</v>
      </c>
      <c r="X635">
        <v>14.1</v>
      </c>
      <c r="Y635">
        <v>15.7</v>
      </c>
      <c r="Z635">
        <v>1.4</v>
      </c>
      <c r="AA635">
        <v>9.6999999999999993</v>
      </c>
      <c r="AB635">
        <f t="shared" si="18"/>
        <v>134.9</v>
      </c>
      <c r="AC635">
        <v>136.30000000000001</v>
      </c>
      <c r="AD635">
        <v>3</v>
      </c>
      <c r="AE635">
        <f t="shared" si="19"/>
        <v>4</v>
      </c>
      <c r="AF635">
        <v>3</v>
      </c>
      <c r="AG635">
        <v>1</v>
      </c>
      <c r="AH635">
        <v>1</v>
      </c>
      <c r="AI635">
        <v>0</v>
      </c>
      <c r="AJ635">
        <v>0.23529411764705882</v>
      </c>
      <c r="AK635">
        <v>0.21428571428571427</v>
      </c>
      <c r="AL635">
        <v>7.1428571428571425E-2</v>
      </c>
      <c r="AM635">
        <v>7.1428571428571425E-2</v>
      </c>
      <c r="AN635">
        <v>0</v>
      </c>
    </row>
    <row r="636" spans="1:40" x14ac:dyDescent="0.25">
      <c r="A636">
        <v>2023</v>
      </c>
      <c r="B636" t="s">
        <v>19</v>
      </c>
      <c r="C636" t="str">
        <f>IF(COUNTIF('Rookies 22-25'!$B$2:$B$60,E636)&gt;0,"(R)","No")</f>
        <v>No</v>
      </c>
      <c r="D636">
        <v>15</v>
      </c>
      <c r="E636" t="s">
        <v>52</v>
      </c>
      <c r="F636" t="s">
        <v>53</v>
      </c>
      <c r="G636">
        <f>VLOOKUP(E636,'23 Draft ADP'!$B$3:$D$323,3,)</f>
        <v>37</v>
      </c>
      <c r="H636">
        <v>10</v>
      </c>
      <c r="I636" t="s">
        <v>33</v>
      </c>
      <c r="J636">
        <v>15.5</v>
      </c>
      <c r="K636">
        <v>7.5</v>
      </c>
      <c r="L636">
        <v>25</v>
      </c>
      <c r="M636">
        <v>12.5</v>
      </c>
      <c r="N636">
        <v>10.9</v>
      </c>
      <c r="O636">
        <v>22.3</v>
      </c>
      <c r="P636">
        <v>14</v>
      </c>
      <c r="Q636">
        <v>17</v>
      </c>
      <c r="R636">
        <v>6.4</v>
      </c>
      <c r="S636">
        <v>4.3</v>
      </c>
      <c r="T636" t="s">
        <v>33</v>
      </c>
      <c r="U636" t="s">
        <v>22</v>
      </c>
      <c r="V636" t="s">
        <v>33</v>
      </c>
      <c r="W636" t="s">
        <v>33</v>
      </c>
      <c r="X636" t="s">
        <v>33</v>
      </c>
      <c r="Y636" t="s">
        <v>33</v>
      </c>
      <c r="Z636">
        <v>0</v>
      </c>
      <c r="AA636">
        <v>13.5</v>
      </c>
      <c r="AB636">
        <f t="shared" si="18"/>
        <v>135.4</v>
      </c>
      <c r="AC636">
        <v>135.4</v>
      </c>
      <c r="AD636">
        <v>2</v>
      </c>
      <c r="AE636">
        <f t="shared" si="19"/>
        <v>7</v>
      </c>
      <c r="AF636">
        <v>4</v>
      </c>
      <c r="AG636">
        <v>2</v>
      </c>
      <c r="AH636">
        <v>0</v>
      </c>
      <c r="AI636">
        <v>0</v>
      </c>
      <c r="AJ636">
        <v>0.41176470588235292</v>
      </c>
      <c r="AK636">
        <v>0.4</v>
      </c>
      <c r="AL636">
        <v>0.2</v>
      </c>
      <c r="AM636">
        <v>0</v>
      </c>
      <c r="AN636">
        <v>0</v>
      </c>
    </row>
    <row r="637" spans="1:40" x14ac:dyDescent="0.25">
      <c r="A637">
        <v>2023</v>
      </c>
      <c r="B637" t="s">
        <v>19</v>
      </c>
      <c r="C637" t="str">
        <f>IF(COUNTIF('Rookies 22-25'!$B$2:$B$60,E637)&gt;0,"(R)","No")</f>
        <v>No</v>
      </c>
      <c r="D637">
        <v>16</v>
      </c>
      <c r="E637" t="s">
        <v>449</v>
      </c>
      <c r="F637" t="s">
        <v>59</v>
      </c>
      <c r="G637">
        <f>VLOOKUP(E637,'23 Draft ADP'!$B$3:$D$323,3,)</f>
        <v>261</v>
      </c>
      <c r="H637">
        <v>16</v>
      </c>
      <c r="I637">
        <v>8.3000000000000007</v>
      </c>
      <c r="J637">
        <v>10.199999999999999</v>
      </c>
      <c r="K637" t="s">
        <v>33</v>
      </c>
      <c r="L637">
        <v>7.3</v>
      </c>
      <c r="M637">
        <v>20.7</v>
      </c>
      <c r="N637">
        <v>1.2</v>
      </c>
      <c r="O637">
        <v>9.1</v>
      </c>
      <c r="P637">
        <v>16.399999999999999</v>
      </c>
      <c r="Q637">
        <v>7.1</v>
      </c>
      <c r="R637">
        <v>9</v>
      </c>
      <c r="S637">
        <v>8.8000000000000007</v>
      </c>
      <c r="T637">
        <v>3.5</v>
      </c>
      <c r="U637">
        <v>2</v>
      </c>
      <c r="V637" t="s">
        <v>22</v>
      </c>
      <c r="W637">
        <v>1.7</v>
      </c>
      <c r="X637">
        <v>14.6</v>
      </c>
      <c r="Y637">
        <v>5</v>
      </c>
      <c r="Z637">
        <v>1.9</v>
      </c>
      <c r="AA637">
        <v>7.9</v>
      </c>
      <c r="AB637">
        <f t="shared" si="18"/>
        <v>124.89999999999999</v>
      </c>
      <c r="AC637">
        <v>126.8</v>
      </c>
      <c r="AD637" t="s">
        <v>450</v>
      </c>
      <c r="AE637">
        <f t="shared" si="19"/>
        <v>4</v>
      </c>
      <c r="AF637">
        <v>2</v>
      </c>
      <c r="AG637">
        <v>1</v>
      </c>
      <c r="AH637">
        <v>0</v>
      </c>
      <c r="AI637">
        <v>0</v>
      </c>
      <c r="AJ637">
        <v>0.23529411764705882</v>
      </c>
      <c r="AK637">
        <v>0.125</v>
      </c>
      <c r="AL637">
        <v>6.25E-2</v>
      </c>
      <c r="AM637">
        <v>0</v>
      </c>
      <c r="AN637">
        <v>0</v>
      </c>
    </row>
    <row r="638" spans="1:40" x14ac:dyDescent="0.25">
      <c r="A638">
        <v>2023</v>
      </c>
      <c r="B638" t="s">
        <v>19</v>
      </c>
      <c r="C638" t="str">
        <f>IF(COUNTIF('Rookies 22-25'!$B$2:$B$60,E638)&gt;0,"(R)","No")</f>
        <v>No</v>
      </c>
      <c r="D638">
        <v>17</v>
      </c>
      <c r="E638" t="s">
        <v>86</v>
      </c>
      <c r="F638" t="s">
        <v>24</v>
      </c>
      <c r="G638">
        <v>260</v>
      </c>
      <c r="H638">
        <v>17</v>
      </c>
      <c r="I638">
        <v>0</v>
      </c>
      <c r="J638">
        <v>8.6999999999999993</v>
      </c>
      <c r="K638">
        <v>8.6999999999999993</v>
      </c>
      <c r="L638">
        <v>15.5</v>
      </c>
      <c r="M638">
        <v>10.7</v>
      </c>
      <c r="N638">
        <v>13.6</v>
      </c>
      <c r="O638">
        <v>5.7</v>
      </c>
      <c r="P638">
        <v>2.2999999999999998</v>
      </c>
      <c r="Q638">
        <v>21</v>
      </c>
      <c r="R638">
        <v>1.1000000000000001</v>
      </c>
      <c r="S638" t="s">
        <v>22</v>
      </c>
      <c r="T638">
        <v>0</v>
      </c>
      <c r="U638">
        <v>3</v>
      </c>
      <c r="V638">
        <v>6.7</v>
      </c>
      <c r="W638">
        <v>8.1</v>
      </c>
      <c r="X638">
        <v>7.2</v>
      </c>
      <c r="Y638">
        <v>0</v>
      </c>
      <c r="Z638">
        <v>11.9</v>
      </c>
      <c r="AA638">
        <v>7.3</v>
      </c>
      <c r="AB638">
        <f t="shared" si="18"/>
        <v>112.3</v>
      </c>
      <c r="AC638">
        <v>124.2</v>
      </c>
      <c r="AD638" t="s">
        <v>450</v>
      </c>
      <c r="AE638">
        <f t="shared" si="19"/>
        <v>4</v>
      </c>
      <c r="AF638">
        <v>2</v>
      </c>
      <c r="AG638">
        <v>1</v>
      </c>
      <c r="AH638">
        <v>0</v>
      </c>
      <c r="AI638">
        <v>0</v>
      </c>
      <c r="AJ638">
        <v>0.29411764705882354</v>
      </c>
      <c r="AK638">
        <v>0.11764705882352941</v>
      </c>
      <c r="AL638">
        <v>5.8823529411764705E-2</v>
      </c>
      <c r="AM638">
        <v>0</v>
      </c>
      <c r="AN638">
        <v>0</v>
      </c>
    </row>
    <row r="639" spans="1:40" x14ac:dyDescent="0.25">
      <c r="A639">
        <v>2023</v>
      </c>
      <c r="B639" t="s">
        <v>19</v>
      </c>
      <c r="C639" t="str">
        <f>IF(COUNTIF('Rookies 22-25'!$B$2:$B$60,E639)&gt;0,"(R)","No")</f>
        <v>No</v>
      </c>
      <c r="D639">
        <v>18</v>
      </c>
      <c r="E639" t="s">
        <v>436</v>
      </c>
      <c r="F639" t="s">
        <v>82</v>
      </c>
      <c r="G639">
        <f>VLOOKUP(E639,'23 Draft ADP'!$B$3:$D$323,3,)</f>
        <v>204</v>
      </c>
      <c r="H639">
        <v>17</v>
      </c>
      <c r="I639">
        <v>1.2</v>
      </c>
      <c r="J639">
        <v>10</v>
      </c>
      <c r="K639">
        <v>5.6</v>
      </c>
      <c r="L639">
        <v>9.8000000000000007</v>
      </c>
      <c r="M639">
        <v>10.7</v>
      </c>
      <c r="N639">
        <v>5.4</v>
      </c>
      <c r="O639" t="s">
        <v>22</v>
      </c>
      <c r="P639">
        <v>0</v>
      </c>
      <c r="Q639">
        <v>12.6</v>
      </c>
      <c r="R639">
        <v>14</v>
      </c>
      <c r="S639">
        <v>3.8</v>
      </c>
      <c r="T639">
        <v>7.3</v>
      </c>
      <c r="U639">
        <v>6.5</v>
      </c>
      <c r="V639">
        <v>9.6999999999999993</v>
      </c>
      <c r="W639">
        <v>5.8</v>
      </c>
      <c r="X639">
        <v>7.6</v>
      </c>
      <c r="Y639">
        <v>9.5</v>
      </c>
      <c r="Z639">
        <v>3.6</v>
      </c>
      <c r="AA639">
        <v>7.2</v>
      </c>
      <c r="AB639">
        <f t="shared" si="18"/>
        <v>119.5</v>
      </c>
      <c r="AC639">
        <v>123.1</v>
      </c>
      <c r="AD639">
        <v>18</v>
      </c>
      <c r="AE639">
        <f t="shared" si="19"/>
        <v>3</v>
      </c>
      <c r="AF639">
        <v>0</v>
      </c>
      <c r="AG639">
        <v>0</v>
      </c>
      <c r="AH639">
        <v>0</v>
      </c>
      <c r="AI639">
        <v>0</v>
      </c>
      <c r="AJ639">
        <v>0.17647058823529413</v>
      </c>
      <c r="AK639">
        <v>0</v>
      </c>
      <c r="AL639">
        <v>0</v>
      </c>
      <c r="AM639">
        <v>0</v>
      </c>
      <c r="AN639">
        <v>0</v>
      </c>
    </row>
    <row r="640" spans="1:40" x14ac:dyDescent="0.25">
      <c r="A640">
        <v>2023</v>
      </c>
      <c r="B640" t="s">
        <v>19</v>
      </c>
      <c r="C640" t="str">
        <f>IF(COUNTIF('Rookies 22-25'!$B$2:$B$60,E640)&gt;0,"(R)","No")</f>
        <v>No</v>
      </c>
      <c r="D640">
        <v>19</v>
      </c>
      <c r="E640" t="s">
        <v>38</v>
      </c>
      <c r="F640" t="s">
        <v>39</v>
      </c>
      <c r="G640">
        <f>VLOOKUP(E640,'23 Draft ADP'!$B$3:$D$323,3,)</f>
        <v>206</v>
      </c>
      <c r="H640">
        <v>14</v>
      </c>
      <c r="I640">
        <v>16.600000000000001</v>
      </c>
      <c r="J640">
        <v>17.2</v>
      </c>
      <c r="K640">
        <v>3.7</v>
      </c>
      <c r="L640">
        <v>9.1</v>
      </c>
      <c r="M640">
        <v>0</v>
      </c>
      <c r="N640">
        <v>1.7</v>
      </c>
      <c r="O640">
        <v>4.7</v>
      </c>
      <c r="P640">
        <v>5.8</v>
      </c>
      <c r="Q640">
        <v>13.9</v>
      </c>
      <c r="R640">
        <v>5.0999999999999996</v>
      </c>
      <c r="S640" t="s">
        <v>22</v>
      </c>
      <c r="T640">
        <v>0</v>
      </c>
      <c r="U640">
        <v>3.5</v>
      </c>
      <c r="V640">
        <v>19</v>
      </c>
      <c r="W640">
        <v>19.600000000000001</v>
      </c>
      <c r="X640" t="s">
        <v>33</v>
      </c>
      <c r="Y640" t="s">
        <v>33</v>
      </c>
      <c r="Z640">
        <v>0</v>
      </c>
      <c r="AA640">
        <v>8.6</v>
      </c>
      <c r="AB640">
        <f t="shared" si="18"/>
        <v>119.9</v>
      </c>
      <c r="AC640">
        <v>119.9</v>
      </c>
      <c r="AD640">
        <v>18</v>
      </c>
      <c r="AE640">
        <f t="shared" si="19"/>
        <v>5</v>
      </c>
      <c r="AF640">
        <v>4</v>
      </c>
      <c r="AG640">
        <v>0</v>
      </c>
      <c r="AH640">
        <v>0</v>
      </c>
      <c r="AI640">
        <v>0</v>
      </c>
      <c r="AJ640">
        <v>0.29411764705882354</v>
      </c>
      <c r="AK640">
        <v>0.2857142857142857</v>
      </c>
      <c r="AL640">
        <v>0</v>
      </c>
      <c r="AM640">
        <v>0</v>
      </c>
      <c r="AN640">
        <v>0</v>
      </c>
    </row>
    <row r="641" spans="1:40" x14ac:dyDescent="0.25">
      <c r="A641">
        <v>2023</v>
      </c>
      <c r="B641" t="s">
        <v>19</v>
      </c>
      <c r="C641" t="str">
        <f>IF(COUNTIF('Rookies 22-25'!$B$2:$B$60,E641)&gt;0,"(R)","No")</f>
        <v>No</v>
      </c>
      <c r="D641">
        <v>20</v>
      </c>
      <c r="E641" t="s">
        <v>64</v>
      </c>
      <c r="F641" t="s">
        <v>65</v>
      </c>
      <c r="G641">
        <f>VLOOKUP(E641,'23 Draft ADP'!$B$3:$D$323,3,)</f>
        <v>197</v>
      </c>
      <c r="H641">
        <v>17</v>
      </c>
      <c r="I641">
        <v>3.9</v>
      </c>
      <c r="J641">
        <v>10.1</v>
      </c>
      <c r="K641">
        <v>2.6</v>
      </c>
      <c r="L641">
        <v>10.3</v>
      </c>
      <c r="M641" t="s">
        <v>22</v>
      </c>
      <c r="N641">
        <v>2.5</v>
      </c>
      <c r="O641">
        <v>9.3000000000000007</v>
      </c>
      <c r="P641">
        <v>8.6999999999999993</v>
      </c>
      <c r="Q641">
        <v>23</v>
      </c>
      <c r="R641">
        <v>3</v>
      </c>
      <c r="S641">
        <v>8.9</v>
      </c>
      <c r="T641">
        <v>8.5</v>
      </c>
      <c r="U641">
        <v>0</v>
      </c>
      <c r="V641">
        <v>9.6</v>
      </c>
      <c r="W641">
        <v>6.4</v>
      </c>
      <c r="X641">
        <v>1.7</v>
      </c>
      <c r="Y641">
        <v>3</v>
      </c>
      <c r="Z641">
        <v>5</v>
      </c>
      <c r="AA641">
        <v>6.9</v>
      </c>
      <c r="AB641">
        <f t="shared" si="18"/>
        <v>111.5</v>
      </c>
      <c r="AC641">
        <v>116.5</v>
      </c>
      <c r="AD641">
        <v>15</v>
      </c>
      <c r="AE641">
        <f t="shared" si="19"/>
        <v>3</v>
      </c>
      <c r="AF641">
        <v>1</v>
      </c>
      <c r="AG641">
        <v>1</v>
      </c>
      <c r="AH641">
        <v>0</v>
      </c>
      <c r="AI641">
        <v>0</v>
      </c>
      <c r="AJ641">
        <v>0.17647058823529413</v>
      </c>
      <c r="AK641">
        <v>5.8823529411764705E-2</v>
      </c>
      <c r="AL641">
        <v>5.8823529411764705E-2</v>
      </c>
      <c r="AM641">
        <v>0</v>
      </c>
      <c r="AN641">
        <v>0</v>
      </c>
    </row>
    <row r="642" spans="1:40" x14ac:dyDescent="0.25">
      <c r="A642">
        <v>2023</v>
      </c>
      <c r="B642" t="s">
        <v>19</v>
      </c>
      <c r="C642" t="str">
        <f>IF(COUNTIF('Rookies 22-25'!$B$2:$B$60,E642)&gt;0,"(R)","No")</f>
        <v>No</v>
      </c>
      <c r="D642">
        <v>21</v>
      </c>
      <c r="E642" t="s">
        <v>62</v>
      </c>
      <c r="F642" t="s">
        <v>63</v>
      </c>
      <c r="G642">
        <f>VLOOKUP(E642,'23 Draft ADP'!$B$3:$D$323,3,)</f>
        <v>157</v>
      </c>
      <c r="H642">
        <v>17</v>
      </c>
      <c r="I642">
        <v>0</v>
      </c>
      <c r="J642">
        <v>7.5</v>
      </c>
      <c r="K642">
        <v>3.7</v>
      </c>
      <c r="L642">
        <v>5.9</v>
      </c>
      <c r="M642">
        <v>8.3000000000000007</v>
      </c>
      <c r="N642">
        <v>3.8</v>
      </c>
      <c r="O642" t="s">
        <v>22</v>
      </c>
      <c r="P642">
        <v>6.7</v>
      </c>
      <c r="Q642">
        <v>5.8</v>
      </c>
      <c r="R642">
        <v>5.7</v>
      </c>
      <c r="S642">
        <v>1.6</v>
      </c>
      <c r="T642">
        <v>8.5</v>
      </c>
      <c r="U642">
        <v>9.4</v>
      </c>
      <c r="V642">
        <v>9.6</v>
      </c>
      <c r="W642">
        <v>6.6</v>
      </c>
      <c r="X642">
        <v>18.3</v>
      </c>
      <c r="Y642">
        <v>6.4</v>
      </c>
      <c r="Z642">
        <v>5.6</v>
      </c>
      <c r="AA642">
        <v>6.7</v>
      </c>
      <c r="AB642">
        <f t="shared" si="18"/>
        <v>107.80000000000001</v>
      </c>
      <c r="AC642">
        <v>113.4</v>
      </c>
      <c r="AD642">
        <v>13</v>
      </c>
      <c r="AE642">
        <f t="shared" si="19"/>
        <v>1</v>
      </c>
      <c r="AF642">
        <v>1</v>
      </c>
      <c r="AG642">
        <v>0</v>
      </c>
      <c r="AH642">
        <v>0</v>
      </c>
      <c r="AI642">
        <v>0</v>
      </c>
      <c r="AJ642">
        <v>5.8823529411764705E-2</v>
      </c>
      <c r="AK642">
        <v>5.8823529411764705E-2</v>
      </c>
      <c r="AL642">
        <v>0</v>
      </c>
      <c r="AM642">
        <v>0</v>
      </c>
      <c r="AN642">
        <v>0</v>
      </c>
    </row>
    <row r="643" spans="1:40" x14ac:dyDescent="0.25">
      <c r="A643">
        <v>2023</v>
      </c>
      <c r="B643" t="s">
        <v>19</v>
      </c>
      <c r="C643" t="str">
        <f>IF(COUNTIF('Rookies 22-25'!$B$2:$B$60,E643)&gt;0,"(R)","No")</f>
        <v>No</v>
      </c>
      <c r="D643">
        <v>22</v>
      </c>
      <c r="E643" t="s">
        <v>83</v>
      </c>
      <c r="F643" t="s">
        <v>57</v>
      </c>
      <c r="G643">
        <f>VLOOKUP(E643,'23 Draft ADP'!$B$3:$D$323,3,)</f>
        <v>58</v>
      </c>
      <c r="H643">
        <v>12</v>
      </c>
      <c r="I643">
        <v>6.6</v>
      </c>
      <c r="J643">
        <v>13.6</v>
      </c>
      <c r="K643">
        <v>5</v>
      </c>
      <c r="L643">
        <v>5.0999999999999996</v>
      </c>
      <c r="M643">
        <v>16.600000000000001</v>
      </c>
      <c r="N643">
        <v>9.3000000000000007</v>
      </c>
      <c r="O643">
        <v>22.8</v>
      </c>
      <c r="P643">
        <v>1.4</v>
      </c>
      <c r="Q643" t="s">
        <v>33</v>
      </c>
      <c r="R643" t="s">
        <v>33</v>
      </c>
      <c r="S643" t="s">
        <v>33</v>
      </c>
      <c r="T643" t="s">
        <v>33</v>
      </c>
      <c r="U643" t="s">
        <v>22</v>
      </c>
      <c r="V643" t="s">
        <v>33</v>
      </c>
      <c r="W643">
        <v>8</v>
      </c>
      <c r="X643">
        <v>5.2</v>
      </c>
      <c r="Y643">
        <v>10.1</v>
      </c>
      <c r="Z643">
        <v>9.5</v>
      </c>
      <c r="AA643">
        <v>9.4</v>
      </c>
      <c r="AB643">
        <f t="shared" ref="AB643:AB706" si="20">AC643-Z643</f>
        <v>103.7</v>
      </c>
      <c r="AC643">
        <v>113.2</v>
      </c>
      <c r="AD643">
        <v>8</v>
      </c>
      <c r="AE643">
        <f t="shared" ref="AE643:AE706" si="21">COUNTIF(I643:Y643,"&gt;10")</f>
        <v>4</v>
      </c>
      <c r="AF643">
        <v>2</v>
      </c>
      <c r="AG643">
        <v>1</v>
      </c>
      <c r="AH643">
        <v>0</v>
      </c>
      <c r="AI643">
        <v>0</v>
      </c>
      <c r="AJ643">
        <v>0.23529411764705882</v>
      </c>
      <c r="AK643">
        <v>0.16666666666666666</v>
      </c>
      <c r="AL643">
        <v>8.3333333333333329E-2</v>
      </c>
      <c r="AM643">
        <v>0</v>
      </c>
      <c r="AN643">
        <v>0</v>
      </c>
    </row>
    <row r="644" spans="1:40" x14ac:dyDescent="0.25">
      <c r="A644">
        <v>2023</v>
      </c>
      <c r="B644" t="s">
        <v>19</v>
      </c>
      <c r="C644" t="str">
        <f>IF(COUNTIF('Rookies 22-25'!$B$2:$B$60,E644)&gt;0,"(R)","No")</f>
        <v>No</v>
      </c>
      <c r="D644">
        <v>23</v>
      </c>
      <c r="E644" t="s">
        <v>451</v>
      </c>
      <c r="F644" t="s">
        <v>51</v>
      </c>
      <c r="G644">
        <f>VLOOKUP(E644,'23 Draft ADP'!$B$3:$D$323,3,)</f>
        <v>166</v>
      </c>
      <c r="H644">
        <v>15</v>
      </c>
      <c r="I644">
        <v>4.3</v>
      </c>
      <c r="J644">
        <v>7.7</v>
      </c>
      <c r="K644">
        <v>9</v>
      </c>
      <c r="L644">
        <v>2.9</v>
      </c>
      <c r="M644" t="s">
        <v>22</v>
      </c>
      <c r="N644">
        <v>10.8</v>
      </c>
      <c r="O644">
        <v>11.6</v>
      </c>
      <c r="P644" t="s">
        <v>33</v>
      </c>
      <c r="Q644">
        <v>3.8</v>
      </c>
      <c r="R644">
        <v>0</v>
      </c>
      <c r="S644" t="s">
        <v>33</v>
      </c>
      <c r="T644">
        <v>14.3</v>
      </c>
      <c r="U644">
        <v>8.4</v>
      </c>
      <c r="V644">
        <v>8.9</v>
      </c>
      <c r="W644">
        <v>9.1</v>
      </c>
      <c r="X644">
        <v>11.2</v>
      </c>
      <c r="Y644">
        <v>7.7</v>
      </c>
      <c r="Z644">
        <v>1.4</v>
      </c>
      <c r="AA644">
        <v>7.4</v>
      </c>
      <c r="AB644">
        <f t="shared" si="20"/>
        <v>109.69999999999999</v>
      </c>
      <c r="AC644">
        <v>111.1</v>
      </c>
      <c r="AD644">
        <v>14</v>
      </c>
      <c r="AE644">
        <f t="shared" si="21"/>
        <v>4</v>
      </c>
      <c r="AF644">
        <v>0</v>
      </c>
      <c r="AG644">
        <v>0</v>
      </c>
      <c r="AH644">
        <v>0</v>
      </c>
      <c r="AI644">
        <v>0</v>
      </c>
      <c r="AJ644">
        <v>0.23529411764705882</v>
      </c>
      <c r="AK644">
        <v>0</v>
      </c>
      <c r="AL644">
        <v>0</v>
      </c>
      <c r="AM644">
        <v>0</v>
      </c>
      <c r="AN644">
        <v>0</v>
      </c>
    </row>
    <row r="645" spans="1:40" x14ac:dyDescent="0.25">
      <c r="A645">
        <v>2023</v>
      </c>
      <c r="B645" t="s">
        <v>19</v>
      </c>
      <c r="C645" t="str">
        <f>IF(COUNTIF('Rookies 22-25'!$B$2:$B$60,E645)&gt;0,"(R)","No")</f>
        <v>No</v>
      </c>
      <c r="D645">
        <v>24</v>
      </c>
      <c r="E645" t="s">
        <v>92</v>
      </c>
      <c r="F645" t="s">
        <v>55</v>
      </c>
      <c r="G645">
        <f>VLOOKUP(E645,'23 Draft ADP'!$B$3:$D$323,3,)</f>
        <v>125</v>
      </c>
      <c r="H645">
        <v>15</v>
      </c>
      <c r="I645">
        <v>7.9</v>
      </c>
      <c r="J645">
        <v>4.2</v>
      </c>
      <c r="K645">
        <v>12.1</v>
      </c>
      <c r="L645">
        <v>11.4</v>
      </c>
      <c r="M645">
        <v>4</v>
      </c>
      <c r="N645">
        <v>3.8</v>
      </c>
      <c r="O645">
        <v>1.7</v>
      </c>
      <c r="P645">
        <v>9.5</v>
      </c>
      <c r="Q645">
        <v>0</v>
      </c>
      <c r="R645" t="s">
        <v>22</v>
      </c>
      <c r="S645">
        <v>2.7</v>
      </c>
      <c r="T645">
        <v>19.899999999999999</v>
      </c>
      <c r="U645">
        <v>5.5</v>
      </c>
      <c r="V645" t="s">
        <v>33</v>
      </c>
      <c r="W645">
        <v>7.6</v>
      </c>
      <c r="X645">
        <v>6</v>
      </c>
      <c r="Y645">
        <v>12.2</v>
      </c>
      <c r="Z645">
        <v>0</v>
      </c>
      <c r="AA645">
        <v>7.2</v>
      </c>
      <c r="AB645">
        <f t="shared" si="20"/>
        <v>108.5</v>
      </c>
      <c r="AC645">
        <v>108.5</v>
      </c>
      <c r="AD645">
        <v>6</v>
      </c>
      <c r="AE645">
        <f t="shared" si="21"/>
        <v>4</v>
      </c>
      <c r="AF645">
        <v>1</v>
      </c>
      <c r="AG645">
        <v>0</v>
      </c>
      <c r="AH645">
        <v>0</v>
      </c>
      <c r="AI645">
        <v>0</v>
      </c>
      <c r="AJ645">
        <v>0.23529411764705882</v>
      </c>
      <c r="AK645">
        <v>6.6666666666666666E-2</v>
      </c>
      <c r="AL645">
        <v>0</v>
      </c>
      <c r="AM645">
        <v>0</v>
      </c>
      <c r="AN645">
        <v>0</v>
      </c>
    </row>
    <row r="646" spans="1:40" x14ac:dyDescent="0.25">
      <c r="A646">
        <v>2023</v>
      </c>
      <c r="B646" t="s">
        <v>19</v>
      </c>
      <c r="C646" t="str">
        <f>IF(COUNTIF('Rookies 22-25'!$B$2:$B$60,E646)&gt;0,"(R)","No")</f>
        <v>No</v>
      </c>
      <c r="D646">
        <v>25</v>
      </c>
      <c r="E646" t="s">
        <v>98</v>
      </c>
      <c r="F646" t="s">
        <v>53</v>
      </c>
      <c r="G646">
        <f>VLOOKUP(E646,'23 Draft ADP'!$B$3:$D$323,3,)</f>
        <v>173</v>
      </c>
      <c r="H646">
        <v>17</v>
      </c>
      <c r="I646">
        <v>1.4</v>
      </c>
      <c r="J646">
        <v>1.8</v>
      </c>
      <c r="K646">
        <v>3</v>
      </c>
      <c r="L646">
        <v>0</v>
      </c>
      <c r="M646">
        <v>0</v>
      </c>
      <c r="N646">
        <v>0</v>
      </c>
      <c r="O646">
        <v>0</v>
      </c>
      <c r="P646">
        <v>2</v>
      </c>
      <c r="Q646">
        <v>8.1999999999999993</v>
      </c>
      <c r="R646">
        <v>1.5</v>
      </c>
      <c r="S646">
        <v>0</v>
      </c>
      <c r="T646">
        <v>8</v>
      </c>
      <c r="U646" t="s">
        <v>22</v>
      </c>
      <c r="V646">
        <v>19.3</v>
      </c>
      <c r="W646">
        <v>18</v>
      </c>
      <c r="X646">
        <v>8.6</v>
      </c>
      <c r="Y646">
        <v>18.2</v>
      </c>
      <c r="Z646">
        <v>11.1</v>
      </c>
      <c r="AA646">
        <v>5.9</v>
      </c>
      <c r="AB646">
        <f t="shared" si="20"/>
        <v>90</v>
      </c>
      <c r="AC646">
        <v>101.1</v>
      </c>
      <c r="AD646">
        <v>14</v>
      </c>
      <c r="AE646">
        <f t="shared" si="21"/>
        <v>3</v>
      </c>
      <c r="AF646">
        <v>3</v>
      </c>
      <c r="AG646">
        <v>0</v>
      </c>
      <c r="AH646">
        <v>0</v>
      </c>
      <c r="AI646">
        <v>0</v>
      </c>
      <c r="AJ646">
        <v>0.23529411764705882</v>
      </c>
      <c r="AK646">
        <v>0.17647058823529413</v>
      </c>
      <c r="AL646">
        <v>0</v>
      </c>
      <c r="AM646">
        <v>0</v>
      </c>
      <c r="AN646">
        <v>0</v>
      </c>
    </row>
    <row r="647" spans="1:40" x14ac:dyDescent="0.25">
      <c r="A647">
        <v>2023</v>
      </c>
      <c r="B647" t="s">
        <v>19</v>
      </c>
      <c r="C647" t="str">
        <f>IF(COUNTIF('Rookies 22-25'!$B$2:$B$60,E647)&gt;0,"(R)","No")</f>
        <v>No</v>
      </c>
      <c r="D647">
        <v>26</v>
      </c>
      <c r="E647" t="s">
        <v>36</v>
      </c>
      <c r="F647" t="s">
        <v>37</v>
      </c>
      <c r="G647">
        <f>VLOOKUP(E647,'23 Draft ADP'!$B$3:$D$323,3,)</f>
        <v>153</v>
      </c>
      <c r="H647">
        <v>13</v>
      </c>
      <c r="I647">
        <v>6.6</v>
      </c>
      <c r="J647">
        <v>3.3</v>
      </c>
      <c r="K647">
        <v>3.2</v>
      </c>
      <c r="L647" t="s">
        <v>33</v>
      </c>
      <c r="M647" t="s">
        <v>33</v>
      </c>
      <c r="N647" t="s">
        <v>33</v>
      </c>
      <c r="O647" t="s">
        <v>33</v>
      </c>
      <c r="P647">
        <v>1.5</v>
      </c>
      <c r="Q647">
        <v>13.9</v>
      </c>
      <c r="R647">
        <v>1.2</v>
      </c>
      <c r="S647" t="s">
        <v>22</v>
      </c>
      <c r="T647">
        <v>8.5</v>
      </c>
      <c r="U647">
        <v>0</v>
      </c>
      <c r="V647">
        <v>3</v>
      </c>
      <c r="W647">
        <v>11.8</v>
      </c>
      <c r="X647">
        <v>14.8</v>
      </c>
      <c r="Y647">
        <v>23</v>
      </c>
      <c r="Z647">
        <v>7</v>
      </c>
      <c r="AA647">
        <v>7.5</v>
      </c>
      <c r="AB647">
        <f t="shared" si="20"/>
        <v>90.8</v>
      </c>
      <c r="AC647">
        <v>97.8</v>
      </c>
      <c r="AD647">
        <v>13</v>
      </c>
      <c r="AE647">
        <f t="shared" si="21"/>
        <v>4</v>
      </c>
      <c r="AF647">
        <v>1</v>
      </c>
      <c r="AG647">
        <v>1</v>
      </c>
      <c r="AH647">
        <v>0</v>
      </c>
      <c r="AI647">
        <v>0</v>
      </c>
      <c r="AJ647">
        <v>0.23529411764705882</v>
      </c>
      <c r="AK647">
        <v>7.6923076923076927E-2</v>
      </c>
      <c r="AL647">
        <v>7.6923076923076927E-2</v>
      </c>
      <c r="AM647">
        <v>0</v>
      </c>
      <c r="AN647">
        <v>0</v>
      </c>
    </row>
    <row r="648" spans="1:40" x14ac:dyDescent="0.25">
      <c r="A648">
        <v>2023</v>
      </c>
      <c r="B648" t="s">
        <v>19</v>
      </c>
      <c r="C648" t="str">
        <f>IF(COUNTIF('Rookies 22-25'!$B$2:$B$60,E648)&gt;0,"(R)","No")</f>
        <v>No</v>
      </c>
      <c r="D648">
        <v>27</v>
      </c>
      <c r="E648" t="s">
        <v>452</v>
      </c>
      <c r="F648" t="s">
        <v>89</v>
      </c>
      <c r="G648">
        <v>263</v>
      </c>
      <c r="H648">
        <v>12</v>
      </c>
      <c r="I648" t="s">
        <v>33</v>
      </c>
      <c r="J648" t="s">
        <v>33</v>
      </c>
      <c r="K648">
        <v>5</v>
      </c>
      <c r="L648">
        <v>3.8</v>
      </c>
      <c r="M648" t="s">
        <v>33</v>
      </c>
      <c r="N648" t="s">
        <v>33</v>
      </c>
      <c r="O648" t="s">
        <v>22</v>
      </c>
      <c r="P648" t="s">
        <v>33</v>
      </c>
      <c r="Q648">
        <v>8.5</v>
      </c>
      <c r="R648">
        <v>9.3000000000000007</v>
      </c>
      <c r="S648">
        <v>8.9</v>
      </c>
      <c r="T648">
        <v>5.8</v>
      </c>
      <c r="U648">
        <v>7.5</v>
      </c>
      <c r="V648">
        <v>10.1</v>
      </c>
      <c r="W648">
        <v>9.9</v>
      </c>
      <c r="X648">
        <v>1.5</v>
      </c>
      <c r="Y648">
        <v>6.8</v>
      </c>
      <c r="Z648">
        <v>3.1</v>
      </c>
      <c r="AA648">
        <v>6.7</v>
      </c>
      <c r="AB648">
        <f t="shared" si="20"/>
        <v>77.100000000000009</v>
      </c>
      <c r="AC648">
        <v>80.2</v>
      </c>
      <c r="AD648">
        <v>20</v>
      </c>
      <c r="AE648">
        <f t="shared" si="21"/>
        <v>1</v>
      </c>
      <c r="AF648">
        <v>0</v>
      </c>
      <c r="AG648">
        <v>0</v>
      </c>
      <c r="AH648">
        <v>0</v>
      </c>
      <c r="AI648">
        <v>0</v>
      </c>
      <c r="AJ648">
        <v>5.8823529411764705E-2</v>
      </c>
      <c r="AK648">
        <v>0</v>
      </c>
      <c r="AL648">
        <v>0</v>
      </c>
      <c r="AM648">
        <v>0</v>
      </c>
      <c r="AN648">
        <v>0</v>
      </c>
    </row>
    <row r="649" spans="1:40" x14ac:dyDescent="0.25">
      <c r="A649">
        <v>2023</v>
      </c>
      <c r="B649" t="s">
        <v>19</v>
      </c>
      <c r="C649" t="str">
        <f>IF(COUNTIF('Rookies 22-25'!$B$2:$B$60,E649)&gt;0,"(R)","No")</f>
        <v>No</v>
      </c>
      <c r="D649">
        <v>28</v>
      </c>
      <c r="E649" t="s">
        <v>453</v>
      </c>
      <c r="F649" t="s">
        <v>51</v>
      </c>
      <c r="G649">
        <v>264</v>
      </c>
      <c r="H649">
        <v>14</v>
      </c>
      <c r="I649">
        <v>11.2</v>
      </c>
      <c r="J649">
        <v>1.7</v>
      </c>
      <c r="K649">
        <v>14.4</v>
      </c>
      <c r="L649">
        <v>0</v>
      </c>
      <c r="M649" t="s">
        <v>22</v>
      </c>
      <c r="N649">
        <v>3.9</v>
      </c>
      <c r="O649">
        <v>1.9</v>
      </c>
      <c r="P649">
        <v>14.3</v>
      </c>
      <c r="Q649">
        <v>0</v>
      </c>
      <c r="R649">
        <v>3.8</v>
      </c>
      <c r="S649">
        <v>9.6999999999999993</v>
      </c>
      <c r="T649">
        <v>0</v>
      </c>
      <c r="U649">
        <v>3.2</v>
      </c>
      <c r="V649">
        <v>2.1</v>
      </c>
      <c r="W649" t="s">
        <v>33</v>
      </c>
      <c r="X649" t="s">
        <v>33</v>
      </c>
      <c r="Y649" t="s">
        <v>33</v>
      </c>
      <c r="Z649">
        <v>13.3</v>
      </c>
      <c r="AA649">
        <v>5.7</v>
      </c>
      <c r="AB649">
        <f t="shared" si="20"/>
        <v>66.2</v>
      </c>
      <c r="AC649">
        <v>79.5</v>
      </c>
      <c r="AD649" t="s">
        <v>450</v>
      </c>
      <c r="AE649">
        <f t="shared" si="21"/>
        <v>3</v>
      </c>
      <c r="AF649">
        <v>0</v>
      </c>
      <c r="AG649">
        <v>0</v>
      </c>
      <c r="AH649">
        <v>0</v>
      </c>
      <c r="AI649">
        <v>0</v>
      </c>
      <c r="AJ649">
        <v>0.23529411764705882</v>
      </c>
      <c r="AK649">
        <v>0</v>
      </c>
      <c r="AL649">
        <v>0</v>
      </c>
      <c r="AM649">
        <v>0</v>
      </c>
      <c r="AN649">
        <v>0</v>
      </c>
    </row>
    <row r="650" spans="1:40" x14ac:dyDescent="0.25">
      <c r="A650">
        <v>2023</v>
      </c>
      <c r="B650" t="s">
        <v>19</v>
      </c>
      <c r="C650" t="str">
        <f>IF(COUNTIF('Rookies 22-25'!$B$2:$B$60,E650)&gt;0,"(R)","No")</f>
        <v>(R)</v>
      </c>
      <c r="D650">
        <v>29</v>
      </c>
      <c r="E650" t="s">
        <v>68</v>
      </c>
      <c r="F650" t="s">
        <v>69</v>
      </c>
      <c r="G650">
        <f>VLOOKUP(E650,'23 Draft ADP'!$B$3:$D$323,3,)</f>
        <v>259</v>
      </c>
      <c r="H650">
        <v>17</v>
      </c>
      <c r="I650">
        <v>0</v>
      </c>
      <c r="J650">
        <v>0</v>
      </c>
      <c r="K650">
        <v>0</v>
      </c>
      <c r="L650">
        <v>2.5</v>
      </c>
      <c r="M650">
        <v>0</v>
      </c>
      <c r="N650" t="s">
        <v>22</v>
      </c>
      <c r="O650">
        <v>0</v>
      </c>
      <c r="P650">
        <v>0</v>
      </c>
      <c r="Q650">
        <v>0</v>
      </c>
      <c r="R650">
        <v>1.6</v>
      </c>
      <c r="S650">
        <v>5.2</v>
      </c>
      <c r="T650">
        <v>9.5</v>
      </c>
      <c r="U650">
        <v>6.7</v>
      </c>
      <c r="V650">
        <v>10.4</v>
      </c>
      <c r="W650">
        <v>15.7</v>
      </c>
      <c r="X650">
        <v>10</v>
      </c>
      <c r="Y650">
        <v>10.8</v>
      </c>
      <c r="Z650">
        <v>6.1</v>
      </c>
      <c r="AA650">
        <v>4.5999999999999996</v>
      </c>
      <c r="AB650">
        <f t="shared" si="20"/>
        <v>72.400000000000006</v>
      </c>
      <c r="AC650">
        <v>78.5</v>
      </c>
      <c r="AD650">
        <v>19</v>
      </c>
      <c r="AE650">
        <f t="shared" si="21"/>
        <v>3</v>
      </c>
      <c r="AF650">
        <v>1</v>
      </c>
      <c r="AG650">
        <v>0</v>
      </c>
      <c r="AH650">
        <v>0</v>
      </c>
      <c r="AI650">
        <v>0</v>
      </c>
      <c r="AJ650">
        <v>0.17647058823529413</v>
      </c>
      <c r="AK650">
        <v>5.8823529411764705E-2</v>
      </c>
      <c r="AL650">
        <v>0</v>
      </c>
      <c r="AM650">
        <v>0</v>
      </c>
      <c r="AN650">
        <v>0</v>
      </c>
    </row>
    <row r="651" spans="1:40" x14ac:dyDescent="0.25">
      <c r="A651">
        <v>2023</v>
      </c>
      <c r="B651" t="s">
        <v>19</v>
      </c>
      <c r="C651" t="str">
        <f>IF(COUNTIF('Rookies 22-25'!$B$2:$B$60,E651)&gt;0,"(R)","No")</f>
        <v>No</v>
      </c>
      <c r="D651">
        <v>30</v>
      </c>
      <c r="E651" t="s">
        <v>70</v>
      </c>
      <c r="F651" t="s">
        <v>71</v>
      </c>
      <c r="G651">
        <f>VLOOKUP(E651,'23 Draft ADP'!$B$3:$D$323,3,)</f>
        <v>106</v>
      </c>
      <c r="H651">
        <v>12</v>
      </c>
      <c r="I651">
        <v>7.3</v>
      </c>
      <c r="J651">
        <v>1.2</v>
      </c>
      <c r="K651">
        <v>13.1</v>
      </c>
      <c r="L651">
        <v>3.7</v>
      </c>
      <c r="M651" t="s">
        <v>33</v>
      </c>
      <c r="N651" t="s">
        <v>22</v>
      </c>
      <c r="O651" t="s">
        <v>33</v>
      </c>
      <c r="P651" t="s">
        <v>33</v>
      </c>
      <c r="Q651" t="s">
        <v>33</v>
      </c>
      <c r="R651" t="s">
        <v>33</v>
      </c>
      <c r="S651">
        <v>1.7</v>
      </c>
      <c r="T651">
        <v>21</v>
      </c>
      <c r="U651">
        <v>5.9</v>
      </c>
      <c r="V651">
        <v>6.8</v>
      </c>
      <c r="W651">
        <v>4.5999999999999996</v>
      </c>
      <c r="X651">
        <v>0</v>
      </c>
      <c r="Y651">
        <v>7.4</v>
      </c>
      <c r="Z651">
        <v>4.0999999999999996</v>
      </c>
      <c r="AA651">
        <v>6.4</v>
      </c>
      <c r="AB651">
        <f t="shared" si="20"/>
        <v>72.7</v>
      </c>
      <c r="AC651">
        <v>76.8</v>
      </c>
      <c r="AD651">
        <v>10</v>
      </c>
      <c r="AE651">
        <f t="shared" si="21"/>
        <v>2</v>
      </c>
      <c r="AF651">
        <v>1</v>
      </c>
      <c r="AG651">
        <v>1</v>
      </c>
      <c r="AH651">
        <v>0</v>
      </c>
      <c r="AI651">
        <v>0</v>
      </c>
      <c r="AJ651">
        <v>0.11764705882352941</v>
      </c>
      <c r="AK651">
        <v>8.3333333333333329E-2</v>
      </c>
      <c r="AL651">
        <v>8.3333333333333329E-2</v>
      </c>
      <c r="AM651">
        <v>0</v>
      </c>
      <c r="AN651">
        <v>0</v>
      </c>
    </row>
    <row r="652" spans="1:40" x14ac:dyDescent="0.25">
      <c r="A652">
        <v>2023</v>
      </c>
      <c r="B652" t="s">
        <v>19</v>
      </c>
      <c r="C652" t="str">
        <f>IF(COUNTIF('Rookies 22-25'!$B$2:$B$60,E652)&gt;0,"(R)","No")</f>
        <v>(R)</v>
      </c>
      <c r="D652">
        <v>31</v>
      </c>
      <c r="E652" t="s">
        <v>454</v>
      </c>
      <c r="F652" t="s">
        <v>69</v>
      </c>
      <c r="G652">
        <f>VLOOKUP(E652,'23 Draft ADP'!$B$3:$D$323,3,)</f>
        <v>182</v>
      </c>
      <c r="H652">
        <v>11</v>
      </c>
      <c r="I652">
        <v>8</v>
      </c>
      <c r="J652">
        <v>4.5</v>
      </c>
      <c r="K652">
        <v>10.9</v>
      </c>
      <c r="L652">
        <v>1.1000000000000001</v>
      </c>
      <c r="M652">
        <v>9.4</v>
      </c>
      <c r="N652" t="s">
        <v>22</v>
      </c>
      <c r="O652">
        <v>7</v>
      </c>
      <c r="P652">
        <v>2.9</v>
      </c>
      <c r="Q652">
        <v>14.1</v>
      </c>
      <c r="R652">
        <v>8.4</v>
      </c>
      <c r="S652">
        <v>6.8</v>
      </c>
      <c r="T652" t="s">
        <v>33</v>
      </c>
      <c r="U652" t="s">
        <v>33</v>
      </c>
      <c r="V652" t="s">
        <v>33</v>
      </c>
      <c r="W652" t="s">
        <v>33</v>
      </c>
      <c r="X652" t="s">
        <v>33</v>
      </c>
      <c r="Y652" t="s">
        <v>33</v>
      </c>
      <c r="Z652">
        <v>2.1</v>
      </c>
      <c r="AA652">
        <v>6.8</v>
      </c>
      <c r="AB652">
        <f t="shared" si="20"/>
        <v>73.100000000000009</v>
      </c>
      <c r="AC652">
        <v>75.2</v>
      </c>
      <c r="AD652">
        <v>15</v>
      </c>
      <c r="AE652">
        <f t="shared" si="21"/>
        <v>2</v>
      </c>
      <c r="AF652">
        <v>0</v>
      </c>
      <c r="AG652">
        <v>0</v>
      </c>
      <c r="AH652">
        <v>0</v>
      </c>
      <c r="AI652">
        <v>0</v>
      </c>
      <c r="AJ652">
        <v>0.11764705882352941</v>
      </c>
      <c r="AK652">
        <v>0</v>
      </c>
      <c r="AL652">
        <v>0</v>
      </c>
      <c r="AM652">
        <v>0</v>
      </c>
      <c r="AN652">
        <v>0</v>
      </c>
    </row>
    <row r="653" spans="1:40" x14ac:dyDescent="0.25">
      <c r="A653">
        <v>2023</v>
      </c>
      <c r="B653" t="s">
        <v>19</v>
      </c>
      <c r="C653" t="str">
        <f>IF(COUNTIF('Rookies 22-25'!$B$2:$B$60,E653)&gt;0,"(R)","No")</f>
        <v>No</v>
      </c>
      <c r="D653">
        <v>32</v>
      </c>
      <c r="E653" t="s">
        <v>88</v>
      </c>
      <c r="F653" t="s">
        <v>49</v>
      </c>
      <c r="G653">
        <f>VLOOKUP(E653,'23 Draft ADP'!$B$3:$D$323,3,)</f>
        <v>238</v>
      </c>
      <c r="H653">
        <v>17</v>
      </c>
      <c r="I653">
        <v>0</v>
      </c>
      <c r="J653">
        <v>9.6</v>
      </c>
      <c r="K653">
        <v>8.1</v>
      </c>
      <c r="L653">
        <v>8.3000000000000007</v>
      </c>
      <c r="M653" t="s">
        <v>22</v>
      </c>
      <c r="N653">
        <v>1.9</v>
      </c>
      <c r="O653">
        <v>3.5</v>
      </c>
      <c r="P653">
        <v>5.2</v>
      </c>
      <c r="Q653">
        <v>0</v>
      </c>
      <c r="R653">
        <v>2.6</v>
      </c>
      <c r="S653">
        <v>1.4</v>
      </c>
      <c r="T653">
        <v>4.5</v>
      </c>
      <c r="U653">
        <v>7.3</v>
      </c>
      <c r="V653">
        <v>5.5</v>
      </c>
      <c r="W653">
        <v>4.5999999999999996</v>
      </c>
      <c r="X653">
        <v>0</v>
      </c>
      <c r="Y653">
        <v>10.9</v>
      </c>
      <c r="Z653">
        <v>0</v>
      </c>
      <c r="AA653">
        <v>4.3</v>
      </c>
      <c r="AB653">
        <f t="shared" si="20"/>
        <v>73.400000000000006</v>
      </c>
      <c r="AC653">
        <v>73.400000000000006</v>
      </c>
      <c r="AD653" t="s">
        <v>450</v>
      </c>
      <c r="AE653">
        <f t="shared" si="21"/>
        <v>1</v>
      </c>
      <c r="AF653">
        <v>0</v>
      </c>
      <c r="AG653">
        <v>0</v>
      </c>
      <c r="AH653">
        <v>0</v>
      </c>
      <c r="AI653">
        <v>0</v>
      </c>
      <c r="AJ653">
        <v>5.8823529411764705E-2</v>
      </c>
      <c r="AK653">
        <v>0</v>
      </c>
      <c r="AL653">
        <v>0</v>
      </c>
      <c r="AM653">
        <v>0</v>
      </c>
      <c r="AN653">
        <v>0</v>
      </c>
    </row>
    <row r="654" spans="1:40" x14ac:dyDescent="0.25">
      <c r="A654">
        <v>2023</v>
      </c>
      <c r="B654" t="s">
        <v>19</v>
      </c>
      <c r="C654" t="str">
        <f>IF(COUNTIF('Rookies 22-25'!$B$2:$B$60,E654)&gt;0,"(R)","No")</f>
        <v>No</v>
      </c>
      <c r="D654">
        <v>33</v>
      </c>
      <c r="E654" t="s">
        <v>455</v>
      </c>
      <c r="F654" t="s">
        <v>28</v>
      </c>
      <c r="G654">
        <f>VLOOKUP(E654,'23 Draft ADP'!$B$3:$D$323,3,)</f>
        <v>274</v>
      </c>
      <c r="H654">
        <v>15</v>
      </c>
      <c r="I654">
        <v>7.9</v>
      </c>
      <c r="J654">
        <v>10.6</v>
      </c>
      <c r="K654">
        <v>2.9</v>
      </c>
      <c r="L654">
        <v>4.4000000000000004</v>
      </c>
      <c r="M654">
        <v>3.5</v>
      </c>
      <c r="N654">
        <v>9.6999999999999993</v>
      </c>
      <c r="O654" t="s">
        <v>33</v>
      </c>
      <c r="P654" t="s">
        <v>33</v>
      </c>
      <c r="Q654">
        <v>0</v>
      </c>
      <c r="R654">
        <v>1.5</v>
      </c>
      <c r="S654" t="s">
        <v>22</v>
      </c>
      <c r="T654">
        <v>0</v>
      </c>
      <c r="U654">
        <v>10.4</v>
      </c>
      <c r="V654">
        <v>3.7</v>
      </c>
      <c r="W654">
        <v>1.6</v>
      </c>
      <c r="X654">
        <v>11.2</v>
      </c>
      <c r="Y654">
        <v>2.2999999999999998</v>
      </c>
      <c r="Z654">
        <v>3.3</v>
      </c>
      <c r="AA654">
        <v>4.9000000000000004</v>
      </c>
      <c r="AB654">
        <f t="shared" si="20"/>
        <v>69.7</v>
      </c>
      <c r="AC654">
        <v>73</v>
      </c>
      <c r="AD654">
        <v>20</v>
      </c>
      <c r="AE654">
        <f t="shared" si="21"/>
        <v>3</v>
      </c>
      <c r="AF654">
        <v>0</v>
      </c>
      <c r="AG654">
        <v>0</v>
      </c>
      <c r="AH654">
        <v>0</v>
      </c>
      <c r="AI654">
        <v>0</v>
      </c>
      <c r="AJ654">
        <v>0.17647058823529413</v>
      </c>
      <c r="AK654">
        <v>0</v>
      </c>
      <c r="AL654">
        <v>0</v>
      </c>
      <c r="AM654">
        <v>0</v>
      </c>
      <c r="AN654">
        <v>0</v>
      </c>
    </row>
    <row r="655" spans="1:40" x14ac:dyDescent="0.25">
      <c r="A655">
        <v>2023</v>
      </c>
      <c r="B655" t="s">
        <v>19</v>
      </c>
      <c r="C655" t="str">
        <f>IF(COUNTIF('Rookies 22-25'!$B$2:$B$60,E655)&gt;0,"(R)","No")</f>
        <v>No</v>
      </c>
      <c r="D655">
        <v>34</v>
      </c>
      <c r="E655" t="s">
        <v>456</v>
      </c>
      <c r="F655" t="s">
        <v>84</v>
      </c>
      <c r="G655">
        <f>VLOOKUP(E655,'23 Draft ADP'!$B$3:$D$323,3,)</f>
        <v>230</v>
      </c>
      <c r="H655">
        <v>16</v>
      </c>
      <c r="I655">
        <v>7.4</v>
      </c>
      <c r="J655">
        <v>5.3</v>
      </c>
      <c r="K655">
        <v>2.5</v>
      </c>
      <c r="L655">
        <v>8.1</v>
      </c>
      <c r="M655">
        <v>0</v>
      </c>
      <c r="N655">
        <v>0</v>
      </c>
      <c r="O655">
        <v>0</v>
      </c>
      <c r="P655">
        <v>5.8</v>
      </c>
      <c r="Q655">
        <v>4.7</v>
      </c>
      <c r="R655" t="s">
        <v>22</v>
      </c>
      <c r="S655" t="s">
        <v>33</v>
      </c>
      <c r="T655">
        <v>2</v>
      </c>
      <c r="U655">
        <v>0</v>
      </c>
      <c r="V655">
        <v>3.6</v>
      </c>
      <c r="W655">
        <v>7.2</v>
      </c>
      <c r="X655">
        <v>10.6</v>
      </c>
      <c r="Y655">
        <v>8.4</v>
      </c>
      <c r="Z655">
        <v>6</v>
      </c>
      <c r="AA655">
        <v>4.5</v>
      </c>
      <c r="AB655">
        <f t="shared" si="20"/>
        <v>65.599999999999994</v>
      </c>
      <c r="AC655">
        <v>71.599999999999994</v>
      </c>
      <c r="AD655">
        <v>17</v>
      </c>
      <c r="AE655">
        <f t="shared" si="21"/>
        <v>1</v>
      </c>
      <c r="AF655">
        <v>0</v>
      </c>
      <c r="AG655">
        <v>0</v>
      </c>
      <c r="AH655">
        <v>0</v>
      </c>
      <c r="AI655">
        <v>0</v>
      </c>
      <c r="AJ655">
        <v>5.8823529411764705E-2</v>
      </c>
      <c r="AK655">
        <v>0</v>
      </c>
      <c r="AL655">
        <v>0</v>
      </c>
      <c r="AM655">
        <v>0</v>
      </c>
      <c r="AN655">
        <v>0</v>
      </c>
    </row>
    <row r="656" spans="1:40" x14ac:dyDescent="0.25">
      <c r="A656">
        <v>2023</v>
      </c>
      <c r="B656" t="s">
        <v>19</v>
      </c>
      <c r="C656" t="str">
        <f>IF(COUNTIF('Rookies 22-25'!$B$2:$B$60,E656)&gt;0,"(R)","No")</f>
        <v>(R)</v>
      </c>
      <c r="D656">
        <v>35</v>
      </c>
      <c r="E656" t="s">
        <v>90</v>
      </c>
      <c r="F656" t="s">
        <v>43</v>
      </c>
      <c r="G656">
        <f>VLOOKUP(E656,'23 Draft ADP'!$B$3:$D$323,3,)</f>
        <v>221</v>
      </c>
      <c r="H656">
        <v>14</v>
      </c>
      <c r="I656">
        <v>0</v>
      </c>
      <c r="J656">
        <v>1.2</v>
      </c>
      <c r="K656">
        <v>2</v>
      </c>
      <c r="L656">
        <v>0</v>
      </c>
      <c r="M656">
        <v>5.9</v>
      </c>
      <c r="N656">
        <v>12.5</v>
      </c>
      <c r="O656">
        <v>3.3</v>
      </c>
      <c r="P656">
        <v>2.9</v>
      </c>
      <c r="Q656">
        <v>3.1</v>
      </c>
      <c r="R656">
        <v>10.9</v>
      </c>
      <c r="S656">
        <v>8.6</v>
      </c>
      <c r="T656">
        <v>4.7</v>
      </c>
      <c r="U656" t="s">
        <v>22</v>
      </c>
      <c r="V656">
        <v>2.4</v>
      </c>
      <c r="W656">
        <v>13.9</v>
      </c>
      <c r="X656" t="s">
        <v>33</v>
      </c>
      <c r="Y656" t="s">
        <v>33</v>
      </c>
      <c r="Z656">
        <v>0</v>
      </c>
      <c r="AA656">
        <v>5.0999999999999996</v>
      </c>
      <c r="AB656">
        <f t="shared" si="20"/>
        <v>71.400000000000006</v>
      </c>
      <c r="AC656">
        <v>71.400000000000006</v>
      </c>
      <c r="AD656">
        <v>19</v>
      </c>
      <c r="AE656">
        <f t="shared" si="21"/>
        <v>3</v>
      </c>
      <c r="AF656">
        <v>0</v>
      </c>
      <c r="AG656">
        <v>0</v>
      </c>
      <c r="AH656">
        <v>0</v>
      </c>
      <c r="AI656">
        <v>0</v>
      </c>
      <c r="AJ656">
        <v>0.17647058823529413</v>
      </c>
      <c r="AK656">
        <v>0</v>
      </c>
      <c r="AL656">
        <v>0</v>
      </c>
      <c r="AM656">
        <v>0</v>
      </c>
      <c r="AN656">
        <v>0</v>
      </c>
    </row>
    <row r="657" spans="1:40" x14ac:dyDescent="0.25">
      <c r="A657">
        <v>2023</v>
      </c>
      <c r="B657" t="s">
        <v>19</v>
      </c>
      <c r="C657" t="str">
        <f>IF(COUNTIF('Rookies 22-25'!$B$2:$B$60,E657)&gt;0,"(R)","No")</f>
        <v>No</v>
      </c>
      <c r="D657">
        <v>36</v>
      </c>
      <c r="E657" t="s">
        <v>437</v>
      </c>
      <c r="F657" t="s">
        <v>26</v>
      </c>
      <c r="G657">
        <f>VLOOKUP(E657,'23 Draft ADP'!$B$3:$D$323,3,)</f>
        <v>217</v>
      </c>
      <c r="H657">
        <v>17</v>
      </c>
      <c r="I657">
        <v>6.1</v>
      </c>
      <c r="J657">
        <v>6.8</v>
      </c>
      <c r="K657">
        <v>1.9</v>
      </c>
      <c r="L657">
        <v>10.4</v>
      </c>
      <c r="M657">
        <v>4.0999999999999996</v>
      </c>
      <c r="N657">
        <v>3.5</v>
      </c>
      <c r="O657">
        <v>1.8</v>
      </c>
      <c r="P657">
        <v>4.5</v>
      </c>
      <c r="Q657">
        <v>6.4</v>
      </c>
      <c r="R657" t="s">
        <v>22</v>
      </c>
      <c r="S657">
        <v>0</v>
      </c>
      <c r="T657">
        <v>6</v>
      </c>
      <c r="U657">
        <v>7.2</v>
      </c>
      <c r="V657">
        <v>0</v>
      </c>
      <c r="W657">
        <v>5.7</v>
      </c>
      <c r="X657">
        <v>1.5</v>
      </c>
      <c r="Y657">
        <v>4.7</v>
      </c>
      <c r="Z657">
        <v>0</v>
      </c>
      <c r="AA657">
        <v>4.2</v>
      </c>
      <c r="AB657">
        <f t="shared" si="20"/>
        <v>70.599999999999994</v>
      </c>
      <c r="AC657">
        <v>70.599999999999994</v>
      </c>
      <c r="AD657">
        <v>16</v>
      </c>
      <c r="AE657">
        <f t="shared" si="21"/>
        <v>1</v>
      </c>
      <c r="AF657">
        <v>0</v>
      </c>
      <c r="AG657">
        <v>0</v>
      </c>
      <c r="AH657">
        <v>0</v>
      </c>
      <c r="AI657">
        <v>0</v>
      </c>
      <c r="AJ657">
        <v>5.8823529411764705E-2</v>
      </c>
      <c r="AK657">
        <v>0</v>
      </c>
      <c r="AL657">
        <v>0</v>
      </c>
      <c r="AM657">
        <v>0</v>
      </c>
      <c r="AN657">
        <v>0</v>
      </c>
    </row>
    <row r="658" spans="1:40" x14ac:dyDescent="0.25">
      <c r="A658">
        <v>2023</v>
      </c>
      <c r="B658" t="s">
        <v>19</v>
      </c>
      <c r="C658" t="str">
        <f>IF(COUNTIF('Rookies 22-25'!$B$2:$B$60,E658)&gt;0,"(R)","No")</f>
        <v>No</v>
      </c>
      <c r="D658">
        <v>37</v>
      </c>
      <c r="E658" t="s">
        <v>93</v>
      </c>
      <c r="F658" t="s">
        <v>39</v>
      </c>
      <c r="G658">
        <f>VLOOKUP(E658,'23 Draft ADP'!$B$3:$D$323,3,)</f>
        <v>225</v>
      </c>
      <c r="H658">
        <v>17</v>
      </c>
      <c r="I658">
        <v>6.6</v>
      </c>
      <c r="J658">
        <v>8.3000000000000007</v>
      </c>
      <c r="K658">
        <v>2.8</v>
      </c>
      <c r="L658">
        <v>2.2000000000000002</v>
      </c>
      <c r="M658">
        <v>3.7</v>
      </c>
      <c r="N658">
        <v>5.8</v>
      </c>
      <c r="O658">
        <v>8.5</v>
      </c>
      <c r="P658">
        <v>3.1</v>
      </c>
      <c r="Q658">
        <v>0</v>
      </c>
      <c r="R658">
        <v>4.2</v>
      </c>
      <c r="S658" t="s">
        <v>22</v>
      </c>
      <c r="T658">
        <v>0</v>
      </c>
      <c r="U658">
        <v>0</v>
      </c>
      <c r="V658">
        <v>0</v>
      </c>
      <c r="W658">
        <v>1.7</v>
      </c>
      <c r="X658">
        <v>9.5</v>
      </c>
      <c r="Y658">
        <v>7.5</v>
      </c>
      <c r="Z658">
        <v>1.5</v>
      </c>
      <c r="AA658">
        <v>3.8</v>
      </c>
      <c r="AB658">
        <f t="shared" si="20"/>
        <v>63.900000000000006</v>
      </c>
      <c r="AC658">
        <v>65.400000000000006</v>
      </c>
      <c r="AD658">
        <v>20</v>
      </c>
      <c r="AE658">
        <f t="shared" si="21"/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</row>
    <row r="659" spans="1:40" x14ac:dyDescent="0.25">
      <c r="A659">
        <v>2023</v>
      </c>
      <c r="B659" t="s">
        <v>19</v>
      </c>
      <c r="C659" t="str">
        <f>IF(COUNTIF('Rookies 22-25'!$B$2:$B$60,E659)&gt;0,"(R)","No")</f>
        <v>No</v>
      </c>
      <c r="D659">
        <v>38</v>
      </c>
      <c r="E659" t="s">
        <v>54</v>
      </c>
      <c r="F659" t="s">
        <v>49</v>
      </c>
      <c r="G659">
        <v>265</v>
      </c>
      <c r="H659">
        <v>17</v>
      </c>
      <c r="I659">
        <v>1.8</v>
      </c>
      <c r="J659">
        <v>6.1</v>
      </c>
      <c r="K659">
        <v>6.8</v>
      </c>
      <c r="L659">
        <v>0</v>
      </c>
      <c r="M659" t="s">
        <v>22</v>
      </c>
      <c r="N659">
        <v>4.9000000000000004</v>
      </c>
      <c r="O659">
        <v>4.5999999999999996</v>
      </c>
      <c r="P659">
        <v>0</v>
      </c>
      <c r="Q659">
        <v>1.6</v>
      </c>
      <c r="R659">
        <v>1.3</v>
      </c>
      <c r="S659">
        <v>0</v>
      </c>
      <c r="T659">
        <v>1.9</v>
      </c>
      <c r="U659">
        <v>0</v>
      </c>
      <c r="V659">
        <v>10.8</v>
      </c>
      <c r="W659">
        <v>1.6</v>
      </c>
      <c r="X659">
        <v>10.7</v>
      </c>
      <c r="Y659">
        <v>5.8</v>
      </c>
      <c r="Z659">
        <v>3.8</v>
      </c>
      <c r="AA659">
        <v>3.6</v>
      </c>
      <c r="AB659">
        <f t="shared" si="20"/>
        <v>57.900000000000006</v>
      </c>
      <c r="AC659">
        <v>61.7</v>
      </c>
      <c r="AD659">
        <v>20</v>
      </c>
      <c r="AE659">
        <f t="shared" si="21"/>
        <v>2</v>
      </c>
      <c r="AF659">
        <v>0</v>
      </c>
      <c r="AG659">
        <v>0</v>
      </c>
      <c r="AH659">
        <v>0</v>
      </c>
      <c r="AI659">
        <v>0</v>
      </c>
      <c r="AJ659">
        <v>0.11764705882352941</v>
      </c>
      <c r="AK659">
        <v>0</v>
      </c>
      <c r="AL659">
        <v>0</v>
      </c>
      <c r="AM659">
        <v>0</v>
      </c>
      <c r="AN659">
        <v>0</v>
      </c>
    </row>
    <row r="660" spans="1:40" x14ac:dyDescent="0.25">
      <c r="A660">
        <v>2023</v>
      </c>
      <c r="B660" t="s">
        <v>19</v>
      </c>
      <c r="C660" t="str">
        <f>IF(COUNTIF('Rookies 22-25'!$B$2:$B$60,E660)&gt;0,"(R)","No")</f>
        <v>No</v>
      </c>
      <c r="D660">
        <v>39</v>
      </c>
      <c r="E660" t="s">
        <v>94</v>
      </c>
      <c r="F660" t="s">
        <v>95</v>
      </c>
      <c r="G660">
        <v>266</v>
      </c>
      <c r="H660">
        <v>16</v>
      </c>
      <c r="I660">
        <v>0</v>
      </c>
      <c r="J660">
        <v>0</v>
      </c>
      <c r="K660">
        <v>2.5</v>
      </c>
      <c r="L660">
        <v>0</v>
      </c>
      <c r="M660">
        <v>7.1</v>
      </c>
      <c r="N660">
        <v>4.5</v>
      </c>
      <c r="O660" t="s">
        <v>22</v>
      </c>
      <c r="P660">
        <v>8.4</v>
      </c>
      <c r="Q660">
        <v>3.2</v>
      </c>
      <c r="R660">
        <v>4.5999999999999996</v>
      </c>
      <c r="S660">
        <v>7.4</v>
      </c>
      <c r="T660">
        <v>1.7</v>
      </c>
      <c r="U660" t="s">
        <v>33</v>
      </c>
      <c r="V660">
        <v>1.2</v>
      </c>
      <c r="W660">
        <v>5.2</v>
      </c>
      <c r="X660">
        <v>9.9</v>
      </c>
      <c r="Y660">
        <v>1.6</v>
      </c>
      <c r="Z660">
        <v>3.1</v>
      </c>
      <c r="AA660">
        <v>3.8</v>
      </c>
      <c r="AB660">
        <f t="shared" si="20"/>
        <v>57.3</v>
      </c>
      <c r="AC660">
        <v>60.4</v>
      </c>
      <c r="AD660">
        <v>20</v>
      </c>
      <c r="AE660">
        <f t="shared" si="21"/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</row>
    <row r="661" spans="1:40" x14ac:dyDescent="0.25">
      <c r="A661">
        <v>2023</v>
      </c>
      <c r="B661" t="s">
        <v>19</v>
      </c>
      <c r="C661" t="str">
        <f>IF(COUNTIF('Rookies 22-25'!$B$2:$B$60,E661)&gt;0,"(R)","No")</f>
        <v>No</v>
      </c>
      <c r="D661">
        <v>39</v>
      </c>
      <c r="E661" t="s">
        <v>457</v>
      </c>
      <c r="F661" t="s">
        <v>78</v>
      </c>
      <c r="G661">
        <f>VLOOKUP(E661,'23 Draft ADP'!$B$3:$D$323,3,)</f>
        <v>277</v>
      </c>
      <c r="H661">
        <v>17</v>
      </c>
      <c r="I661">
        <v>8.4</v>
      </c>
      <c r="J661">
        <v>0</v>
      </c>
      <c r="K661">
        <v>0</v>
      </c>
      <c r="L661">
        <v>0</v>
      </c>
      <c r="M661">
        <v>12.6</v>
      </c>
      <c r="N661">
        <v>1.4</v>
      </c>
      <c r="O661">
        <v>1.5</v>
      </c>
      <c r="P661">
        <v>0</v>
      </c>
      <c r="Q661" t="s">
        <v>22</v>
      </c>
      <c r="R661">
        <v>3.5</v>
      </c>
      <c r="S661">
        <v>5.3</v>
      </c>
      <c r="T661">
        <v>7.8</v>
      </c>
      <c r="U661">
        <v>1.6</v>
      </c>
      <c r="V661">
        <v>9.9</v>
      </c>
      <c r="W661">
        <v>3.4</v>
      </c>
      <c r="X661">
        <v>0</v>
      </c>
      <c r="Y661">
        <v>1.9</v>
      </c>
      <c r="Z661">
        <v>3.1</v>
      </c>
      <c r="AA661">
        <v>3.6</v>
      </c>
      <c r="AB661">
        <f t="shared" si="20"/>
        <v>57.3</v>
      </c>
      <c r="AC661">
        <v>60.4</v>
      </c>
      <c r="AD661" t="s">
        <v>450</v>
      </c>
      <c r="AE661">
        <f t="shared" si="21"/>
        <v>1</v>
      </c>
      <c r="AF661">
        <v>0</v>
      </c>
      <c r="AG661">
        <v>0</v>
      </c>
      <c r="AH661">
        <v>0</v>
      </c>
      <c r="AI661">
        <v>0</v>
      </c>
      <c r="AJ661">
        <v>5.8823529411764705E-2</v>
      </c>
      <c r="AK661">
        <v>0</v>
      </c>
      <c r="AL661">
        <v>0</v>
      </c>
      <c r="AM661">
        <v>0</v>
      </c>
      <c r="AN661">
        <v>0</v>
      </c>
    </row>
    <row r="662" spans="1:40" x14ac:dyDescent="0.25">
      <c r="A662">
        <v>2023</v>
      </c>
      <c r="B662" t="s">
        <v>19</v>
      </c>
      <c r="C662" t="str">
        <f>IF(COUNTIF('Rookies 22-25'!$B$2:$B$60,E662)&gt;0,"(R)","No")</f>
        <v>No</v>
      </c>
      <c r="D662">
        <v>41</v>
      </c>
      <c r="E662" t="s">
        <v>76</v>
      </c>
      <c r="F662" t="s">
        <v>61</v>
      </c>
      <c r="G662">
        <f>VLOOKUP(E662,'23 Draft ADP'!$B$3:$D$323,3,)</f>
        <v>152</v>
      </c>
      <c r="H662">
        <v>12</v>
      </c>
      <c r="I662">
        <v>5.5</v>
      </c>
      <c r="J662">
        <v>10</v>
      </c>
      <c r="K662">
        <v>2.1</v>
      </c>
      <c r="L662">
        <v>2.2000000000000002</v>
      </c>
      <c r="M662">
        <v>4.7</v>
      </c>
      <c r="N662">
        <v>4.7</v>
      </c>
      <c r="O662">
        <v>4</v>
      </c>
      <c r="P662" t="s">
        <v>33</v>
      </c>
      <c r="Q662" t="s">
        <v>33</v>
      </c>
      <c r="R662" t="s">
        <v>33</v>
      </c>
      <c r="S662" t="s">
        <v>33</v>
      </c>
      <c r="T662" t="s">
        <v>33</v>
      </c>
      <c r="U662" t="s">
        <v>22</v>
      </c>
      <c r="V662">
        <v>6.6</v>
      </c>
      <c r="W662">
        <v>0</v>
      </c>
      <c r="X662">
        <v>4.5999999999999996</v>
      </c>
      <c r="Y662">
        <v>0</v>
      </c>
      <c r="Z662">
        <v>10.199999999999999</v>
      </c>
      <c r="AA662">
        <v>4.5999999999999996</v>
      </c>
      <c r="AB662">
        <f t="shared" si="20"/>
        <v>44.400000000000006</v>
      </c>
      <c r="AC662">
        <v>54.6</v>
      </c>
      <c r="AD662">
        <v>13</v>
      </c>
      <c r="AE662">
        <f t="shared" si="21"/>
        <v>0</v>
      </c>
      <c r="AF662">
        <v>0</v>
      </c>
      <c r="AG662">
        <v>0</v>
      </c>
      <c r="AH662">
        <v>0</v>
      </c>
      <c r="AI662">
        <v>0</v>
      </c>
      <c r="AJ662">
        <v>5.8823529411764705E-2</v>
      </c>
      <c r="AK662">
        <v>0</v>
      </c>
      <c r="AL662">
        <v>0</v>
      </c>
      <c r="AM662">
        <v>0</v>
      </c>
      <c r="AN662">
        <v>0</v>
      </c>
    </row>
    <row r="663" spans="1:40" x14ac:dyDescent="0.25">
      <c r="A663">
        <v>2023</v>
      </c>
      <c r="B663" t="s">
        <v>19</v>
      </c>
      <c r="C663" t="str">
        <f>IF(COUNTIF('Rookies 22-25'!$B$2:$B$60,E663)&gt;0,"(R)","No")</f>
        <v>No</v>
      </c>
      <c r="D663">
        <v>42</v>
      </c>
      <c r="E663" t="s">
        <v>444</v>
      </c>
      <c r="F663" t="s">
        <v>73</v>
      </c>
      <c r="G663">
        <v>268</v>
      </c>
      <c r="H663">
        <v>17</v>
      </c>
      <c r="I663">
        <v>6.2</v>
      </c>
      <c r="J663">
        <v>3.3</v>
      </c>
      <c r="K663">
        <v>8.4</v>
      </c>
      <c r="L663">
        <v>0</v>
      </c>
      <c r="M663">
        <v>0.5</v>
      </c>
      <c r="N663">
        <v>0</v>
      </c>
      <c r="O663">
        <v>2.6</v>
      </c>
      <c r="P663">
        <v>0</v>
      </c>
      <c r="Q663">
        <v>2.1</v>
      </c>
      <c r="R663">
        <v>0</v>
      </c>
      <c r="S663">
        <v>14.7</v>
      </c>
      <c r="T663">
        <v>0</v>
      </c>
      <c r="U663" t="s">
        <v>22</v>
      </c>
      <c r="V663">
        <v>0</v>
      </c>
      <c r="W663">
        <v>3.4</v>
      </c>
      <c r="X663">
        <v>4.3</v>
      </c>
      <c r="Y663">
        <v>2.7</v>
      </c>
      <c r="Z663">
        <v>5.0999999999999996</v>
      </c>
      <c r="AA663">
        <v>3.1</v>
      </c>
      <c r="AB663">
        <f t="shared" si="20"/>
        <v>48.199999999999996</v>
      </c>
      <c r="AC663">
        <v>53.3</v>
      </c>
      <c r="AD663">
        <v>20</v>
      </c>
      <c r="AE663">
        <f t="shared" si="21"/>
        <v>1</v>
      </c>
      <c r="AF663">
        <v>0</v>
      </c>
      <c r="AG663">
        <v>0</v>
      </c>
      <c r="AH663">
        <v>0</v>
      </c>
      <c r="AI663">
        <v>0</v>
      </c>
      <c r="AJ663">
        <v>5.8823529411764705E-2</v>
      </c>
      <c r="AK663">
        <v>0</v>
      </c>
      <c r="AL663">
        <v>0</v>
      </c>
      <c r="AM663">
        <v>0</v>
      </c>
      <c r="AN663">
        <v>0</v>
      </c>
    </row>
    <row r="664" spans="1:40" x14ac:dyDescent="0.25">
      <c r="A664">
        <v>2023</v>
      </c>
      <c r="B664" t="s">
        <v>19</v>
      </c>
      <c r="C664" t="str">
        <f>IF(COUNTIF('Rookies 22-25'!$B$2:$B$60,E664)&gt;0,"(R)","No")</f>
        <v>No</v>
      </c>
      <c r="D664">
        <v>43</v>
      </c>
      <c r="E664" t="s">
        <v>58</v>
      </c>
      <c r="F664" t="s">
        <v>21</v>
      </c>
      <c r="G664">
        <f>VLOOKUP(E664,'23 Draft ADP'!$B$3:$D$323,3,)</f>
        <v>240</v>
      </c>
      <c r="H664">
        <v>7</v>
      </c>
      <c r="I664">
        <v>8.1</v>
      </c>
      <c r="J664">
        <v>11.6</v>
      </c>
      <c r="K664">
        <v>2.6</v>
      </c>
      <c r="L664">
        <v>11.3</v>
      </c>
      <c r="M664">
        <v>9</v>
      </c>
      <c r="N664">
        <v>4.2</v>
      </c>
      <c r="O664">
        <v>4.9000000000000004</v>
      </c>
      <c r="P664" t="s">
        <v>33</v>
      </c>
      <c r="Q664" t="s">
        <v>33</v>
      </c>
      <c r="R664" t="s">
        <v>33</v>
      </c>
      <c r="S664" t="s">
        <v>33</v>
      </c>
      <c r="T664" t="s">
        <v>33</v>
      </c>
      <c r="U664" t="s">
        <v>33</v>
      </c>
      <c r="V664" t="s">
        <v>22</v>
      </c>
      <c r="W664" t="s">
        <v>33</v>
      </c>
      <c r="X664" t="s">
        <v>33</v>
      </c>
      <c r="Y664" t="s">
        <v>33</v>
      </c>
      <c r="Z664">
        <v>0</v>
      </c>
      <c r="AA664">
        <v>7.4</v>
      </c>
      <c r="AB664">
        <f t="shared" si="20"/>
        <v>51.7</v>
      </c>
      <c r="AC664">
        <v>51.7</v>
      </c>
      <c r="AD664" t="s">
        <v>450</v>
      </c>
      <c r="AE664">
        <f t="shared" si="21"/>
        <v>2</v>
      </c>
      <c r="AF664">
        <v>0</v>
      </c>
      <c r="AG664">
        <v>0</v>
      </c>
      <c r="AH664">
        <v>0</v>
      </c>
      <c r="AI664">
        <v>0</v>
      </c>
      <c r="AJ664">
        <v>0.11764705882352941</v>
      </c>
      <c r="AK664">
        <v>0</v>
      </c>
      <c r="AL664">
        <v>0</v>
      </c>
      <c r="AM664">
        <v>0</v>
      </c>
      <c r="AN664">
        <v>0</v>
      </c>
    </row>
    <row r="665" spans="1:40" x14ac:dyDescent="0.25">
      <c r="A665">
        <v>2023</v>
      </c>
      <c r="B665" t="s">
        <v>19</v>
      </c>
      <c r="C665" t="str">
        <f>IF(COUNTIF('Rookies 22-25'!$B$2:$B$60,E665)&gt;0,"(R)","No")</f>
        <v>No</v>
      </c>
      <c r="D665">
        <v>44</v>
      </c>
      <c r="E665" t="s">
        <v>458</v>
      </c>
      <c r="F665" t="s">
        <v>41</v>
      </c>
      <c r="G665">
        <v>269</v>
      </c>
      <c r="H665">
        <v>13</v>
      </c>
      <c r="I665" t="s">
        <v>33</v>
      </c>
      <c r="J665">
        <v>4.7</v>
      </c>
      <c r="K665">
        <v>9.3000000000000007</v>
      </c>
      <c r="L665">
        <v>0</v>
      </c>
      <c r="M665">
        <v>0</v>
      </c>
      <c r="N665">
        <v>2.1</v>
      </c>
      <c r="O665" t="s">
        <v>22</v>
      </c>
      <c r="P665" t="s">
        <v>33</v>
      </c>
      <c r="Q665" t="s">
        <v>33</v>
      </c>
      <c r="R665" t="s">
        <v>33</v>
      </c>
      <c r="S665">
        <v>0</v>
      </c>
      <c r="T665">
        <v>1.9</v>
      </c>
      <c r="U665">
        <v>9.4</v>
      </c>
      <c r="V665">
        <v>6.5</v>
      </c>
      <c r="W665">
        <v>2.4</v>
      </c>
      <c r="X665">
        <v>4.7</v>
      </c>
      <c r="Y665">
        <v>9.9</v>
      </c>
      <c r="Z665">
        <v>0</v>
      </c>
      <c r="AA665">
        <v>3.9</v>
      </c>
      <c r="AB665">
        <f t="shared" si="20"/>
        <v>50.9</v>
      </c>
      <c r="AC665">
        <v>50.9</v>
      </c>
      <c r="AD665">
        <v>20</v>
      </c>
      <c r="AE665">
        <f t="shared" si="21"/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</row>
    <row r="666" spans="1:40" x14ac:dyDescent="0.25">
      <c r="A666">
        <v>2023</v>
      </c>
      <c r="B666" t="s">
        <v>19</v>
      </c>
      <c r="C666" t="str">
        <f>IF(COUNTIF('Rookies 22-25'!$B$2:$B$60,E666)&gt;0,"(R)","No")</f>
        <v>No</v>
      </c>
      <c r="D666">
        <v>45</v>
      </c>
      <c r="E666" t="s">
        <v>459</v>
      </c>
      <c r="F666" t="s">
        <v>57</v>
      </c>
      <c r="G666">
        <f>VLOOKUP(E666,'23 Draft ADP'!$B$3:$D$323,3,)</f>
        <v>275</v>
      </c>
      <c r="H666">
        <v>17</v>
      </c>
      <c r="I666">
        <v>1.1000000000000001</v>
      </c>
      <c r="J666">
        <v>0</v>
      </c>
      <c r="K666">
        <v>1.8</v>
      </c>
      <c r="L666">
        <v>1.6</v>
      </c>
      <c r="M666">
        <v>1.7</v>
      </c>
      <c r="N666">
        <v>0</v>
      </c>
      <c r="O666">
        <v>0</v>
      </c>
      <c r="P666">
        <v>0</v>
      </c>
      <c r="Q666">
        <v>7.3</v>
      </c>
      <c r="R666">
        <v>5.4</v>
      </c>
      <c r="S666">
        <v>6.8</v>
      </c>
      <c r="T666">
        <v>1.8</v>
      </c>
      <c r="U666" t="s">
        <v>22</v>
      </c>
      <c r="V666">
        <v>3.5</v>
      </c>
      <c r="W666">
        <v>3.3</v>
      </c>
      <c r="X666">
        <v>8.3000000000000007</v>
      </c>
      <c r="Y666">
        <v>7.9</v>
      </c>
      <c r="Z666">
        <v>0</v>
      </c>
      <c r="AA666">
        <v>3</v>
      </c>
      <c r="AB666">
        <f t="shared" si="20"/>
        <v>50.5</v>
      </c>
      <c r="AC666">
        <v>50.5</v>
      </c>
      <c r="AD666" t="s">
        <v>450</v>
      </c>
      <c r="AE666">
        <f t="shared" si="21"/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</row>
    <row r="667" spans="1:40" x14ac:dyDescent="0.25">
      <c r="A667">
        <v>2023</v>
      </c>
      <c r="B667" t="s">
        <v>99</v>
      </c>
      <c r="C667" t="str">
        <f>IF(COUNTIF('Rookies 22-25'!$B$2:$B$60,E667)&gt;0,"(R)","No")</f>
        <v>No</v>
      </c>
      <c r="D667">
        <v>1</v>
      </c>
      <c r="E667" t="s">
        <v>121</v>
      </c>
      <c r="F667" t="s">
        <v>30</v>
      </c>
      <c r="G667">
        <f>VLOOKUP(E667,'23 Draft ADP'!$B$3:$D$323,3,)</f>
        <v>8</v>
      </c>
      <c r="H667">
        <v>17</v>
      </c>
      <c r="I667">
        <v>11.7</v>
      </c>
      <c r="J667">
        <v>25.3</v>
      </c>
      <c r="K667">
        <v>10.199999999999999</v>
      </c>
      <c r="L667">
        <v>14.8</v>
      </c>
      <c r="M667">
        <v>8.9</v>
      </c>
      <c r="N667">
        <v>18.7</v>
      </c>
      <c r="O667" t="s">
        <v>22</v>
      </c>
      <c r="P667">
        <v>41</v>
      </c>
      <c r="Q667">
        <v>28.1</v>
      </c>
      <c r="R667">
        <v>39.5</v>
      </c>
      <c r="S667">
        <v>16.5</v>
      </c>
      <c r="T667">
        <v>17.3</v>
      </c>
      <c r="U667">
        <v>32.6</v>
      </c>
      <c r="V667">
        <v>19.100000000000001</v>
      </c>
      <c r="W667">
        <v>18.600000000000001</v>
      </c>
      <c r="X667">
        <v>25.2</v>
      </c>
      <c r="Y667">
        <v>40.200000000000003</v>
      </c>
      <c r="Z667">
        <v>35.5</v>
      </c>
      <c r="AA667">
        <v>23.7</v>
      </c>
      <c r="AB667">
        <f t="shared" si="20"/>
        <v>367.7</v>
      </c>
      <c r="AC667">
        <v>403.2</v>
      </c>
      <c r="AD667">
        <v>1</v>
      </c>
      <c r="AE667">
        <f t="shared" si="21"/>
        <v>15</v>
      </c>
      <c r="AF667">
        <v>13</v>
      </c>
      <c r="AG667">
        <v>8</v>
      </c>
      <c r="AH667">
        <v>8</v>
      </c>
      <c r="AI667">
        <v>5</v>
      </c>
      <c r="AJ667">
        <v>0.94117647058823528</v>
      </c>
      <c r="AK667">
        <v>0.76470588235294112</v>
      </c>
      <c r="AL667">
        <v>0.47058823529411764</v>
      </c>
      <c r="AM667">
        <v>0.47058823529411764</v>
      </c>
      <c r="AN667">
        <v>0.29411764705882354</v>
      </c>
    </row>
    <row r="668" spans="1:40" x14ac:dyDescent="0.25">
      <c r="A668">
        <v>2023</v>
      </c>
      <c r="B668" t="s">
        <v>99</v>
      </c>
      <c r="C668" t="str">
        <f>IF(COUNTIF('Rookies 22-25'!$B$2:$B$60,E668)&gt;0,"(R)","No")</f>
        <v>No</v>
      </c>
      <c r="D668">
        <v>2</v>
      </c>
      <c r="E668" t="s">
        <v>204</v>
      </c>
      <c r="F668" t="s">
        <v>84</v>
      </c>
      <c r="G668">
        <f>VLOOKUP(E668,'23 Draft ADP'!$B$3:$D$323,3,)</f>
        <v>5</v>
      </c>
      <c r="H668">
        <v>16</v>
      </c>
      <c r="I668">
        <v>44.5</v>
      </c>
      <c r="J668">
        <v>15</v>
      </c>
      <c r="K668">
        <v>30.7</v>
      </c>
      <c r="L668">
        <v>10.199999999999999</v>
      </c>
      <c r="M668">
        <v>32.1</v>
      </c>
      <c r="N668">
        <v>28.3</v>
      </c>
      <c r="O668">
        <v>25.8</v>
      </c>
      <c r="P668">
        <v>25.2</v>
      </c>
      <c r="Q668">
        <v>12.5</v>
      </c>
      <c r="R668" t="s">
        <v>22</v>
      </c>
      <c r="S668">
        <v>30.6</v>
      </c>
      <c r="T668">
        <v>25.4</v>
      </c>
      <c r="U668">
        <v>32.299999999999997</v>
      </c>
      <c r="V668">
        <v>10.1</v>
      </c>
      <c r="W668" t="s">
        <v>33</v>
      </c>
      <c r="X668">
        <v>18.899999999999999</v>
      </c>
      <c r="Y668">
        <v>13.6</v>
      </c>
      <c r="Z668">
        <v>21.2</v>
      </c>
      <c r="AA668">
        <v>23.5</v>
      </c>
      <c r="AB668">
        <f t="shared" si="20"/>
        <v>355.2</v>
      </c>
      <c r="AC668">
        <v>376.4</v>
      </c>
      <c r="AD668">
        <v>1</v>
      </c>
      <c r="AE668">
        <f t="shared" si="21"/>
        <v>15</v>
      </c>
      <c r="AF668">
        <v>11</v>
      </c>
      <c r="AG668">
        <v>10</v>
      </c>
      <c r="AH668">
        <v>9</v>
      </c>
      <c r="AI668">
        <v>5</v>
      </c>
      <c r="AJ668">
        <v>0.94117647058823528</v>
      </c>
      <c r="AK668">
        <v>0.6875</v>
      </c>
      <c r="AL668">
        <v>0.625</v>
      </c>
      <c r="AM668">
        <v>0.5625</v>
      </c>
      <c r="AN668">
        <v>0.3125</v>
      </c>
    </row>
    <row r="669" spans="1:40" x14ac:dyDescent="0.25">
      <c r="A669">
        <v>2023</v>
      </c>
      <c r="B669" t="s">
        <v>99</v>
      </c>
      <c r="C669" t="str">
        <f>IF(COUNTIF('Rookies 22-25'!$B$2:$B$60,E669)&gt;0,"(R)","No")</f>
        <v>No</v>
      </c>
      <c r="D669">
        <v>3</v>
      </c>
      <c r="E669" t="s">
        <v>102</v>
      </c>
      <c r="F669" t="s">
        <v>75</v>
      </c>
      <c r="G669">
        <f>VLOOKUP(E669,'23 Draft ADP'!$B$3:$D$323,3,)</f>
        <v>13</v>
      </c>
      <c r="H669">
        <v>16</v>
      </c>
      <c r="I669">
        <v>19.100000000000001</v>
      </c>
      <c r="J669">
        <v>14.2</v>
      </c>
      <c r="K669">
        <v>19.600000000000001</v>
      </c>
      <c r="L669">
        <v>16.600000000000001</v>
      </c>
      <c r="M669" t="s">
        <v>33</v>
      </c>
      <c r="N669">
        <v>30.4</v>
      </c>
      <c r="O669">
        <v>23.2</v>
      </c>
      <c r="P669">
        <v>16.8</v>
      </c>
      <c r="Q669" t="s">
        <v>22</v>
      </c>
      <c r="R669">
        <v>30.5</v>
      </c>
      <c r="S669">
        <v>21.7</v>
      </c>
      <c r="T669">
        <v>18.5</v>
      </c>
      <c r="U669">
        <v>12.9</v>
      </c>
      <c r="V669">
        <v>5.0999999999999996</v>
      </c>
      <c r="W669">
        <v>24.2</v>
      </c>
      <c r="X669">
        <v>28.6</v>
      </c>
      <c r="Y669">
        <v>22.1</v>
      </c>
      <c r="Z669">
        <v>27.4</v>
      </c>
      <c r="AA669">
        <v>20.7</v>
      </c>
      <c r="AB669">
        <f t="shared" si="20"/>
        <v>303.5</v>
      </c>
      <c r="AC669">
        <v>330.9</v>
      </c>
      <c r="AD669">
        <v>1</v>
      </c>
      <c r="AE669">
        <f t="shared" si="21"/>
        <v>14</v>
      </c>
      <c r="AF669">
        <v>13</v>
      </c>
      <c r="AG669">
        <v>8</v>
      </c>
      <c r="AH669">
        <v>4</v>
      </c>
      <c r="AI669">
        <v>2</v>
      </c>
      <c r="AJ669">
        <v>0.88235294117647056</v>
      </c>
      <c r="AK669">
        <v>0.8125</v>
      </c>
      <c r="AL669">
        <v>0.5</v>
      </c>
      <c r="AM669">
        <v>0.25</v>
      </c>
      <c r="AN669">
        <v>0.125</v>
      </c>
    </row>
    <row r="670" spans="1:40" x14ac:dyDescent="0.25">
      <c r="A670">
        <v>2023</v>
      </c>
      <c r="B670" t="s">
        <v>99</v>
      </c>
      <c r="C670" t="str">
        <f>IF(COUNTIF('Rookies 22-25'!$B$2:$B$60,E670)&gt;0,"(R)","No")</f>
        <v>(R)</v>
      </c>
      <c r="D670">
        <v>4</v>
      </c>
      <c r="E670" t="s">
        <v>100</v>
      </c>
      <c r="F670" t="s">
        <v>55</v>
      </c>
      <c r="G670">
        <f>VLOOKUP(E670,'23 Draft ADP'!$B$3:$D$323,3,)</f>
        <v>175</v>
      </c>
      <c r="H670">
        <v>17</v>
      </c>
      <c r="I670">
        <v>21.9</v>
      </c>
      <c r="J670">
        <v>30.1</v>
      </c>
      <c r="K670">
        <v>12.2</v>
      </c>
      <c r="L670">
        <v>31.3</v>
      </c>
      <c r="M670">
        <v>20.100000000000001</v>
      </c>
      <c r="N670">
        <v>6.6</v>
      </c>
      <c r="O670">
        <v>23.4</v>
      </c>
      <c r="P670">
        <v>7.3</v>
      </c>
      <c r="Q670">
        <v>6.2</v>
      </c>
      <c r="R670" t="s">
        <v>22</v>
      </c>
      <c r="S670">
        <v>18.7</v>
      </c>
      <c r="T670">
        <v>6.7</v>
      </c>
      <c r="U670">
        <v>23.9</v>
      </c>
      <c r="V670">
        <v>14</v>
      </c>
      <c r="W670">
        <v>10.3</v>
      </c>
      <c r="X670">
        <v>33</v>
      </c>
      <c r="Y670">
        <v>18.7</v>
      </c>
      <c r="Z670">
        <v>14.1</v>
      </c>
      <c r="AA670">
        <v>17.600000000000001</v>
      </c>
      <c r="AB670">
        <f t="shared" si="20"/>
        <v>284.39999999999998</v>
      </c>
      <c r="AC670">
        <v>298.5</v>
      </c>
      <c r="AD670">
        <v>15</v>
      </c>
      <c r="AE670">
        <f t="shared" si="21"/>
        <v>12</v>
      </c>
      <c r="AF670">
        <v>9</v>
      </c>
      <c r="AG670">
        <v>7</v>
      </c>
      <c r="AH670">
        <v>3</v>
      </c>
      <c r="AI670">
        <v>3</v>
      </c>
      <c r="AJ670">
        <v>0.76470588235294112</v>
      </c>
      <c r="AK670">
        <v>0.52941176470588236</v>
      </c>
      <c r="AL670">
        <v>0.41176470588235292</v>
      </c>
      <c r="AM670">
        <v>0.17647058823529413</v>
      </c>
      <c r="AN670">
        <v>0.17647058823529413</v>
      </c>
    </row>
    <row r="671" spans="1:40" x14ac:dyDescent="0.25">
      <c r="A671">
        <v>2023</v>
      </c>
      <c r="B671" t="s">
        <v>99</v>
      </c>
      <c r="C671" t="str">
        <f>IF(COUNTIF('Rookies 22-25'!$B$2:$B$60,E671)&gt;0,"(R)","No")</f>
        <v>No</v>
      </c>
      <c r="D671">
        <v>5</v>
      </c>
      <c r="E671" t="s">
        <v>110</v>
      </c>
      <c r="F671" t="s">
        <v>35</v>
      </c>
      <c r="G671">
        <f>VLOOKUP(E671,'23 Draft ADP'!$B$3:$D$323,3,)</f>
        <v>12</v>
      </c>
      <c r="H671">
        <v>17</v>
      </c>
      <c r="I671">
        <v>14.9</v>
      </c>
      <c r="J671">
        <v>6.9</v>
      </c>
      <c r="K671">
        <v>22.1</v>
      </c>
      <c r="L671">
        <v>38.5</v>
      </c>
      <c r="M671">
        <v>18.7</v>
      </c>
      <c r="N671">
        <v>20.100000000000001</v>
      </c>
      <c r="O671">
        <v>29.7</v>
      </c>
      <c r="P671">
        <v>33</v>
      </c>
      <c r="Q671">
        <v>19.600000000000001</v>
      </c>
      <c r="R671" t="s">
        <v>22</v>
      </c>
      <c r="S671">
        <v>1.8</v>
      </c>
      <c r="T671">
        <v>14.7</v>
      </c>
      <c r="U671">
        <v>19.399999999999999</v>
      </c>
      <c r="V671">
        <v>16.399999999999999</v>
      </c>
      <c r="W671">
        <v>10.6</v>
      </c>
      <c r="X671">
        <v>14</v>
      </c>
      <c r="Y671">
        <v>9.3000000000000007</v>
      </c>
      <c r="Z671">
        <v>-0.1</v>
      </c>
      <c r="AA671">
        <v>17</v>
      </c>
      <c r="AB671">
        <f t="shared" si="20"/>
        <v>289.70000000000005</v>
      </c>
      <c r="AC671">
        <v>289.60000000000002</v>
      </c>
      <c r="AD671">
        <v>1</v>
      </c>
      <c r="AE671">
        <f t="shared" si="21"/>
        <v>13</v>
      </c>
      <c r="AF671">
        <v>9</v>
      </c>
      <c r="AG671">
        <v>5</v>
      </c>
      <c r="AH671">
        <v>3</v>
      </c>
      <c r="AI671">
        <v>2</v>
      </c>
      <c r="AJ671">
        <v>0.76470588235294112</v>
      </c>
      <c r="AK671">
        <v>0.52941176470588236</v>
      </c>
      <c r="AL671">
        <v>0.29411764705882354</v>
      </c>
      <c r="AM671">
        <v>0.17647058823529413</v>
      </c>
      <c r="AN671">
        <v>0.11764705882352941</v>
      </c>
    </row>
    <row r="672" spans="1:40" x14ac:dyDescent="0.25">
      <c r="A672">
        <v>2023</v>
      </c>
      <c r="B672" t="s">
        <v>99</v>
      </c>
      <c r="C672" t="str">
        <f>IF(COUNTIF('Rookies 22-25'!$B$2:$B$60,E672)&gt;0,"(R)","No")</f>
        <v>No</v>
      </c>
      <c r="D672">
        <v>6</v>
      </c>
      <c r="E672" t="s">
        <v>134</v>
      </c>
      <c r="F672" t="s">
        <v>45</v>
      </c>
      <c r="G672">
        <f>VLOOKUP(E672,'23 Draft ADP'!$B$3:$D$323,3,)</f>
        <v>41</v>
      </c>
      <c r="H672">
        <v>17</v>
      </c>
      <c r="I672">
        <v>4.5</v>
      </c>
      <c r="J672">
        <v>16.399999999999999</v>
      </c>
      <c r="K672">
        <v>13.1</v>
      </c>
      <c r="L672">
        <v>27.1</v>
      </c>
      <c r="M672">
        <v>49</v>
      </c>
      <c r="N672">
        <v>10.1</v>
      </c>
      <c r="O672">
        <v>13.4</v>
      </c>
      <c r="P672">
        <v>9.5</v>
      </c>
      <c r="Q672">
        <v>5.4</v>
      </c>
      <c r="R672">
        <v>10.9</v>
      </c>
      <c r="S672">
        <v>22.6</v>
      </c>
      <c r="T672">
        <v>22.4</v>
      </c>
      <c r="U672" t="s">
        <v>22</v>
      </c>
      <c r="V672">
        <v>26.8</v>
      </c>
      <c r="W672">
        <v>9.1999999999999993</v>
      </c>
      <c r="X672">
        <v>4.8</v>
      </c>
      <c r="Y672">
        <v>30.9</v>
      </c>
      <c r="Z672">
        <v>10.4</v>
      </c>
      <c r="AA672">
        <v>16.899999999999999</v>
      </c>
      <c r="AB672">
        <f t="shared" si="20"/>
        <v>276.10000000000002</v>
      </c>
      <c r="AC672">
        <v>286.5</v>
      </c>
      <c r="AD672">
        <v>7</v>
      </c>
      <c r="AE672">
        <f t="shared" si="21"/>
        <v>11</v>
      </c>
      <c r="AF672">
        <v>7</v>
      </c>
      <c r="AG672">
        <v>6</v>
      </c>
      <c r="AH672">
        <v>4</v>
      </c>
      <c r="AI672">
        <v>2</v>
      </c>
      <c r="AJ672">
        <v>0.70588235294117652</v>
      </c>
      <c r="AK672">
        <v>0.41176470588235292</v>
      </c>
      <c r="AL672">
        <v>0.35294117647058826</v>
      </c>
      <c r="AM672">
        <v>0.23529411764705882</v>
      </c>
      <c r="AN672">
        <v>0.11764705882352941</v>
      </c>
    </row>
    <row r="673" spans="1:40" x14ac:dyDescent="0.25">
      <c r="A673">
        <v>2023</v>
      </c>
      <c r="B673" t="s">
        <v>99</v>
      </c>
      <c r="C673" t="str">
        <f>IF(COUNTIF('Rookies 22-25'!$B$2:$B$60,E673)&gt;0,"(R)","No")</f>
        <v>No</v>
      </c>
      <c r="D673">
        <v>7</v>
      </c>
      <c r="E673" t="s">
        <v>174</v>
      </c>
      <c r="F673" t="s">
        <v>65</v>
      </c>
      <c r="G673">
        <f>VLOOKUP(E673,'23 Draft ADP'!$B$3:$D$323,3,)</f>
        <v>73</v>
      </c>
      <c r="H673">
        <v>17</v>
      </c>
      <c r="I673">
        <v>18.600000000000001</v>
      </c>
      <c r="J673">
        <v>29.1</v>
      </c>
      <c r="K673">
        <v>17</v>
      </c>
      <c r="L673">
        <v>7</v>
      </c>
      <c r="M673" t="s">
        <v>22</v>
      </c>
      <c r="N673">
        <v>8.9</v>
      </c>
      <c r="O673">
        <v>20.2</v>
      </c>
      <c r="P673">
        <v>12.9</v>
      </c>
      <c r="Q673">
        <v>12.7</v>
      </c>
      <c r="R673">
        <v>26.3</v>
      </c>
      <c r="S673">
        <v>15.3</v>
      </c>
      <c r="T673">
        <v>25</v>
      </c>
      <c r="U673">
        <v>29.2</v>
      </c>
      <c r="V673">
        <v>1.8</v>
      </c>
      <c r="W673">
        <v>15.7</v>
      </c>
      <c r="X673">
        <v>27.6</v>
      </c>
      <c r="Y673">
        <v>10</v>
      </c>
      <c r="Z673">
        <v>5.2</v>
      </c>
      <c r="AA673">
        <v>16.600000000000001</v>
      </c>
      <c r="AB673">
        <f t="shared" si="20"/>
        <v>277.3</v>
      </c>
      <c r="AC673">
        <v>282.5</v>
      </c>
      <c r="AD673">
        <v>3</v>
      </c>
      <c r="AE673">
        <f t="shared" si="21"/>
        <v>12</v>
      </c>
      <c r="AF673">
        <v>10</v>
      </c>
      <c r="AG673">
        <v>6</v>
      </c>
      <c r="AH673">
        <v>4</v>
      </c>
      <c r="AI673">
        <v>0</v>
      </c>
      <c r="AJ673">
        <v>0.70588235294117652</v>
      </c>
      <c r="AK673">
        <v>0.58823529411764708</v>
      </c>
      <c r="AL673">
        <v>0.35294117647058826</v>
      </c>
      <c r="AM673">
        <v>0.23529411764705882</v>
      </c>
      <c r="AN673">
        <v>0</v>
      </c>
    </row>
    <row r="674" spans="1:40" x14ac:dyDescent="0.25">
      <c r="A674">
        <v>2023</v>
      </c>
      <c r="B674" t="s">
        <v>99</v>
      </c>
      <c r="C674" t="str">
        <f>IF(COUNTIF('Rookies 22-25'!$B$2:$B$60,E674)&gt;0,"(R)","No")</f>
        <v>No</v>
      </c>
      <c r="D674">
        <v>8</v>
      </c>
      <c r="E674" t="s">
        <v>128</v>
      </c>
      <c r="F674" t="s">
        <v>51</v>
      </c>
      <c r="G674">
        <f>VLOOKUP(E674,'23 Draft ADP'!$B$3:$D$323,3,)</f>
        <v>36</v>
      </c>
      <c r="H674">
        <v>13</v>
      </c>
      <c r="I674">
        <v>14.2</v>
      </c>
      <c r="J674">
        <v>31.1</v>
      </c>
      <c r="K674">
        <v>45.5</v>
      </c>
      <c r="L674">
        <v>12.2</v>
      </c>
      <c r="M674" t="s">
        <v>22</v>
      </c>
      <c r="N674">
        <v>21.5</v>
      </c>
      <c r="O674">
        <v>9.5</v>
      </c>
      <c r="P674">
        <v>14.9</v>
      </c>
      <c r="Q674">
        <v>15.7</v>
      </c>
      <c r="R674">
        <v>40.5</v>
      </c>
      <c r="S674">
        <v>27.6</v>
      </c>
      <c r="T674">
        <v>22.6</v>
      </c>
      <c r="U674">
        <v>10.8</v>
      </c>
      <c r="V674">
        <v>12.8</v>
      </c>
      <c r="W674" t="s">
        <v>33</v>
      </c>
      <c r="X674" t="s">
        <v>33</v>
      </c>
      <c r="Y674" t="s">
        <v>33</v>
      </c>
      <c r="Z674">
        <v>0</v>
      </c>
      <c r="AA674">
        <v>21.5</v>
      </c>
      <c r="AB674">
        <f t="shared" si="20"/>
        <v>278.89999999999998</v>
      </c>
      <c r="AC674">
        <v>278.89999999999998</v>
      </c>
      <c r="AD674">
        <v>7</v>
      </c>
      <c r="AE674">
        <f t="shared" si="21"/>
        <v>12</v>
      </c>
      <c r="AF674">
        <v>7</v>
      </c>
      <c r="AG674">
        <v>6</v>
      </c>
      <c r="AH674">
        <v>4</v>
      </c>
      <c r="AI674">
        <v>3</v>
      </c>
      <c r="AJ674">
        <v>0.70588235294117652</v>
      </c>
      <c r="AK674">
        <v>0.53846153846153844</v>
      </c>
      <c r="AL674">
        <v>0.46153846153846156</v>
      </c>
      <c r="AM674">
        <v>0.30769230769230771</v>
      </c>
      <c r="AN674">
        <v>0.23076923076923078</v>
      </c>
    </row>
    <row r="675" spans="1:40" x14ac:dyDescent="0.25">
      <c r="A675">
        <v>2023</v>
      </c>
      <c r="B675" t="s">
        <v>99</v>
      </c>
      <c r="C675" t="str">
        <f>IF(COUNTIF('Rookies 22-25'!$B$2:$B$60,E675)&gt;0,"(R)","No")</f>
        <v>No</v>
      </c>
      <c r="D675">
        <v>9</v>
      </c>
      <c r="E675" t="s">
        <v>116</v>
      </c>
      <c r="F675" t="s">
        <v>61</v>
      </c>
      <c r="G675">
        <f>VLOOKUP(E675,'23 Draft ADP'!$B$3:$D$323,3,)</f>
        <v>9</v>
      </c>
      <c r="H675">
        <v>17</v>
      </c>
      <c r="I675">
        <v>26.2</v>
      </c>
      <c r="J675">
        <v>13.6</v>
      </c>
      <c r="K675">
        <v>19.100000000000001</v>
      </c>
      <c r="L675">
        <v>36</v>
      </c>
      <c r="M675">
        <v>24.1</v>
      </c>
      <c r="N675">
        <v>20</v>
      </c>
      <c r="O675">
        <v>17.8</v>
      </c>
      <c r="P675">
        <v>16</v>
      </c>
      <c r="Q675">
        <v>22.6</v>
      </c>
      <c r="R675">
        <v>6.4</v>
      </c>
      <c r="S675">
        <v>6.7</v>
      </c>
      <c r="T675">
        <v>19.399999999999999</v>
      </c>
      <c r="U675" t="s">
        <v>22</v>
      </c>
      <c r="V675">
        <v>6.4</v>
      </c>
      <c r="W675">
        <v>8.8000000000000007</v>
      </c>
      <c r="X675">
        <v>7.9</v>
      </c>
      <c r="Y675">
        <v>7.1</v>
      </c>
      <c r="Z675">
        <v>15.7</v>
      </c>
      <c r="AA675">
        <v>16.100000000000001</v>
      </c>
      <c r="AB675">
        <f t="shared" si="20"/>
        <v>258.10000000000002</v>
      </c>
      <c r="AC675">
        <v>273.8</v>
      </c>
      <c r="AD675">
        <v>1</v>
      </c>
      <c r="AE675">
        <f t="shared" si="21"/>
        <v>10</v>
      </c>
      <c r="AF675">
        <v>10</v>
      </c>
      <c r="AG675">
        <v>4</v>
      </c>
      <c r="AH675">
        <v>2</v>
      </c>
      <c r="AI675">
        <v>1</v>
      </c>
      <c r="AJ675">
        <v>0.6470588235294118</v>
      </c>
      <c r="AK675">
        <v>0.58823529411764708</v>
      </c>
      <c r="AL675">
        <v>0.23529411764705882</v>
      </c>
      <c r="AM675">
        <v>0.11764705882352941</v>
      </c>
      <c r="AN675">
        <v>5.8823529411764705E-2</v>
      </c>
    </row>
    <row r="676" spans="1:40" x14ac:dyDescent="0.25">
      <c r="A676">
        <v>2023</v>
      </c>
      <c r="B676" t="s">
        <v>99</v>
      </c>
      <c r="C676" t="str">
        <f>IF(COUNTIF('Rookies 22-25'!$B$2:$B$60,E676)&gt;0,"(R)","No")</f>
        <v>No</v>
      </c>
      <c r="D676">
        <v>10</v>
      </c>
      <c r="E676" t="s">
        <v>108</v>
      </c>
      <c r="F676" t="s">
        <v>43</v>
      </c>
      <c r="G676">
        <f>VLOOKUP(E676,'23 Draft ADP'!$B$3:$D$323,3,)</f>
        <v>17</v>
      </c>
      <c r="H676">
        <v>17</v>
      </c>
      <c r="I676">
        <v>12.6</v>
      </c>
      <c r="J676">
        <v>20.399999999999999</v>
      </c>
      <c r="K676">
        <v>42.2</v>
      </c>
      <c r="L676">
        <v>15.5</v>
      </c>
      <c r="M676">
        <v>8.5</v>
      </c>
      <c r="N676">
        <v>4.9000000000000004</v>
      </c>
      <c r="O676">
        <v>12.7</v>
      </c>
      <c r="P676">
        <v>2.1</v>
      </c>
      <c r="Q676">
        <v>7.4</v>
      </c>
      <c r="R676">
        <v>14.6</v>
      </c>
      <c r="S676">
        <v>21.2</v>
      </c>
      <c r="T676">
        <v>12.3</v>
      </c>
      <c r="U676" t="s">
        <v>22</v>
      </c>
      <c r="V676">
        <v>12.3</v>
      </c>
      <c r="W676">
        <v>24.1</v>
      </c>
      <c r="X676">
        <v>1.4</v>
      </c>
      <c r="Y676">
        <v>37.6</v>
      </c>
      <c r="Z676">
        <v>15.6</v>
      </c>
      <c r="AA676">
        <v>15.6</v>
      </c>
      <c r="AB676">
        <f t="shared" si="20"/>
        <v>249.79999999999998</v>
      </c>
      <c r="AC676">
        <v>265.39999999999998</v>
      </c>
      <c r="AD676">
        <v>5</v>
      </c>
      <c r="AE676">
        <f t="shared" si="21"/>
        <v>11</v>
      </c>
      <c r="AF676">
        <v>7</v>
      </c>
      <c r="AG676">
        <v>5</v>
      </c>
      <c r="AH676">
        <v>2</v>
      </c>
      <c r="AI676">
        <v>2</v>
      </c>
      <c r="AJ676">
        <v>0.70588235294117652</v>
      </c>
      <c r="AK676">
        <v>0.41176470588235292</v>
      </c>
      <c r="AL676">
        <v>0.29411764705882354</v>
      </c>
      <c r="AM676">
        <v>0.11764705882352941</v>
      </c>
      <c r="AN676">
        <v>0.11764705882352941</v>
      </c>
    </row>
    <row r="677" spans="1:40" x14ac:dyDescent="0.25">
      <c r="A677">
        <v>2023</v>
      </c>
      <c r="B677" t="s">
        <v>99</v>
      </c>
      <c r="C677" t="str">
        <f>IF(COUNTIF('Rookies 22-25'!$B$2:$B$60,E677)&gt;0,"(R)","No")</f>
        <v>No</v>
      </c>
      <c r="D677">
        <v>11</v>
      </c>
      <c r="E677" t="s">
        <v>103</v>
      </c>
      <c r="F677" t="s">
        <v>89</v>
      </c>
      <c r="G677">
        <f>VLOOKUP(E677,'23 Draft ADP'!$B$3:$D$323,3,)</f>
        <v>3</v>
      </c>
      <c r="H677">
        <v>16</v>
      </c>
      <c r="I677">
        <v>9.1</v>
      </c>
      <c r="J677">
        <v>8.1</v>
      </c>
      <c r="K677">
        <v>26.1</v>
      </c>
      <c r="L677">
        <v>14.3</v>
      </c>
      <c r="M677">
        <v>52.2</v>
      </c>
      <c r="N677">
        <v>14</v>
      </c>
      <c r="O677" t="s">
        <v>22</v>
      </c>
      <c r="P677">
        <v>25.2</v>
      </c>
      <c r="Q677">
        <v>8.1</v>
      </c>
      <c r="R677">
        <v>23.4</v>
      </c>
      <c r="S677">
        <v>9.1999999999999993</v>
      </c>
      <c r="T677">
        <v>12.1</v>
      </c>
      <c r="U677">
        <v>31.6</v>
      </c>
      <c r="V677">
        <v>5.9</v>
      </c>
      <c r="W677">
        <v>10.4</v>
      </c>
      <c r="X677" t="s">
        <v>33</v>
      </c>
      <c r="Y677">
        <v>7.1</v>
      </c>
      <c r="Z677">
        <v>5.9</v>
      </c>
      <c r="AA677">
        <v>16.399999999999999</v>
      </c>
      <c r="AB677">
        <f t="shared" si="20"/>
        <v>256.8</v>
      </c>
      <c r="AC677">
        <v>262.7</v>
      </c>
      <c r="AD677">
        <v>4</v>
      </c>
      <c r="AE677">
        <f t="shared" si="21"/>
        <v>9</v>
      </c>
      <c r="AF677">
        <v>5</v>
      </c>
      <c r="AG677">
        <v>5</v>
      </c>
      <c r="AH677">
        <v>4</v>
      </c>
      <c r="AI677">
        <v>2</v>
      </c>
      <c r="AJ677">
        <v>0.52941176470588236</v>
      </c>
      <c r="AK677">
        <v>0.3125</v>
      </c>
      <c r="AL677">
        <v>0.3125</v>
      </c>
      <c r="AM677">
        <v>0.25</v>
      </c>
      <c r="AN677">
        <v>0.125</v>
      </c>
    </row>
    <row r="678" spans="1:40" x14ac:dyDescent="0.25">
      <c r="A678">
        <v>2023</v>
      </c>
      <c r="B678" t="s">
        <v>99</v>
      </c>
      <c r="C678" t="str">
        <f>IF(COUNTIF('Rookies 22-25'!$B$2:$B$60,E678)&gt;0,"(R)","No")</f>
        <v>No</v>
      </c>
      <c r="D678">
        <v>12</v>
      </c>
      <c r="E678" t="s">
        <v>107</v>
      </c>
      <c r="F678" t="s">
        <v>41</v>
      </c>
      <c r="G678">
        <f>VLOOKUP(E678,'23 Draft ADP'!$B$3:$D$323,3,)</f>
        <v>117</v>
      </c>
      <c r="H678">
        <v>15</v>
      </c>
      <c r="I678">
        <v>14</v>
      </c>
      <c r="J678">
        <v>27.6</v>
      </c>
      <c r="K678">
        <v>5.4</v>
      </c>
      <c r="L678">
        <v>35.799999999999997</v>
      </c>
      <c r="M678">
        <v>6.9</v>
      </c>
      <c r="N678">
        <v>12</v>
      </c>
      <c r="O678" t="s">
        <v>22</v>
      </c>
      <c r="P678">
        <v>7</v>
      </c>
      <c r="Q678">
        <v>14.4</v>
      </c>
      <c r="R678" t="s">
        <v>33</v>
      </c>
      <c r="S678">
        <v>13.5</v>
      </c>
      <c r="T678">
        <v>23.4</v>
      </c>
      <c r="U678">
        <v>34.1</v>
      </c>
      <c r="V678">
        <v>2.2999999999999998</v>
      </c>
      <c r="W678" t="s">
        <v>33</v>
      </c>
      <c r="X678">
        <v>13.8</v>
      </c>
      <c r="Y678">
        <v>15.7</v>
      </c>
      <c r="Z678">
        <v>34.5</v>
      </c>
      <c r="AA678">
        <v>17.399999999999999</v>
      </c>
      <c r="AB678">
        <f t="shared" si="20"/>
        <v>225.89999999999998</v>
      </c>
      <c r="AC678">
        <v>260.39999999999998</v>
      </c>
      <c r="AD678">
        <v>5</v>
      </c>
      <c r="AE678">
        <f t="shared" si="21"/>
        <v>10</v>
      </c>
      <c r="AF678">
        <v>6</v>
      </c>
      <c r="AG678">
        <v>5</v>
      </c>
      <c r="AH678">
        <v>4</v>
      </c>
      <c r="AI678">
        <v>3</v>
      </c>
      <c r="AJ678">
        <v>0.6470588235294118</v>
      </c>
      <c r="AK678">
        <v>0.4</v>
      </c>
      <c r="AL678">
        <v>0.33333333333333331</v>
      </c>
      <c r="AM678">
        <v>0.26666666666666666</v>
      </c>
      <c r="AN678">
        <v>0.2</v>
      </c>
    </row>
    <row r="679" spans="1:40" x14ac:dyDescent="0.25">
      <c r="A679">
        <v>2023</v>
      </c>
      <c r="B679" t="s">
        <v>99</v>
      </c>
      <c r="C679" t="str">
        <f>IF(COUNTIF('Rookies 22-25'!$B$2:$B$60,E679)&gt;0,"(R)","No")</f>
        <v>No</v>
      </c>
      <c r="D679">
        <v>13</v>
      </c>
      <c r="E679" t="s">
        <v>117</v>
      </c>
      <c r="F679" t="s">
        <v>28</v>
      </c>
      <c r="G679">
        <f>VLOOKUP(E679,'23 Draft ADP'!$B$3:$D$323,3,)</f>
        <v>75</v>
      </c>
      <c r="H679">
        <v>16</v>
      </c>
      <c r="I679">
        <v>23.7</v>
      </c>
      <c r="J679">
        <v>13.6</v>
      </c>
      <c r="K679">
        <v>16.7</v>
      </c>
      <c r="L679">
        <v>4.5</v>
      </c>
      <c r="M679">
        <v>10.199999999999999</v>
      </c>
      <c r="N679">
        <v>19.899999999999999</v>
      </c>
      <c r="O679">
        <v>16.3</v>
      </c>
      <c r="P679">
        <v>18</v>
      </c>
      <c r="Q679">
        <v>14.4</v>
      </c>
      <c r="R679">
        <v>16.399999999999999</v>
      </c>
      <c r="S679" t="s">
        <v>22</v>
      </c>
      <c r="T679">
        <v>20.7</v>
      </c>
      <c r="U679">
        <v>27.5</v>
      </c>
      <c r="V679">
        <v>19.5</v>
      </c>
      <c r="W679">
        <v>11.8</v>
      </c>
      <c r="X679" t="s">
        <v>33</v>
      </c>
      <c r="Y679">
        <v>9.6</v>
      </c>
      <c r="Z679">
        <v>7.4</v>
      </c>
      <c r="AA679">
        <v>15.6</v>
      </c>
      <c r="AB679">
        <f t="shared" si="20"/>
        <v>242.79999999999998</v>
      </c>
      <c r="AC679">
        <v>250.2</v>
      </c>
      <c r="AD679">
        <v>9</v>
      </c>
      <c r="AE679">
        <f t="shared" si="21"/>
        <v>13</v>
      </c>
      <c r="AF679">
        <v>9</v>
      </c>
      <c r="AG679">
        <v>3</v>
      </c>
      <c r="AH679">
        <v>1</v>
      </c>
      <c r="AI679">
        <v>0</v>
      </c>
      <c r="AJ679">
        <v>0.76470588235294112</v>
      </c>
      <c r="AK679">
        <v>0.5625</v>
      </c>
      <c r="AL679">
        <v>0.1875</v>
      </c>
      <c r="AM679">
        <v>6.25E-2</v>
      </c>
      <c r="AN679">
        <v>0</v>
      </c>
    </row>
    <row r="680" spans="1:40" x14ac:dyDescent="0.25">
      <c r="A680">
        <v>2023</v>
      </c>
      <c r="B680" t="s">
        <v>99</v>
      </c>
      <c r="C680" t="str">
        <f>IF(COUNTIF('Rookies 22-25'!$B$2:$B$60,E680)&gt;0,"(R)","No")</f>
        <v>No</v>
      </c>
      <c r="D680">
        <v>14</v>
      </c>
      <c r="E680" t="s">
        <v>426</v>
      </c>
      <c r="F680" t="s">
        <v>47</v>
      </c>
      <c r="G680">
        <f>VLOOKUP(E680,'23 Draft ADP'!$B$3:$D$323,3,)</f>
        <v>40</v>
      </c>
      <c r="H680">
        <v>16</v>
      </c>
      <c r="I680">
        <v>32.9</v>
      </c>
      <c r="J680">
        <v>7.3</v>
      </c>
      <c r="K680" t="s">
        <v>33</v>
      </c>
      <c r="L680">
        <v>20.8</v>
      </c>
      <c r="M680">
        <v>9.8000000000000007</v>
      </c>
      <c r="N680">
        <v>11.6</v>
      </c>
      <c r="O680">
        <v>10.7</v>
      </c>
      <c r="P680">
        <v>15.9</v>
      </c>
      <c r="Q680" t="s">
        <v>22</v>
      </c>
      <c r="R680">
        <v>14.5</v>
      </c>
      <c r="S680">
        <v>26.6</v>
      </c>
      <c r="T680">
        <v>13</v>
      </c>
      <c r="U680">
        <v>15.6</v>
      </c>
      <c r="V680">
        <v>16.600000000000001</v>
      </c>
      <c r="W680">
        <v>6.7</v>
      </c>
      <c r="X680">
        <v>17.3</v>
      </c>
      <c r="Y680">
        <v>24.4</v>
      </c>
      <c r="Z680">
        <v>5.5</v>
      </c>
      <c r="AA680">
        <v>15.6</v>
      </c>
      <c r="AB680">
        <f t="shared" si="20"/>
        <v>243.7</v>
      </c>
      <c r="AC680">
        <v>249.2</v>
      </c>
      <c r="AD680">
        <v>2</v>
      </c>
      <c r="AE680">
        <f t="shared" si="21"/>
        <v>12</v>
      </c>
      <c r="AF680">
        <v>8</v>
      </c>
      <c r="AG680">
        <v>4</v>
      </c>
      <c r="AH680">
        <v>2</v>
      </c>
      <c r="AI680">
        <v>1</v>
      </c>
      <c r="AJ680">
        <v>0.70588235294117652</v>
      </c>
      <c r="AK680">
        <v>0.5</v>
      </c>
      <c r="AL680">
        <v>0.25</v>
      </c>
      <c r="AM680">
        <v>0.125</v>
      </c>
      <c r="AN680">
        <v>6.25E-2</v>
      </c>
    </row>
    <row r="681" spans="1:40" x14ac:dyDescent="0.25">
      <c r="A681">
        <v>2023</v>
      </c>
      <c r="B681" t="s">
        <v>99</v>
      </c>
      <c r="C681" t="str">
        <f>IF(COUNTIF('Rookies 22-25'!$B$2:$B$60,E681)&gt;0,"(R)","No")</f>
        <v>No</v>
      </c>
      <c r="D681">
        <v>15</v>
      </c>
      <c r="E681" t="s">
        <v>124</v>
      </c>
      <c r="F681" t="s">
        <v>47</v>
      </c>
      <c r="G681">
        <f>VLOOKUP(E681,'23 Draft ADP'!$B$3:$D$323,3,)</f>
        <v>27</v>
      </c>
      <c r="H681">
        <v>15</v>
      </c>
      <c r="I681">
        <v>11.3</v>
      </c>
      <c r="J681">
        <v>22.1</v>
      </c>
      <c r="K681">
        <v>25.1</v>
      </c>
      <c r="L681">
        <v>0.6</v>
      </c>
      <c r="M681">
        <v>11.5</v>
      </c>
      <c r="N681">
        <v>1.1000000000000001</v>
      </c>
      <c r="O681" t="s">
        <v>33</v>
      </c>
      <c r="P681" t="s">
        <v>33</v>
      </c>
      <c r="Q681" t="s">
        <v>22</v>
      </c>
      <c r="R681">
        <v>15.9</v>
      </c>
      <c r="S681">
        <v>9.1999999999999993</v>
      </c>
      <c r="T681">
        <v>22.4</v>
      </c>
      <c r="U681">
        <v>35.799999999999997</v>
      </c>
      <c r="V681">
        <v>34</v>
      </c>
      <c r="W681">
        <v>21.9</v>
      </c>
      <c r="X681">
        <v>9.4</v>
      </c>
      <c r="Y681">
        <v>18.2</v>
      </c>
      <c r="Z681">
        <v>5.2</v>
      </c>
      <c r="AA681">
        <v>16.2</v>
      </c>
      <c r="AB681">
        <f t="shared" si="20"/>
        <v>238.5</v>
      </c>
      <c r="AC681">
        <v>243.7</v>
      </c>
      <c r="AD681">
        <v>2</v>
      </c>
      <c r="AE681">
        <f t="shared" si="21"/>
        <v>10</v>
      </c>
      <c r="AF681">
        <v>8</v>
      </c>
      <c r="AG681">
        <v>6</v>
      </c>
      <c r="AH681">
        <v>3</v>
      </c>
      <c r="AI681">
        <v>2</v>
      </c>
      <c r="AJ681">
        <v>0.58823529411764708</v>
      </c>
      <c r="AK681">
        <v>0.53333333333333333</v>
      </c>
      <c r="AL681">
        <v>0.4</v>
      </c>
      <c r="AM681">
        <v>0.2</v>
      </c>
      <c r="AN681">
        <v>0.13333333333333333</v>
      </c>
    </row>
    <row r="682" spans="1:40" x14ac:dyDescent="0.25">
      <c r="A682">
        <v>2023</v>
      </c>
      <c r="B682" t="s">
        <v>99</v>
      </c>
      <c r="C682" t="str">
        <f>IF(COUNTIF('Rookies 22-25'!$B$2:$B$60,E682)&gt;0,"(R)","No")</f>
        <v>No</v>
      </c>
      <c r="D682">
        <v>16</v>
      </c>
      <c r="E682" t="s">
        <v>105</v>
      </c>
      <c r="F682" t="s">
        <v>37</v>
      </c>
      <c r="G682">
        <f>VLOOKUP(E682,'23 Draft ADP'!$B$3:$D$323,3,)</f>
        <v>22</v>
      </c>
      <c r="H682">
        <v>16</v>
      </c>
      <c r="I682">
        <v>19.2</v>
      </c>
      <c r="J682">
        <v>14.6</v>
      </c>
      <c r="K682">
        <v>18.399999999999999</v>
      </c>
      <c r="L682">
        <v>1.4</v>
      </c>
      <c r="M682">
        <v>9.1999999999999993</v>
      </c>
      <c r="N682">
        <v>16.600000000000001</v>
      </c>
      <c r="O682">
        <v>12.7</v>
      </c>
      <c r="P682">
        <v>9.6</v>
      </c>
      <c r="Q682">
        <v>16.600000000000001</v>
      </c>
      <c r="R682">
        <v>21.4</v>
      </c>
      <c r="S682" t="s">
        <v>22</v>
      </c>
      <c r="T682">
        <v>18.399999999999999</v>
      </c>
      <c r="U682">
        <v>16.899999999999999</v>
      </c>
      <c r="V682">
        <v>12.8</v>
      </c>
      <c r="W682" t="s">
        <v>33</v>
      </c>
      <c r="X682">
        <v>23.3</v>
      </c>
      <c r="Y682">
        <v>5.6</v>
      </c>
      <c r="Z682">
        <v>14.6</v>
      </c>
      <c r="AA682">
        <v>14.5</v>
      </c>
      <c r="AB682">
        <f t="shared" si="20"/>
        <v>216.70000000000002</v>
      </c>
      <c r="AC682">
        <v>231.3</v>
      </c>
      <c r="AD682">
        <v>6</v>
      </c>
      <c r="AE682">
        <f t="shared" si="21"/>
        <v>11</v>
      </c>
      <c r="AF682">
        <v>8</v>
      </c>
      <c r="AG682">
        <v>2</v>
      </c>
      <c r="AH682">
        <v>0</v>
      </c>
      <c r="AI682">
        <v>0</v>
      </c>
      <c r="AJ682">
        <v>0.70588235294117652</v>
      </c>
      <c r="AK682">
        <v>0.5</v>
      </c>
      <c r="AL682">
        <v>0.125</v>
      </c>
      <c r="AM682">
        <v>0</v>
      </c>
      <c r="AN682">
        <v>0</v>
      </c>
    </row>
    <row r="683" spans="1:40" x14ac:dyDescent="0.25">
      <c r="A683">
        <v>2023</v>
      </c>
      <c r="B683" t="s">
        <v>99</v>
      </c>
      <c r="C683" t="str">
        <f>IF(COUNTIF('Rookies 22-25'!$B$2:$B$60,E683)&gt;0,"(R)","No")</f>
        <v>No</v>
      </c>
      <c r="D683">
        <v>17</v>
      </c>
      <c r="E683" t="s">
        <v>411</v>
      </c>
      <c r="F683" t="s">
        <v>95</v>
      </c>
      <c r="G683">
        <f>VLOOKUP(E683,'23 Draft ADP'!$B$3:$D$323,3,)</f>
        <v>144</v>
      </c>
      <c r="H683">
        <v>17</v>
      </c>
      <c r="I683">
        <v>3.2</v>
      </c>
      <c r="J683">
        <v>20.399999999999999</v>
      </c>
      <c r="K683">
        <v>31.5</v>
      </c>
      <c r="L683">
        <v>15.2</v>
      </c>
      <c r="M683">
        <v>27.7</v>
      </c>
      <c r="N683">
        <v>28.5</v>
      </c>
      <c r="O683" t="s">
        <v>22</v>
      </c>
      <c r="P683">
        <v>15.2</v>
      </c>
      <c r="Q683">
        <v>7.9</v>
      </c>
      <c r="R683">
        <v>10.199999999999999</v>
      </c>
      <c r="S683">
        <v>15.4</v>
      </c>
      <c r="T683">
        <v>1.2</v>
      </c>
      <c r="U683">
        <v>5.5</v>
      </c>
      <c r="V683">
        <v>12.4</v>
      </c>
      <c r="W683">
        <v>8.3000000000000007</v>
      </c>
      <c r="X683">
        <v>15.4</v>
      </c>
      <c r="Y683">
        <v>9.8000000000000007</v>
      </c>
      <c r="Z683">
        <v>3.2</v>
      </c>
      <c r="AA683">
        <v>13.6</v>
      </c>
      <c r="AB683">
        <f t="shared" si="20"/>
        <v>227.8</v>
      </c>
      <c r="AC683">
        <v>231</v>
      </c>
      <c r="AD683">
        <v>12</v>
      </c>
      <c r="AE683">
        <f t="shared" si="21"/>
        <v>10</v>
      </c>
      <c r="AF683">
        <v>8</v>
      </c>
      <c r="AG683">
        <v>4</v>
      </c>
      <c r="AH683">
        <v>3</v>
      </c>
      <c r="AI683">
        <v>1</v>
      </c>
      <c r="AJ683">
        <v>0.58823529411764708</v>
      </c>
      <c r="AK683">
        <v>0.47058823529411764</v>
      </c>
      <c r="AL683">
        <v>0.23529411764705882</v>
      </c>
      <c r="AM683">
        <v>0.17647058823529413</v>
      </c>
      <c r="AN683">
        <v>5.8823529411764705E-2</v>
      </c>
    </row>
    <row r="684" spans="1:40" x14ac:dyDescent="0.25">
      <c r="A684">
        <v>2023</v>
      </c>
      <c r="B684" t="s">
        <v>99</v>
      </c>
      <c r="C684" t="str">
        <f>IF(COUNTIF('Rookies 22-25'!$B$2:$B$60,E684)&gt;0,"(R)","No")</f>
        <v>No</v>
      </c>
      <c r="D684">
        <v>18</v>
      </c>
      <c r="E684" t="s">
        <v>216</v>
      </c>
      <c r="F684" t="s">
        <v>67</v>
      </c>
      <c r="G684">
        <f>VLOOKUP(E684,'23 Draft ADP'!$B$3:$D$323,3,)</f>
        <v>28</v>
      </c>
      <c r="H684">
        <v>17</v>
      </c>
      <c r="I684">
        <v>24.1</v>
      </c>
      <c r="J684">
        <v>5.2</v>
      </c>
      <c r="K684">
        <v>7</v>
      </c>
      <c r="L684">
        <v>11.8</v>
      </c>
      <c r="M684">
        <v>20.6</v>
      </c>
      <c r="N684">
        <v>6.6</v>
      </c>
      <c r="O684">
        <v>1.5</v>
      </c>
      <c r="P684">
        <v>14.3</v>
      </c>
      <c r="Q684" t="s">
        <v>22</v>
      </c>
      <c r="R684">
        <v>4</v>
      </c>
      <c r="S684">
        <v>31.1</v>
      </c>
      <c r="T684">
        <v>21.9</v>
      </c>
      <c r="U684">
        <v>7.3</v>
      </c>
      <c r="V684">
        <v>9.3000000000000007</v>
      </c>
      <c r="W684">
        <v>8.9</v>
      </c>
      <c r="X684">
        <v>25.8</v>
      </c>
      <c r="Y684">
        <v>7.9</v>
      </c>
      <c r="Z684">
        <v>22.6</v>
      </c>
      <c r="AA684">
        <v>13.5</v>
      </c>
      <c r="AB684">
        <f t="shared" si="20"/>
        <v>207.3</v>
      </c>
      <c r="AC684">
        <v>229.9</v>
      </c>
      <c r="AD684">
        <v>6</v>
      </c>
      <c r="AE684">
        <f t="shared" si="21"/>
        <v>7</v>
      </c>
      <c r="AF684">
        <v>6</v>
      </c>
      <c r="AG684">
        <v>6</v>
      </c>
      <c r="AH684">
        <v>2</v>
      </c>
      <c r="AI684">
        <v>1</v>
      </c>
      <c r="AJ684">
        <v>0.47058823529411764</v>
      </c>
      <c r="AK684">
        <v>0.35294117647058826</v>
      </c>
      <c r="AL684">
        <v>0.35294117647058826</v>
      </c>
      <c r="AM684">
        <v>0.11764705882352941</v>
      </c>
      <c r="AN684">
        <v>5.8823529411764705E-2</v>
      </c>
    </row>
    <row r="685" spans="1:40" x14ac:dyDescent="0.25">
      <c r="A685">
        <v>2023</v>
      </c>
      <c r="B685" t="s">
        <v>99</v>
      </c>
      <c r="C685" t="str">
        <f>IF(COUNTIF('Rookies 22-25'!$B$2:$B$60,E685)&gt;0,"(R)","No")</f>
        <v>No</v>
      </c>
      <c r="D685">
        <v>19</v>
      </c>
      <c r="E685" t="s">
        <v>119</v>
      </c>
      <c r="F685" t="s">
        <v>35</v>
      </c>
      <c r="G685">
        <f>VLOOKUP(E685,'23 Draft ADP'!$B$3:$D$323,3,)</f>
        <v>24</v>
      </c>
      <c r="H685">
        <v>16</v>
      </c>
      <c r="I685">
        <v>17.7</v>
      </c>
      <c r="J685">
        <v>23.1</v>
      </c>
      <c r="K685">
        <v>6.8</v>
      </c>
      <c r="L685">
        <v>14.8</v>
      </c>
      <c r="M685">
        <v>1.6</v>
      </c>
      <c r="N685">
        <v>9.4</v>
      </c>
      <c r="O685">
        <v>8.9</v>
      </c>
      <c r="P685">
        <v>22.9</v>
      </c>
      <c r="Q685">
        <v>14.1</v>
      </c>
      <c r="R685" t="s">
        <v>22</v>
      </c>
      <c r="S685">
        <v>15.9</v>
      </c>
      <c r="T685">
        <v>23.6</v>
      </c>
      <c r="U685">
        <v>24.6</v>
      </c>
      <c r="V685">
        <v>10.3</v>
      </c>
      <c r="W685">
        <v>10</v>
      </c>
      <c r="X685">
        <v>17.899999999999999</v>
      </c>
      <c r="Y685">
        <v>6</v>
      </c>
      <c r="Z685">
        <v>0</v>
      </c>
      <c r="AA685">
        <v>14.2</v>
      </c>
      <c r="AB685">
        <f t="shared" si="20"/>
        <v>227.6</v>
      </c>
      <c r="AC685">
        <v>227.6</v>
      </c>
      <c r="AD685">
        <v>2</v>
      </c>
      <c r="AE685">
        <f t="shared" si="21"/>
        <v>10</v>
      </c>
      <c r="AF685">
        <v>7</v>
      </c>
      <c r="AG685">
        <v>4</v>
      </c>
      <c r="AH685">
        <v>0</v>
      </c>
      <c r="AI685">
        <v>0</v>
      </c>
      <c r="AJ685">
        <v>0.58823529411764708</v>
      </c>
      <c r="AK685">
        <v>0.4375</v>
      </c>
      <c r="AL685">
        <v>0.25</v>
      </c>
      <c r="AM685">
        <v>0</v>
      </c>
      <c r="AN685">
        <v>0</v>
      </c>
    </row>
    <row r="686" spans="1:40" x14ac:dyDescent="0.25">
      <c r="A686">
        <v>2023</v>
      </c>
      <c r="B686" t="s">
        <v>99</v>
      </c>
      <c r="C686" t="str">
        <f>IF(COUNTIF('Rookies 22-25'!$B$2:$B$60,E686)&gt;0,"(R)","No")</f>
        <v>No</v>
      </c>
      <c r="D686">
        <v>20</v>
      </c>
      <c r="E686" t="s">
        <v>415</v>
      </c>
      <c r="F686" t="s">
        <v>32</v>
      </c>
      <c r="G686">
        <f>VLOOKUP(E686,'23 Draft ADP'!$B$3:$D$323,3,)</f>
        <v>35</v>
      </c>
      <c r="H686">
        <v>15</v>
      </c>
      <c r="I686">
        <v>6.7</v>
      </c>
      <c r="J686">
        <v>16</v>
      </c>
      <c r="K686">
        <v>24.6</v>
      </c>
      <c r="L686">
        <v>2.6</v>
      </c>
      <c r="M686" t="s">
        <v>22</v>
      </c>
      <c r="N686">
        <v>14.8</v>
      </c>
      <c r="O686">
        <v>4.2</v>
      </c>
      <c r="P686">
        <v>14.9</v>
      </c>
      <c r="Q686">
        <v>24.9</v>
      </c>
      <c r="R686">
        <v>15.8</v>
      </c>
      <c r="S686">
        <v>7.4</v>
      </c>
      <c r="T686">
        <v>3.6</v>
      </c>
      <c r="U686">
        <v>6.4</v>
      </c>
      <c r="V686">
        <v>12.7</v>
      </c>
      <c r="W686">
        <v>20.9</v>
      </c>
      <c r="X686">
        <v>51.5</v>
      </c>
      <c r="Y686" t="s">
        <v>33</v>
      </c>
      <c r="Z686">
        <v>0</v>
      </c>
      <c r="AA686">
        <v>15.1</v>
      </c>
      <c r="AB686">
        <f t="shared" si="20"/>
        <v>227</v>
      </c>
      <c r="AC686">
        <v>227</v>
      </c>
      <c r="AD686">
        <v>20</v>
      </c>
      <c r="AE686">
        <f t="shared" si="21"/>
        <v>9</v>
      </c>
      <c r="AF686">
        <v>6</v>
      </c>
      <c r="AG686">
        <v>4</v>
      </c>
      <c r="AH686">
        <v>1</v>
      </c>
      <c r="AI686">
        <v>1</v>
      </c>
      <c r="AJ686">
        <v>0.52941176470588236</v>
      </c>
      <c r="AK686">
        <v>0.4</v>
      </c>
      <c r="AL686">
        <v>0.26666666666666666</v>
      </c>
      <c r="AM686">
        <v>6.6666666666666666E-2</v>
      </c>
      <c r="AN686">
        <v>6.6666666666666666E-2</v>
      </c>
    </row>
    <row r="687" spans="1:40" x14ac:dyDescent="0.25">
      <c r="A687">
        <v>2023</v>
      </c>
      <c r="B687" t="s">
        <v>99</v>
      </c>
      <c r="C687" t="str">
        <f>IF(COUNTIF('Rookies 22-25'!$B$2:$B$60,E687)&gt;0,"(R)","No")</f>
        <v>No</v>
      </c>
      <c r="D687">
        <v>21</v>
      </c>
      <c r="E687" t="s">
        <v>125</v>
      </c>
      <c r="F687" t="s">
        <v>49</v>
      </c>
      <c r="G687">
        <f>VLOOKUP(E687,'23 Draft ADP'!$B$3:$D$323,3,)</f>
        <v>31</v>
      </c>
      <c r="H687">
        <v>16</v>
      </c>
      <c r="I687">
        <v>13.7</v>
      </c>
      <c r="J687">
        <v>13.5</v>
      </c>
      <c r="K687">
        <v>17.2</v>
      </c>
      <c r="L687">
        <v>12.4</v>
      </c>
      <c r="M687" t="s">
        <v>22</v>
      </c>
      <c r="N687">
        <v>10.9</v>
      </c>
      <c r="O687" t="s">
        <v>33</v>
      </c>
      <c r="P687">
        <v>11.7</v>
      </c>
      <c r="Q687">
        <v>6</v>
      </c>
      <c r="R687">
        <v>16.8</v>
      </c>
      <c r="S687">
        <v>20.399999999999999</v>
      </c>
      <c r="T687">
        <v>6.2</v>
      </c>
      <c r="U687">
        <v>37.4</v>
      </c>
      <c r="V687">
        <v>13.2</v>
      </c>
      <c r="W687">
        <v>12.8</v>
      </c>
      <c r="X687">
        <v>15.6</v>
      </c>
      <c r="Y687">
        <v>15.6</v>
      </c>
      <c r="Z687">
        <v>2</v>
      </c>
      <c r="AA687">
        <v>14.1</v>
      </c>
      <c r="AB687">
        <f t="shared" si="20"/>
        <v>223.4</v>
      </c>
      <c r="AC687">
        <v>225.4</v>
      </c>
      <c r="AD687">
        <v>7</v>
      </c>
      <c r="AE687">
        <f t="shared" si="21"/>
        <v>13</v>
      </c>
      <c r="AF687">
        <v>6</v>
      </c>
      <c r="AG687">
        <v>2</v>
      </c>
      <c r="AH687">
        <v>1</v>
      </c>
      <c r="AI687">
        <v>1</v>
      </c>
      <c r="AJ687">
        <v>0.76470588235294112</v>
      </c>
      <c r="AK687">
        <v>0.375</v>
      </c>
      <c r="AL687">
        <v>0.125</v>
      </c>
      <c r="AM687">
        <v>6.25E-2</v>
      </c>
      <c r="AN687">
        <v>6.25E-2</v>
      </c>
    </row>
    <row r="688" spans="1:40" x14ac:dyDescent="0.25">
      <c r="A688">
        <v>2023</v>
      </c>
      <c r="B688" t="s">
        <v>99</v>
      </c>
      <c r="C688" t="str">
        <f>IF(COUNTIF('Rookies 22-25'!$B$2:$B$60,E688)&gt;0,"(R)","No")</f>
        <v>No</v>
      </c>
      <c r="D688">
        <v>22</v>
      </c>
      <c r="E688" t="s">
        <v>192</v>
      </c>
      <c r="F688" t="s">
        <v>63</v>
      </c>
      <c r="G688">
        <f>VLOOKUP(E688,'23 Draft ADP'!$B$3:$D$323,3,)</f>
        <v>51</v>
      </c>
      <c r="H688">
        <v>17</v>
      </c>
      <c r="I688">
        <v>13.5</v>
      </c>
      <c r="J688">
        <v>8</v>
      </c>
      <c r="K688">
        <v>7.8</v>
      </c>
      <c r="L688">
        <v>10.3</v>
      </c>
      <c r="M688">
        <v>22</v>
      </c>
      <c r="N688">
        <v>3</v>
      </c>
      <c r="O688" t="s">
        <v>22</v>
      </c>
      <c r="P688">
        <v>34.799999999999997</v>
      </c>
      <c r="Q688">
        <v>10.5</v>
      </c>
      <c r="R688">
        <v>5.7</v>
      </c>
      <c r="S688">
        <v>15.9</v>
      </c>
      <c r="T688">
        <v>7.9</v>
      </c>
      <c r="U688">
        <v>18.899999999999999</v>
      </c>
      <c r="V688">
        <v>25.4</v>
      </c>
      <c r="W688">
        <v>4.0999999999999996</v>
      </c>
      <c r="X688">
        <v>4</v>
      </c>
      <c r="Y688">
        <v>14.2</v>
      </c>
      <c r="Z688">
        <v>17.600000000000001</v>
      </c>
      <c r="AA688">
        <v>13.2</v>
      </c>
      <c r="AB688">
        <f t="shared" si="20"/>
        <v>206</v>
      </c>
      <c r="AC688">
        <v>223.6</v>
      </c>
      <c r="AD688">
        <v>8</v>
      </c>
      <c r="AE688">
        <f t="shared" si="21"/>
        <v>9</v>
      </c>
      <c r="AF688">
        <v>6</v>
      </c>
      <c r="AG688">
        <v>3</v>
      </c>
      <c r="AH688">
        <v>2</v>
      </c>
      <c r="AI688">
        <v>1</v>
      </c>
      <c r="AJ688">
        <v>0.58823529411764708</v>
      </c>
      <c r="AK688">
        <v>0.35294117647058826</v>
      </c>
      <c r="AL688">
        <v>0.17647058823529413</v>
      </c>
      <c r="AM688">
        <v>0.11764705882352941</v>
      </c>
      <c r="AN688">
        <v>5.8823529411764705E-2</v>
      </c>
    </row>
    <row r="689" spans="1:40" x14ac:dyDescent="0.25">
      <c r="A689">
        <v>2023</v>
      </c>
      <c r="B689" t="s">
        <v>99</v>
      </c>
      <c r="C689" t="str">
        <f>IF(COUNTIF('Rookies 22-25'!$B$2:$B$60,E689)&gt;0,"(R)","No")</f>
        <v>(R)</v>
      </c>
      <c r="D689">
        <v>23</v>
      </c>
      <c r="E689" t="s">
        <v>144</v>
      </c>
      <c r="F689" t="s">
        <v>73</v>
      </c>
      <c r="G689">
        <f>VLOOKUP(E689,'23 Draft ADP'!$B$3:$D$323,3,)</f>
        <v>88</v>
      </c>
      <c r="H689">
        <v>17</v>
      </c>
      <c r="I689">
        <v>16.100000000000001</v>
      </c>
      <c r="J689">
        <v>16.2</v>
      </c>
      <c r="K689">
        <v>11.2</v>
      </c>
      <c r="L689">
        <v>0</v>
      </c>
      <c r="M689">
        <v>18.399999999999999</v>
      </c>
      <c r="N689">
        <v>11.8</v>
      </c>
      <c r="O689">
        <v>31.3</v>
      </c>
      <c r="P689">
        <v>21.4</v>
      </c>
      <c r="Q689">
        <v>10.199999999999999</v>
      </c>
      <c r="R689">
        <v>10.9</v>
      </c>
      <c r="S689">
        <v>7.4</v>
      </c>
      <c r="T689">
        <v>9.9</v>
      </c>
      <c r="U689" t="s">
        <v>22</v>
      </c>
      <c r="V689">
        <v>4.7</v>
      </c>
      <c r="W689">
        <v>29.1</v>
      </c>
      <c r="X689">
        <v>1.2</v>
      </c>
      <c r="Y689">
        <v>5.8</v>
      </c>
      <c r="Z689">
        <v>15.7</v>
      </c>
      <c r="AA689">
        <v>13</v>
      </c>
      <c r="AB689">
        <f t="shared" si="20"/>
        <v>205.60000000000002</v>
      </c>
      <c r="AC689">
        <v>221.3</v>
      </c>
      <c r="AD689">
        <v>9</v>
      </c>
      <c r="AE689">
        <f t="shared" si="21"/>
        <v>10</v>
      </c>
      <c r="AF689">
        <v>7</v>
      </c>
      <c r="AG689">
        <v>3</v>
      </c>
      <c r="AH689">
        <v>2</v>
      </c>
      <c r="AI689">
        <v>1</v>
      </c>
      <c r="AJ689">
        <v>0.6470588235294118</v>
      </c>
      <c r="AK689">
        <v>0.41176470588235292</v>
      </c>
      <c r="AL689">
        <v>0.17647058823529413</v>
      </c>
      <c r="AM689">
        <v>0.11764705882352941</v>
      </c>
      <c r="AN689">
        <v>5.8823529411764705E-2</v>
      </c>
    </row>
    <row r="690" spans="1:40" x14ac:dyDescent="0.25">
      <c r="A690">
        <v>2023</v>
      </c>
      <c r="B690" t="s">
        <v>99</v>
      </c>
      <c r="C690" t="str">
        <f>IF(COUNTIF('Rookies 22-25'!$B$2:$B$60,E690)&gt;0,"(R)","No")</f>
        <v>No</v>
      </c>
      <c r="D690">
        <v>24</v>
      </c>
      <c r="E690" t="s">
        <v>131</v>
      </c>
      <c r="F690" t="s">
        <v>43</v>
      </c>
      <c r="G690">
        <v>270</v>
      </c>
      <c r="H690">
        <v>16</v>
      </c>
      <c r="I690">
        <v>29.1</v>
      </c>
      <c r="J690" t="s">
        <v>33</v>
      </c>
      <c r="K690">
        <v>15.5</v>
      </c>
      <c r="L690">
        <v>5.3</v>
      </c>
      <c r="M690">
        <v>20.5</v>
      </c>
      <c r="N690">
        <v>17.100000000000001</v>
      </c>
      <c r="O690">
        <v>18</v>
      </c>
      <c r="P690">
        <v>2.9</v>
      </c>
      <c r="Q690">
        <v>13.5</v>
      </c>
      <c r="R690">
        <v>4.0999999999999996</v>
      </c>
      <c r="S690">
        <v>8.9</v>
      </c>
      <c r="T690">
        <v>20.100000000000001</v>
      </c>
      <c r="U690" t="s">
        <v>22</v>
      </c>
      <c r="V690">
        <v>7.5</v>
      </c>
      <c r="W690">
        <v>15.7</v>
      </c>
      <c r="X690">
        <v>7.2</v>
      </c>
      <c r="Y690">
        <v>11.6</v>
      </c>
      <c r="Z690">
        <v>21.6</v>
      </c>
      <c r="AA690">
        <v>13.7</v>
      </c>
      <c r="AB690">
        <f t="shared" si="20"/>
        <v>197</v>
      </c>
      <c r="AC690">
        <v>218.6</v>
      </c>
      <c r="AD690">
        <v>12</v>
      </c>
      <c r="AE690">
        <f t="shared" si="21"/>
        <v>9</v>
      </c>
      <c r="AF690">
        <v>8</v>
      </c>
      <c r="AG690">
        <v>4</v>
      </c>
      <c r="AH690">
        <v>1</v>
      </c>
      <c r="AI690">
        <v>0</v>
      </c>
      <c r="AJ690">
        <v>0.58823529411764708</v>
      </c>
      <c r="AK690">
        <v>0.5</v>
      </c>
      <c r="AL690">
        <v>0.25</v>
      </c>
      <c r="AM690">
        <v>6.25E-2</v>
      </c>
      <c r="AN690">
        <v>0</v>
      </c>
    </row>
    <row r="691" spans="1:40" x14ac:dyDescent="0.25">
      <c r="A691">
        <v>2023</v>
      </c>
      <c r="B691" t="s">
        <v>99</v>
      </c>
      <c r="C691" t="str">
        <f>IF(COUNTIF('Rookies 22-25'!$B$2:$B$60,E691)&gt;0,"(R)","No")</f>
        <v>(R)</v>
      </c>
      <c r="D691">
        <v>25</v>
      </c>
      <c r="E691" t="s">
        <v>214</v>
      </c>
      <c r="F691" t="s">
        <v>69</v>
      </c>
      <c r="G691">
        <f>VLOOKUP(E691,'23 Draft ADP'!$B$3:$D$323,3,)</f>
        <v>155</v>
      </c>
      <c r="H691">
        <v>16</v>
      </c>
      <c r="I691">
        <v>6.6</v>
      </c>
      <c r="J691">
        <v>19.7</v>
      </c>
      <c r="K691">
        <v>9.3000000000000007</v>
      </c>
      <c r="L691">
        <v>10.5</v>
      </c>
      <c r="M691">
        <v>1.7</v>
      </c>
      <c r="N691" t="s">
        <v>22</v>
      </c>
      <c r="O691">
        <v>11.1</v>
      </c>
      <c r="P691">
        <v>12.3</v>
      </c>
      <c r="Q691">
        <v>7</v>
      </c>
      <c r="R691">
        <v>19.399999999999999</v>
      </c>
      <c r="S691">
        <v>19.2</v>
      </c>
      <c r="T691">
        <v>15</v>
      </c>
      <c r="U691">
        <v>5.6</v>
      </c>
      <c r="V691">
        <v>20.5</v>
      </c>
      <c r="W691">
        <v>17.2</v>
      </c>
      <c r="X691" t="s">
        <v>33</v>
      </c>
      <c r="Y691">
        <v>26.9</v>
      </c>
      <c r="Z691">
        <v>15.2</v>
      </c>
      <c r="AA691">
        <v>13.6</v>
      </c>
      <c r="AB691">
        <f t="shared" si="20"/>
        <v>202</v>
      </c>
      <c r="AC691">
        <v>217.2</v>
      </c>
      <c r="AD691">
        <v>13</v>
      </c>
      <c r="AE691">
        <f t="shared" si="21"/>
        <v>10</v>
      </c>
      <c r="AF691">
        <v>7</v>
      </c>
      <c r="AG691">
        <v>2</v>
      </c>
      <c r="AH691">
        <v>1</v>
      </c>
      <c r="AI691">
        <v>0</v>
      </c>
      <c r="AJ691">
        <v>0.6470588235294118</v>
      </c>
      <c r="AK691">
        <v>0.4375</v>
      </c>
      <c r="AL691">
        <v>0.125</v>
      </c>
      <c r="AM691">
        <v>6.25E-2</v>
      </c>
      <c r="AN691">
        <v>0</v>
      </c>
    </row>
    <row r="692" spans="1:40" x14ac:dyDescent="0.25">
      <c r="A692">
        <v>2023</v>
      </c>
      <c r="B692" t="s">
        <v>99</v>
      </c>
      <c r="C692" t="str">
        <f>IF(COUNTIF('Rookies 22-25'!$B$2:$B$60,E692)&gt;0,"(R)","No")</f>
        <v>No</v>
      </c>
      <c r="D692">
        <v>26</v>
      </c>
      <c r="E692" t="s">
        <v>161</v>
      </c>
      <c r="F692" t="s">
        <v>82</v>
      </c>
      <c r="G692">
        <f>VLOOKUP(E692,'23 Draft ADP'!$B$3:$D$323,3,)</f>
        <v>14</v>
      </c>
      <c r="H692">
        <v>17</v>
      </c>
      <c r="I692">
        <v>14.4</v>
      </c>
      <c r="J692">
        <v>16.3</v>
      </c>
      <c r="K692">
        <v>9.8000000000000007</v>
      </c>
      <c r="L692">
        <v>15</v>
      </c>
      <c r="M692">
        <v>8.4</v>
      </c>
      <c r="N692">
        <v>17</v>
      </c>
      <c r="O692" t="s">
        <v>22</v>
      </c>
      <c r="P692">
        <v>17.600000000000001</v>
      </c>
      <c r="Q692">
        <v>13</v>
      </c>
      <c r="R692">
        <v>18.3</v>
      </c>
      <c r="S692">
        <v>0.9</v>
      </c>
      <c r="T692">
        <v>17.399999999999999</v>
      </c>
      <c r="U692">
        <v>8</v>
      </c>
      <c r="V692">
        <v>20.100000000000001</v>
      </c>
      <c r="W692">
        <v>5.9</v>
      </c>
      <c r="X692">
        <v>15.8</v>
      </c>
      <c r="Y692">
        <v>9.9</v>
      </c>
      <c r="Z692">
        <v>5.4</v>
      </c>
      <c r="AA692">
        <v>12.5</v>
      </c>
      <c r="AB692">
        <f t="shared" si="20"/>
        <v>207.79999999999998</v>
      </c>
      <c r="AC692">
        <v>213.2</v>
      </c>
      <c r="AD692">
        <v>5</v>
      </c>
      <c r="AE692">
        <f t="shared" si="21"/>
        <v>10</v>
      </c>
      <c r="AF692">
        <v>7</v>
      </c>
      <c r="AG692">
        <v>1</v>
      </c>
      <c r="AH692">
        <v>0</v>
      </c>
      <c r="AI692">
        <v>0</v>
      </c>
      <c r="AJ692">
        <v>0.58823529411764708</v>
      </c>
      <c r="AK692">
        <v>0.41176470588235292</v>
      </c>
      <c r="AL692">
        <v>5.8823529411764705E-2</v>
      </c>
      <c r="AM692">
        <v>0</v>
      </c>
      <c r="AN692">
        <v>0</v>
      </c>
    </row>
    <row r="693" spans="1:40" x14ac:dyDescent="0.25">
      <c r="A693">
        <v>2023</v>
      </c>
      <c r="B693" t="s">
        <v>99</v>
      </c>
      <c r="C693" t="str">
        <f>IF(COUNTIF('Rookies 22-25'!$B$2:$B$60,E693)&gt;0,"(R)","No")</f>
        <v>(R)</v>
      </c>
      <c r="D693">
        <v>27</v>
      </c>
      <c r="E693" t="s">
        <v>139</v>
      </c>
      <c r="F693" t="s">
        <v>26</v>
      </c>
      <c r="G693">
        <f>VLOOKUP(E693,'23 Draft ADP'!$B$3:$D$323,3,)</f>
        <v>132</v>
      </c>
      <c r="H693">
        <v>16</v>
      </c>
      <c r="I693">
        <v>11.6</v>
      </c>
      <c r="J693">
        <v>4</v>
      </c>
      <c r="K693">
        <v>10.9</v>
      </c>
      <c r="L693">
        <v>6.2</v>
      </c>
      <c r="M693">
        <v>13.3</v>
      </c>
      <c r="N693">
        <v>11.2</v>
      </c>
      <c r="O693">
        <v>17</v>
      </c>
      <c r="P693">
        <v>9.6</v>
      </c>
      <c r="Q693">
        <v>9.6999999999999993</v>
      </c>
      <c r="R693" t="s">
        <v>22</v>
      </c>
      <c r="S693">
        <v>8.1999999999999993</v>
      </c>
      <c r="T693">
        <v>24.7</v>
      </c>
      <c r="U693">
        <v>14.4</v>
      </c>
      <c r="V693">
        <v>18.2</v>
      </c>
      <c r="W693">
        <v>24.1</v>
      </c>
      <c r="X693">
        <v>11.7</v>
      </c>
      <c r="Y693">
        <v>17.7</v>
      </c>
      <c r="Z693">
        <v>0</v>
      </c>
      <c r="AA693">
        <v>13.3</v>
      </c>
      <c r="AB693">
        <f t="shared" si="20"/>
        <v>212.5</v>
      </c>
      <c r="AC693">
        <v>212.5</v>
      </c>
      <c r="AD693">
        <v>7</v>
      </c>
      <c r="AE693">
        <f t="shared" si="21"/>
        <v>11</v>
      </c>
      <c r="AF693">
        <v>5</v>
      </c>
      <c r="AG693">
        <v>2</v>
      </c>
      <c r="AH693">
        <v>0</v>
      </c>
      <c r="AI693">
        <v>0</v>
      </c>
      <c r="AJ693">
        <v>0.6470588235294118</v>
      </c>
      <c r="AK693">
        <v>0.3125</v>
      </c>
      <c r="AL693">
        <v>0.125</v>
      </c>
      <c r="AM693">
        <v>0</v>
      </c>
      <c r="AN693">
        <v>0</v>
      </c>
    </row>
    <row r="694" spans="1:40" x14ac:dyDescent="0.25">
      <c r="A694">
        <v>2023</v>
      </c>
      <c r="B694" t="s">
        <v>99</v>
      </c>
      <c r="C694" t="str">
        <f>IF(COUNTIF('Rookies 22-25'!$B$2:$B$60,E694)&gt;0,"(R)","No")</f>
        <v>No</v>
      </c>
      <c r="D694">
        <v>28</v>
      </c>
      <c r="E694" t="s">
        <v>177</v>
      </c>
      <c r="F694" t="s">
        <v>65</v>
      </c>
      <c r="G694">
        <f>VLOOKUP(E694,'23 Draft ADP'!$B$3:$D$323,3,)</f>
        <v>61</v>
      </c>
      <c r="H694">
        <v>17</v>
      </c>
      <c r="I694">
        <v>10.1</v>
      </c>
      <c r="J694">
        <v>10.8</v>
      </c>
      <c r="K694">
        <v>8.1999999999999993</v>
      </c>
      <c r="L694">
        <v>19.399999999999999</v>
      </c>
      <c r="M694" t="s">
        <v>22</v>
      </c>
      <c r="N694">
        <v>13.7</v>
      </c>
      <c r="O694">
        <v>12.6</v>
      </c>
      <c r="P694">
        <v>17.8</v>
      </c>
      <c r="Q694">
        <v>3.6</v>
      </c>
      <c r="R694">
        <v>9.4</v>
      </c>
      <c r="S694">
        <v>9.9</v>
      </c>
      <c r="T694">
        <v>7.5</v>
      </c>
      <c r="U694">
        <v>7.9</v>
      </c>
      <c r="V694">
        <v>10.3</v>
      </c>
      <c r="W694">
        <v>25.5</v>
      </c>
      <c r="X694">
        <v>13.9</v>
      </c>
      <c r="Y694">
        <v>17.100000000000001</v>
      </c>
      <c r="Z694">
        <v>11.5</v>
      </c>
      <c r="AA694">
        <v>12.3</v>
      </c>
      <c r="AB694">
        <f t="shared" si="20"/>
        <v>197.7</v>
      </c>
      <c r="AC694">
        <v>209.2</v>
      </c>
      <c r="AD694">
        <v>3</v>
      </c>
      <c r="AE694">
        <f t="shared" si="21"/>
        <v>10</v>
      </c>
      <c r="AF694">
        <v>4</v>
      </c>
      <c r="AG694">
        <v>1</v>
      </c>
      <c r="AH694">
        <v>1</v>
      </c>
      <c r="AI694">
        <v>0</v>
      </c>
      <c r="AJ694">
        <v>0.6470588235294118</v>
      </c>
      <c r="AK694">
        <v>0.23529411764705882</v>
      </c>
      <c r="AL694">
        <v>5.8823529411764705E-2</v>
      </c>
      <c r="AM694">
        <v>5.8823529411764705E-2</v>
      </c>
      <c r="AN694">
        <v>0</v>
      </c>
    </row>
    <row r="695" spans="1:40" x14ac:dyDescent="0.25">
      <c r="A695">
        <v>2023</v>
      </c>
      <c r="B695" t="s">
        <v>99</v>
      </c>
      <c r="C695" t="str">
        <f>IF(COUNTIF('Rookies 22-25'!$B$2:$B$60,E695)&gt;0,"(R)","No")</f>
        <v>No</v>
      </c>
      <c r="D695">
        <v>28</v>
      </c>
      <c r="E695" t="s">
        <v>155</v>
      </c>
      <c r="F695" t="s">
        <v>59</v>
      </c>
      <c r="G695">
        <f>VLOOKUP(E695,'23 Draft ADP'!$B$3:$D$323,3,)</f>
        <v>57</v>
      </c>
      <c r="H695">
        <v>17</v>
      </c>
      <c r="I695">
        <v>5.0999999999999996</v>
      </c>
      <c r="J695">
        <v>16.399999999999999</v>
      </c>
      <c r="K695">
        <v>10.1</v>
      </c>
      <c r="L695">
        <v>22.6</v>
      </c>
      <c r="M695">
        <v>8.9</v>
      </c>
      <c r="N695">
        <v>14.1</v>
      </c>
      <c r="O695">
        <v>15</v>
      </c>
      <c r="P695">
        <v>17.3</v>
      </c>
      <c r="Q695">
        <v>12.3</v>
      </c>
      <c r="R695">
        <v>7.3</v>
      </c>
      <c r="S695">
        <v>9.3000000000000007</v>
      </c>
      <c r="T695">
        <v>9</v>
      </c>
      <c r="U695">
        <v>0</v>
      </c>
      <c r="V695" t="s">
        <v>22</v>
      </c>
      <c r="W695">
        <v>26.1</v>
      </c>
      <c r="X695">
        <v>8</v>
      </c>
      <c r="Y695">
        <v>16.100000000000001</v>
      </c>
      <c r="Z695">
        <v>11.6</v>
      </c>
      <c r="AA695">
        <v>12.3</v>
      </c>
      <c r="AB695">
        <f t="shared" si="20"/>
        <v>197.6</v>
      </c>
      <c r="AC695">
        <v>209.2</v>
      </c>
      <c r="AD695">
        <v>8</v>
      </c>
      <c r="AE695">
        <f t="shared" si="21"/>
        <v>9</v>
      </c>
      <c r="AF695">
        <v>5</v>
      </c>
      <c r="AG695">
        <v>2</v>
      </c>
      <c r="AH695">
        <v>1</v>
      </c>
      <c r="AI695">
        <v>0</v>
      </c>
      <c r="AJ695">
        <v>0.58823529411764708</v>
      </c>
      <c r="AK695">
        <v>0.29411764705882354</v>
      </c>
      <c r="AL695">
        <v>0.11764705882352941</v>
      </c>
      <c r="AM695">
        <v>5.8823529411764705E-2</v>
      </c>
      <c r="AN695">
        <v>0</v>
      </c>
    </row>
    <row r="696" spans="1:40" x14ac:dyDescent="0.25">
      <c r="A696">
        <v>2023</v>
      </c>
      <c r="B696" t="s">
        <v>99</v>
      </c>
      <c r="C696" t="str">
        <f>IF(COUNTIF('Rookies 22-25'!$B$2:$B$60,E696)&gt;0,"(R)","No")</f>
        <v>No</v>
      </c>
      <c r="D696">
        <v>30</v>
      </c>
      <c r="E696" t="s">
        <v>104</v>
      </c>
      <c r="F696" t="s">
        <v>71</v>
      </c>
      <c r="G696">
        <f>VLOOKUP(E696,'23 Draft ADP'!$B$3:$D$323,3,)</f>
        <v>77</v>
      </c>
      <c r="H696">
        <v>17</v>
      </c>
      <c r="I696">
        <v>8.6</v>
      </c>
      <c r="J696">
        <v>22.7</v>
      </c>
      <c r="K696">
        <v>11.5</v>
      </c>
      <c r="L696">
        <v>5.5</v>
      </c>
      <c r="M696">
        <v>26.6</v>
      </c>
      <c r="N696" t="s">
        <v>22</v>
      </c>
      <c r="O696">
        <v>15.7</v>
      </c>
      <c r="P696">
        <v>9.1999999999999993</v>
      </c>
      <c r="Q696">
        <v>1.9</v>
      </c>
      <c r="R696">
        <v>7.5</v>
      </c>
      <c r="S696">
        <v>7.7</v>
      </c>
      <c r="T696">
        <v>8.8000000000000007</v>
      </c>
      <c r="U696">
        <v>12.6</v>
      </c>
      <c r="V696">
        <v>6.9</v>
      </c>
      <c r="W696">
        <v>7.7</v>
      </c>
      <c r="X696">
        <v>35.5</v>
      </c>
      <c r="Y696">
        <v>20.100000000000001</v>
      </c>
      <c r="Z696">
        <v>0.3</v>
      </c>
      <c r="AA696">
        <v>12.3</v>
      </c>
      <c r="AB696">
        <f t="shared" si="20"/>
        <v>208.5</v>
      </c>
      <c r="AC696">
        <v>208.8</v>
      </c>
      <c r="AD696">
        <v>3</v>
      </c>
      <c r="AE696">
        <f t="shared" si="21"/>
        <v>7</v>
      </c>
      <c r="AF696">
        <v>5</v>
      </c>
      <c r="AG696">
        <v>4</v>
      </c>
      <c r="AH696">
        <v>2</v>
      </c>
      <c r="AI696">
        <v>1</v>
      </c>
      <c r="AJ696">
        <v>0.41176470588235292</v>
      </c>
      <c r="AK696">
        <v>0.29411764705882354</v>
      </c>
      <c r="AL696">
        <v>0.23529411764705882</v>
      </c>
      <c r="AM696">
        <v>0.11764705882352941</v>
      </c>
      <c r="AN696">
        <v>5.8823529411764705E-2</v>
      </c>
    </row>
    <row r="697" spans="1:40" x14ac:dyDescent="0.25">
      <c r="A697">
        <v>2023</v>
      </c>
      <c r="B697" t="s">
        <v>99</v>
      </c>
      <c r="C697" t="str">
        <f>IF(COUNTIF('Rookies 22-25'!$B$2:$B$60,E697)&gt;0,"(R)","No")</f>
        <v>(R)</v>
      </c>
      <c r="D697">
        <v>31</v>
      </c>
      <c r="E697" t="s">
        <v>106</v>
      </c>
      <c r="F697" t="s">
        <v>53</v>
      </c>
      <c r="G697">
        <f>VLOOKUP(E697,'23 Draft ADP'!$B$3:$D$323,3,)</f>
        <v>81</v>
      </c>
      <c r="H697">
        <v>16</v>
      </c>
      <c r="I697">
        <v>17.7</v>
      </c>
      <c r="J697">
        <v>10.8</v>
      </c>
      <c r="K697">
        <v>13</v>
      </c>
      <c r="L697">
        <v>8</v>
      </c>
      <c r="M697">
        <v>12.3</v>
      </c>
      <c r="N697">
        <v>17.100000000000001</v>
      </c>
      <c r="O697">
        <v>11.5</v>
      </c>
      <c r="P697">
        <v>6.9</v>
      </c>
      <c r="Q697">
        <v>2.1</v>
      </c>
      <c r="R697">
        <v>12.3</v>
      </c>
      <c r="S697">
        <v>8</v>
      </c>
      <c r="T697">
        <v>23.2</v>
      </c>
      <c r="U697" t="s">
        <v>22</v>
      </c>
      <c r="V697">
        <v>20</v>
      </c>
      <c r="W697">
        <v>1.7</v>
      </c>
      <c r="X697">
        <v>22.2</v>
      </c>
      <c r="Y697">
        <v>19.600000000000001</v>
      </c>
      <c r="Z697">
        <v>0</v>
      </c>
      <c r="AA697">
        <v>12.9</v>
      </c>
      <c r="AB697">
        <f t="shared" si="20"/>
        <v>206.4</v>
      </c>
      <c r="AC697">
        <v>206.4</v>
      </c>
      <c r="AD697">
        <v>4</v>
      </c>
      <c r="AE697">
        <f t="shared" si="21"/>
        <v>11</v>
      </c>
      <c r="AF697">
        <v>6</v>
      </c>
      <c r="AG697">
        <v>2</v>
      </c>
      <c r="AH697">
        <v>0</v>
      </c>
      <c r="AI697">
        <v>0</v>
      </c>
      <c r="AJ697">
        <v>0.6470588235294118</v>
      </c>
      <c r="AK697">
        <v>0.375</v>
      </c>
      <c r="AL697">
        <v>0.125</v>
      </c>
      <c r="AM697">
        <v>0</v>
      </c>
      <c r="AN697">
        <v>0</v>
      </c>
    </row>
    <row r="698" spans="1:40" x14ac:dyDescent="0.25">
      <c r="A698">
        <v>2023</v>
      </c>
      <c r="B698" t="s">
        <v>99</v>
      </c>
      <c r="C698" t="str">
        <f>IF(COUNTIF('Rookies 22-25'!$B$2:$B$60,E698)&gt;0,"(R)","No")</f>
        <v>No</v>
      </c>
      <c r="D698">
        <v>32</v>
      </c>
      <c r="E698" t="s">
        <v>186</v>
      </c>
      <c r="F698" t="s">
        <v>49</v>
      </c>
      <c r="G698">
        <f>VLOOKUP(E698,'23 Draft ADP'!$B$3:$D$323,3,)</f>
        <v>68</v>
      </c>
      <c r="H698">
        <v>17</v>
      </c>
      <c r="I698">
        <v>3</v>
      </c>
      <c r="J698">
        <v>25.9</v>
      </c>
      <c r="K698">
        <v>8.4</v>
      </c>
      <c r="L698">
        <v>9.4</v>
      </c>
      <c r="M698" t="s">
        <v>22</v>
      </c>
      <c r="N698">
        <v>15.4</v>
      </c>
      <c r="O698">
        <v>7.8</v>
      </c>
      <c r="P698">
        <v>22.1</v>
      </c>
      <c r="Q698">
        <v>6.2</v>
      </c>
      <c r="R698">
        <v>23.2</v>
      </c>
      <c r="S698">
        <v>10.1</v>
      </c>
      <c r="T698">
        <v>6</v>
      </c>
      <c r="U698">
        <v>9.6999999999999993</v>
      </c>
      <c r="V698">
        <v>14.9</v>
      </c>
      <c r="W698">
        <v>5.0999999999999996</v>
      </c>
      <c r="X698">
        <v>16.100000000000001</v>
      </c>
      <c r="Y698">
        <v>2</v>
      </c>
      <c r="Z698">
        <v>17.100000000000001</v>
      </c>
      <c r="AA698">
        <v>11.9</v>
      </c>
      <c r="AB698">
        <f t="shared" si="20"/>
        <v>185.3</v>
      </c>
      <c r="AC698">
        <v>202.4</v>
      </c>
      <c r="AD698">
        <v>9</v>
      </c>
      <c r="AE698">
        <f t="shared" si="21"/>
        <v>7</v>
      </c>
      <c r="AF698">
        <v>6</v>
      </c>
      <c r="AG698">
        <v>3</v>
      </c>
      <c r="AH698">
        <v>1</v>
      </c>
      <c r="AI698">
        <v>0</v>
      </c>
      <c r="AJ698">
        <v>0.47058823529411764</v>
      </c>
      <c r="AK698">
        <v>0.35294117647058826</v>
      </c>
      <c r="AL698">
        <v>0.17647058823529413</v>
      </c>
      <c r="AM698">
        <v>5.8823529411764705E-2</v>
      </c>
      <c r="AN698">
        <v>0</v>
      </c>
    </row>
    <row r="699" spans="1:40" x14ac:dyDescent="0.25">
      <c r="A699">
        <v>2023</v>
      </c>
      <c r="B699" t="s">
        <v>99</v>
      </c>
      <c r="C699" t="str">
        <f>IF(COUNTIF('Rookies 22-25'!$B$2:$B$60,E699)&gt;0,"(R)","No")</f>
        <v>No</v>
      </c>
      <c r="D699">
        <v>33</v>
      </c>
      <c r="E699" t="s">
        <v>120</v>
      </c>
      <c r="F699" t="s">
        <v>73</v>
      </c>
      <c r="G699">
        <f>VLOOKUP(E699,'23 Draft ADP'!$B$3:$D$323,3,)</f>
        <v>1</v>
      </c>
      <c r="H699">
        <v>10</v>
      </c>
      <c r="I699">
        <v>24</v>
      </c>
      <c r="J699">
        <v>24.9</v>
      </c>
      <c r="K699">
        <v>27.9</v>
      </c>
      <c r="L699">
        <v>26.5</v>
      </c>
      <c r="M699">
        <v>5.8</v>
      </c>
      <c r="N699" t="s">
        <v>33</v>
      </c>
      <c r="O699" t="s">
        <v>33</v>
      </c>
      <c r="P699" t="s">
        <v>33</v>
      </c>
      <c r="Q699" t="s">
        <v>33</v>
      </c>
      <c r="R699" t="s">
        <v>33</v>
      </c>
      <c r="S699" t="s">
        <v>33</v>
      </c>
      <c r="T699" t="s">
        <v>33</v>
      </c>
      <c r="U699" t="s">
        <v>22</v>
      </c>
      <c r="V699">
        <v>4.7</v>
      </c>
      <c r="W699">
        <v>15.4</v>
      </c>
      <c r="X699">
        <v>26.1</v>
      </c>
      <c r="Y699">
        <v>10.9</v>
      </c>
      <c r="Z699">
        <v>36</v>
      </c>
      <c r="AA699">
        <v>20.2</v>
      </c>
      <c r="AB699">
        <f t="shared" si="20"/>
        <v>166.2</v>
      </c>
      <c r="AC699">
        <v>202.2</v>
      </c>
      <c r="AD699">
        <v>4</v>
      </c>
      <c r="AE699">
        <f t="shared" si="21"/>
        <v>7</v>
      </c>
      <c r="AF699">
        <v>7</v>
      </c>
      <c r="AG699">
        <v>6</v>
      </c>
      <c r="AH699">
        <v>4</v>
      </c>
      <c r="AI699">
        <v>1</v>
      </c>
      <c r="AJ699">
        <v>0.47058823529411764</v>
      </c>
      <c r="AK699">
        <v>0.7</v>
      </c>
      <c r="AL699">
        <v>0.6</v>
      </c>
      <c r="AM699">
        <v>0.4</v>
      </c>
      <c r="AN699">
        <v>0.1</v>
      </c>
    </row>
    <row r="700" spans="1:40" x14ac:dyDescent="0.25">
      <c r="A700">
        <v>2023</v>
      </c>
      <c r="B700" t="s">
        <v>99</v>
      </c>
      <c r="C700" t="str">
        <f>IF(COUNTIF('Rookies 22-25'!$B$2:$B$60,E700)&gt;0,"(R)","No")</f>
        <v>No</v>
      </c>
      <c r="D700">
        <v>34</v>
      </c>
      <c r="E700" t="s">
        <v>123</v>
      </c>
      <c r="F700" t="s">
        <v>84</v>
      </c>
      <c r="G700">
        <f>VLOOKUP(E700,'23 Draft ADP'!$B$3:$D$323,3,)</f>
        <v>21</v>
      </c>
      <c r="H700">
        <v>14</v>
      </c>
      <c r="I700">
        <v>11.8</v>
      </c>
      <c r="J700">
        <v>12.4</v>
      </c>
      <c r="K700" t="s">
        <v>33</v>
      </c>
      <c r="L700">
        <v>8.6</v>
      </c>
      <c r="M700">
        <v>14.5</v>
      </c>
      <c r="N700">
        <v>18.100000000000001</v>
      </c>
      <c r="O700">
        <v>12.3</v>
      </c>
      <c r="P700">
        <v>25.1</v>
      </c>
      <c r="Q700">
        <v>8.4</v>
      </c>
      <c r="R700" t="s">
        <v>22</v>
      </c>
      <c r="S700">
        <v>9.5</v>
      </c>
      <c r="T700">
        <v>19.399999999999999</v>
      </c>
      <c r="U700">
        <v>10.199999999999999</v>
      </c>
      <c r="V700">
        <v>13.9</v>
      </c>
      <c r="W700">
        <v>28.2</v>
      </c>
      <c r="X700">
        <v>6.2</v>
      </c>
      <c r="Y700" t="s">
        <v>33</v>
      </c>
      <c r="Z700">
        <v>0</v>
      </c>
      <c r="AA700">
        <v>14.2</v>
      </c>
      <c r="AB700">
        <f t="shared" si="20"/>
        <v>198.6</v>
      </c>
      <c r="AC700">
        <v>198.6</v>
      </c>
      <c r="AD700">
        <v>1</v>
      </c>
      <c r="AE700">
        <f t="shared" si="21"/>
        <v>10</v>
      </c>
      <c r="AF700">
        <v>4</v>
      </c>
      <c r="AG700">
        <v>2</v>
      </c>
      <c r="AH700">
        <v>2</v>
      </c>
      <c r="AI700">
        <v>0</v>
      </c>
      <c r="AJ700">
        <v>0.58823529411764708</v>
      </c>
      <c r="AK700">
        <v>0.2857142857142857</v>
      </c>
      <c r="AL700">
        <v>0.14285714285714285</v>
      </c>
      <c r="AM700">
        <v>0.14285714285714285</v>
      </c>
      <c r="AN700">
        <v>0</v>
      </c>
    </row>
    <row r="701" spans="1:40" x14ac:dyDescent="0.25">
      <c r="A701">
        <v>2023</v>
      </c>
      <c r="B701" t="s">
        <v>99</v>
      </c>
      <c r="C701" t="str">
        <f>IF(COUNTIF('Rookies 22-25'!$B$2:$B$60,E701)&gt;0,"(R)","No")</f>
        <v>No</v>
      </c>
      <c r="D701">
        <v>35</v>
      </c>
      <c r="E701" t="s">
        <v>112</v>
      </c>
      <c r="F701" t="s">
        <v>78</v>
      </c>
      <c r="G701">
        <f>VLOOKUP(E701,'23 Draft ADP'!$B$3:$D$323,3,)</f>
        <v>91</v>
      </c>
      <c r="H701">
        <v>16</v>
      </c>
      <c r="I701">
        <v>13.2</v>
      </c>
      <c r="J701">
        <v>11.6</v>
      </c>
      <c r="K701">
        <v>19.100000000000001</v>
      </c>
      <c r="L701">
        <v>11.7</v>
      </c>
      <c r="M701">
        <v>2.2999999999999998</v>
      </c>
      <c r="N701">
        <v>14.6</v>
      </c>
      <c r="O701">
        <v>19.600000000000001</v>
      </c>
      <c r="P701">
        <v>10.9</v>
      </c>
      <c r="Q701" t="s">
        <v>22</v>
      </c>
      <c r="R701">
        <v>17.3</v>
      </c>
      <c r="S701">
        <v>16.600000000000001</v>
      </c>
      <c r="T701">
        <v>9.1</v>
      </c>
      <c r="U701">
        <v>15.7</v>
      </c>
      <c r="V701">
        <v>15.2</v>
      </c>
      <c r="W701">
        <v>12.1</v>
      </c>
      <c r="X701">
        <v>0</v>
      </c>
      <c r="Y701" t="s">
        <v>33</v>
      </c>
      <c r="Z701">
        <v>1.2</v>
      </c>
      <c r="AA701">
        <v>11.9</v>
      </c>
      <c r="AB701">
        <f t="shared" si="20"/>
        <v>189</v>
      </c>
      <c r="AC701">
        <v>190.2</v>
      </c>
      <c r="AD701">
        <v>10</v>
      </c>
      <c r="AE701">
        <f t="shared" si="21"/>
        <v>12</v>
      </c>
      <c r="AF701">
        <v>6</v>
      </c>
      <c r="AG701">
        <v>0</v>
      </c>
      <c r="AH701">
        <v>0</v>
      </c>
      <c r="AI701">
        <v>0</v>
      </c>
      <c r="AJ701">
        <v>0.70588235294117652</v>
      </c>
      <c r="AK701">
        <v>0.375</v>
      </c>
      <c r="AL701">
        <v>0</v>
      </c>
      <c r="AM701">
        <v>0</v>
      </c>
      <c r="AN701">
        <v>0</v>
      </c>
    </row>
    <row r="702" spans="1:40" x14ac:dyDescent="0.25">
      <c r="A702">
        <v>2023</v>
      </c>
      <c r="B702" t="s">
        <v>99</v>
      </c>
      <c r="C702" t="str">
        <f>IF(COUNTIF('Rookies 22-25'!$B$2:$B$60,E702)&gt;0,"(R)","No")</f>
        <v>No</v>
      </c>
      <c r="D702">
        <v>36</v>
      </c>
      <c r="E702" t="s">
        <v>136</v>
      </c>
      <c r="F702" t="s">
        <v>69</v>
      </c>
      <c r="G702">
        <f>VLOOKUP(E702,'23 Draft ADP'!$B$3:$D$323,3,)</f>
        <v>134</v>
      </c>
      <c r="H702">
        <v>17</v>
      </c>
      <c r="I702">
        <v>18.600000000000001</v>
      </c>
      <c r="J702">
        <v>5</v>
      </c>
      <c r="K702">
        <v>18.3</v>
      </c>
      <c r="L702">
        <v>18.5</v>
      </c>
      <c r="M702">
        <v>1.4</v>
      </c>
      <c r="N702" t="s">
        <v>22</v>
      </c>
      <c r="O702">
        <v>11</v>
      </c>
      <c r="P702">
        <v>11.8</v>
      </c>
      <c r="Q702">
        <v>6.6</v>
      </c>
      <c r="R702">
        <v>12.1</v>
      </c>
      <c r="S702">
        <v>16.3</v>
      </c>
      <c r="T702">
        <v>6.7</v>
      </c>
      <c r="U702">
        <v>11.2</v>
      </c>
      <c r="V702">
        <v>7.2</v>
      </c>
      <c r="W702">
        <v>6</v>
      </c>
      <c r="X702">
        <v>17.899999999999999</v>
      </c>
      <c r="Y702">
        <v>5.8</v>
      </c>
      <c r="Z702">
        <v>0</v>
      </c>
      <c r="AA702">
        <v>10.3</v>
      </c>
      <c r="AB702">
        <f t="shared" si="20"/>
        <v>174.4</v>
      </c>
      <c r="AC702">
        <v>174.4</v>
      </c>
      <c r="AD702">
        <v>12</v>
      </c>
      <c r="AE702">
        <f t="shared" si="21"/>
        <v>9</v>
      </c>
      <c r="AF702">
        <v>5</v>
      </c>
      <c r="AG702">
        <v>0</v>
      </c>
      <c r="AH702">
        <v>0</v>
      </c>
      <c r="AI702">
        <v>0</v>
      </c>
      <c r="AJ702">
        <v>0.52941176470588236</v>
      </c>
      <c r="AK702">
        <v>0.29411764705882354</v>
      </c>
      <c r="AL702">
        <v>0</v>
      </c>
      <c r="AM702">
        <v>0</v>
      </c>
      <c r="AN702">
        <v>0</v>
      </c>
    </row>
    <row r="703" spans="1:40" x14ac:dyDescent="0.25">
      <c r="A703">
        <v>2023</v>
      </c>
      <c r="B703" t="s">
        <v>99</v>
      </c>
      <c r="C703" t="str">
        <f>IF(COUNTIF('Rookies 22-25'!$B$2:$B$60,E703)&gt;0,"(R)","No")</f>
        <v>No</v>
      </c>
      <c r="D703">
        <v>36</v>
      </c>
      <c r="E703" t="s">
        <v>118</v>
      </c>
      <c r="F703" t="s">
        <v>24</v>
      </c>
      <c r="G703">
        <f>VLOOKUP(E703,'23 Draft ADP'!$B$3:$D$323,3,)</f>
        <v>55</v>
      </c>
      <c r="H703">
        <v>16</v>
      </c>
      <c r="I703">
        <v>0</v>
      </c>
      <c r="J703">
        <v>18.7</v>
      </c>
      <c r="K703">
        <v>5.0999999999999996</v>
      </c>
      <c r="L703">
        <v>11.8</v>
      </c>
      <c r="M703">
        <v>14.7</v>
      </c>
      <c r="N703">
        <v>21.5</v>
      </c>
      <c r="O703">
        <v>11.4</v>
      </c>
      <c r="P703">
        <v>10.5</v>
      </c>
      <c r="Q703" t="s">
        <v>33</v>
      </c>
      <c r="R703">
        <v>6.6</v>
      </c>
      <c r="S703" t="s">
        <v>22</v>
      </c>
      <c r="T703">
        <v>14.1</v>
      </c>
      <c r="U703">
        <v>1.8</v>
      </c>
      <c r="V703">
        <v>29.2</v>
      </c>
      <c r="W703">
        <v>4.4000000000000004</v>
      </c>
      <c r="X703">
        <v>6.9</v>
      </c>
      <c r="Y703">
        <v>9.6</v>
      </c>
      <c r="Z703">
        <v>8.1</v>
      </c>
      <c r="AA703">
        <v>10.9</v>
      </c>
      <c r="AB703">
        <f t="shared" si="20"/>
        <v>166.3</v>
      </c>
      <c r="AC703">
        <v>174.4</v>
      </c>
      <c r="AD703">
        <v>8</v>
      </c>
      <c r="AE703">
        <f t="shared" si="21"/>
        <v>8</v>
      </c>
      <c r="AF703">
        <v>3</v>
      </c>
      <c r="AG703">
        <v>2</v>
      </c>
      <c r="AH703">
        <v>1</v>
      </c>
      <c r="AI703">
        <v>0</v>
      </c>
      <c r="AJ703">
        <v>0.47058823529411764</v>
      </c>
      <c r="AK703">
        <v>0.1875</v>
      </c>
      <c r="AL703">
        <v>0.125</v>
      </c>
      <c r="AM703">
        <v>6.25E-2</v>
      </c>
      <c r="AN703">
        <v>0</v>
      </c>
    </row>
    <row r="704" spans="1:40" x14ac:dyDescent="0.25">
      <c r="A704">
        <v>2023</v>
      </c>
      <c r="B704" t="s">
        <v>99</v>
      </c>
      <c r="C704" t="str">
        <f>IF(COUNTIF('Rookies 22-25'!$B$2:$B$60,E704)&gt;0,"(R)","No")</f>
        <v>No</v>
      </c>
      <c r="D704">
        <v>38</v>
      </c>
      <c r="E704" t="s">
        <v>206</v>
      </c>
      <c r="F704" t="s">
        <v>30</v>
      </c>
      <c r="G704">
        <f>VLOOKUP(E704,'23 Draft ADP'!$B$3:$D$323,3,)</f>
        <v>85</v>
      </c>
      <c r="H704">
        <v>16</v>
      </c>
      <c r="I704">
        <v>4.2</v>
      </c>
      <c r="J704" t="s">
        <v>33</v>
      </c>
      <c r="K704">
        <v>3.7</v>
      </c>
      <c r="L704">
        <v>6.7</v>
      </c>
      <c r="M704">
        <v>2.2999999999999998</v>
      </c>
      <c r="N704">
        <v>15</v>
      </c>
      <c r="O704" t="s">
        <v>22</v>
      </c>
      <c r="P704">
        <v>14.2</v>
      </c>
      <c r="Q704">
        <v>1.7</v>
      </c>
      <c r="R704">
        <v>32.299999999999997</v>
      </c>
      <c r="S704">
        <v>7.2</v>
      </c>
      <c r="T704">
        <v>17.2</v>
      </c>
      <c r="U704">
        <v>16.5</v>
      </c>
      <c r="V704">
        <v>5.7</v>
      </c>
      <c r="W704">
        <v>3</v>
      </c>
      <c r="X704">
        <v>10.3</v>
      </c>
      <c r="Y704">
        <v>17</v>
      </c>
      <c r="Z704">
        <v>16.2</v>
      </c>
      <c r="AA704">
        <v>10.8</v>
      </c>
      <c r="AB704">
        <f t="shared" si="20"/>
        <v>157</v>
      </c>
      <c r="AC704">
        <v>173.2</v>
      </c>
      <c r="AD704">
        <v>4</v>
      </c>
      <c r="AE704">
        <f t="shared" si="21"/>
        <v>7</v>
      </c>
      <c r="AF704">
        <v>5</v>
      </c>
      <c r="AG704">
        <v>1</v>
      </c>
      <c r="AH704">
        <v>1</v>
      </c>
      <c r="AI704">
        <v>1</v>
      </c>
      <c r="AJ704">
        <v>0.47058823529411764</v>
      </c>
      <c r="AK704">
        <v>0.3125</v>
      </c>
      <c r="AL704">
        <v>6.25E-2</v>
      </c>
      <c r="AM704">
        <v>6.25E-2</v>
      </c>
      <c r="AN704">
        <v>6.25E-2</v>
      </c>
    </row>
    <row r="705" spans="1:40" x14ac:dyDescent="0.25">
      <c r="A705">
        <v>2023</v>
      </c>
      <c r="B705" t="s">
        <v>99</v>
      </c>
      <c r="C705" t="str">
        <f>IF(COUNTIF('Rookies 22-25'!$B$2:$B$60,E705)&gt;0,"(R)","No")</f>
        <v>(R)</v>
      </c>
      <c r="D705">
        <v>39</v>
      </c>
      <c r="E705" t="s">
        <v>410</v>
      </c>
      <c r="F705" t="s">
        <v>41</v>
      </c>
      <c r="G705">
        <f>VLOOKUP(E705,'23 Draft ADP'!$B$3:$D$323,3,)</f>
        <v>209</v>
      </c>
      <c r="H705">
        <v>11</v>
      </c>
      <c r="I705">
        <v>6.4</v>
      </c>
      <c r="J705">
        <v>20.2</v>
      </c>
      <c r="K705">
        <v>25.5</v>
      </c>
      <c r="L705">
        <v>3.9</v>
      </c>
      <c r="M705">
        <v>8.3000000000000007</v>
      </c>
      <c r="N705" t="s">
        <v>33</v>
      </c>
      <c r="O705" t="s">
        <v>22</v>
      </c>
      <c r="P705">
        <v>6.1</v>
      </c>
      <c r="Q705">
        <v>29.6</v>
      </c>
      <c r="R705">
        <v>18.899999999999999</v>
      </c>
      <c r="S705">
        <v>28.9</v>
      </c>
      <c r="T705">
        <v>17.2</v>
      </c>
      <c r="U705">
        <v>0</v>
      </c>
      <c r="V705" t="s">
        <v>33</v>
      </c>
      <c r="W705" t="s">
        <v>33</v>
      </c>
      <c r="X705" t="s">
        <v>33</v>
      </c>
      <c r="Y705" t="s">
        <v>33</v>
      </c>
      <c r="Z705">
        <v>0</v>
      </c>
      <c r="AA705">
        <v>15</v>
      </c>
      <c r="AB705">
        <f t="shared" si="20"/>
        <v>165</v>
      </c>
      <c r="AC705">
        <v>165</v>
      </c>
      <c r="AD705">
        <v>19</v>
      </c>
      <c r="AE705">
        <f t="shared" si="21"/>
        <v>6</v>
      </c>
      <c r="AF705">
        <v>6</v>
      </c>
      <c r="AG705">
        <v>4</v>
      </c>
      <c r="AH705">
        <v>3</v>
      </c>
      <c r="AI705">
        <v>0</v>
      </c>
      <c r="AJ705">
        <v>0.35294117647058826</v>
      </c>
      <c r="AK705">
        <v>0.54545454545454541</v>
      </c>
      <c r="AL705">
        <v>0.36363636363636365</v>
      </c>
      <c r="AM705">
        <v>0.27272727272727271</v>
      </c>
      <c r="AN705">
        <v>0</v>
      </c>
    </row>
    <row r="706" spans="1:40" x14ac:dyDescent="0.25">
      <c r="A706">
        <v>2023</v>
      </c>
      <c r="B706" t="s">
        <v>99</v>
      </c>
      <c r="C706" t="str">
        <f>IF(COUNTIF('Rookies 22-25'!$B$2:$B$60,E706)&gt;0,"(R)","No")</f>
        <v>No</v>
      </c>
      <c r="D706">
        <v>40</v>
      </c>
      <c r="E706" t="s">
        <v>152</v>
      </c>
      <c r="F706" t="s">
        <v>55</v>
      </c>
      <c r="G706">
        <f>VLOOKUP(E706,'23 Draft ADP'!$B$3:$D$323,3,)</f>
        <v>26</v>
      </c>
      <c r="H706">
        <v>12</v>
      </c>
      <c r="I706" t="s">
        <v>33</v>
      </c>
      <c r="J706" t="s">
        <v>33</v>
      </c>
      <c r="K706" t="s">
        <v>33</v>
      </c>
      <c r="L706" t="s">
        <v>33</v>
      </c>
      <c r="M706">
        <v>19.8</v>
      </c>
      <c r="N706">
        <v>27.8</v>
      </c>
      <c r="O706">
        <v>6.9</v>
      </c>
      <c r="P706">
        <v>6.1</v>
      </c>
      <c r="Q706">
        <v>6.8</v>
      </c>
      <c r="R706" t="s">
        <v>22</v>
      </c>
      <c r="S706">
        <v>2.1</v>
      </c>
      <c r="T706">
        <v>4.8</v>
      </c>
      <c r="U706">
        <v>15.9</v>
      </c>
      <c r="V706">
        <v>25.5</v>
      </c>
      <c r="W706">
        <v>25.1</v>
      </c>
      <c r="X706">
        <v>10.9</v>
      </c>
      <c r="Y706">
        <v>12.7</v>
      </c>
      <c r="Z706">
        <v>0</v>
      </c>
      <c r="AA706">
        <v>13.7</v>
      </c>
      <c r="AB706">
        <f t="shared" si="20"/>
        <v>164.4</v>
      </c>
      <c r="AC706">
        <v>164.4</v>
      </c>
      <c r="AD706">
        <v>2</v>
      </c>
      <c r="AE706">
        <f t="shared" si="21"/>
        <v>7</v>
      </c>
      <c r="AF706">
        <v>5</v>
      </c>
      <c r="AG706">
        <v>3</v>
      </c>
      <c r="AH706">
        <v>3</v>
      </c>
      <c r="AI706">
        <v>0</v>
      </c>
      <c r="AJ706">
        <v>0.41176470588235292</v>
      </c>
      <c r="AK706">
        <v>0.41666666666666669</v>
      </c>
      <c r="AL706">
        <v>0.25</v>
      </c>
      <c r="AM706">
        <v>0.25</v>
      </c>
      <c r="AN706">
        <v>0</v>
      </c>
    </row>
    <row r="707" spans="1:40" x14ac:dyDescent="0.25">
      <c r="A707">
        <v>2023</v>
      </c>
      <c r="B707" t="s">
        <v>99</v>
      </c>
      <c r="C707" t="str">
        <f>IF(COUNTIF('Rookies 22-25'!$B$2:$B$60,E707)&gt;0,"(R)","No")</f>
        <v>No</v>
      </c>
      <c r="D707">
        <v>41</v>
      </c>
      <c r="E707" t="s">
        <v>429</v>
      </c>
      <c r="F707" t="s">
        <v>61</v>
      </c>
      <c r="G707">
        <f>VLOOKUP(E707,'23 Draft ADP'!$B$3:$D$323,3,)</f>
        <v>74</v>
      </c>
      <c r="H707">
        <v>17</v>
      </c>
      <c r="I707">
        <v>5.2</v>
      </c>
      <c r="J707">
        <v>21.2</v>
      </c>
      <c r="K707">
        <v>10.3</v>
      </c>
      <c r="L707">
        <v>15.1</v>
      </c>
      <c r="M707">
        <v>22</v>
      </c>
      <c r="N707">
        <v>3.1</v>
      </c>
      <c r="O707">
        <v>1.6</v>
      </c>
      <c r="P707">
        <v>23.7</v>
      </c>
      <c r="Q707">
        <v>0</v>
      </c>
      <c r="R707">
        <v>9.6</v>
      </c>
      <c r="S707">
        <v>0</v>
      </c>
      <c r="T707">
        <v>22.5</v>
      </c>
      <c r="U707" t="s">
        <v>22</v>
      </c>
      <c r="V707">
        <v>0</v>
      </c>
      <c r="W707">
        <v>0</v>
      </c>
      <c r="X707">
        <v>23</v>
      </c>
      <c r="Y707">
        <v>4.0999999999999996</v>
      </c>
      <c r="Z707">
        <v>0</v>
      </c>
      <c r="AA707">
        <v>9.5</v>
      </c>
      <c r="AB707">
        <f t="shared" ref="AB707:AB770" si="22">AC707-Z707</f>
        <v>161.4</v>
      </c>
      <c r="AC707">
        <v>161.4</v>
      </c>
      <c r="AD707">
        <v>3</v>
      </c>
      <c r="AE707">
        <f t="shared" ref="AE707:AE770" si="23">COUNTIF(I707:Y707,"&gt;10")</f>
        <v>7</v>
      </c>
      <c r="AF707">
        <v>6</v>
      </c>
      <c r="AG707">
        <v>5</v>
      </c>
      <c r="AH707">
        <v>0</v>
      </c>
      <c r="AI707">
        <v>0</v>
      </c>
      <c r="AJ707">
        <v>0.41176470588235292</v>
      </c>
      <c r="AK707">
        <v>0.35294117647058826</v>
      </c>
      <c r="AL707">
        <v>0.29411764705882354</v>
      </c>
      <c r="AM707">
        <v>0</v>
      </c>
      <c r="AN707">
        <v>0</v>
      </c>
    </row>
    <row r="708" spans="1:40" x14ac:dyDescent="0.25">
      <c r="A708">
        <v>2023</v>
      </c>
      <c r="B708" t="s">
        <v>99</v>
      </c>
      <c r="C708" t="str">
        <f>IF(COUNTIF('Rookies 22-25'!$B$2:$B$60,E708)&gt;0,"(R)","No")</f>
        <v>No</v>
      </c>
      <c r="D708">
        <v>42</v>
      </c>
      <c r="E708" t="s">
        <v>424</v>
      </c>
      <c r="F708" t="s">
        <v>59</v>
      </c>
      <c r="G708">
        <f>VLOOKUP(E708,'23 Draft ADP'!$B$3:$D$323,3,)</f>
        <v>192</v>
      </c>
      <c r="H708">
        <v>16</v>
      </c>
      <c r="I708">
        <v>11</v>
      </c>
      <c r="J708">
        <v>6.2</v>
      </c>
      <c r="K708">
        <v>7.4</v>
      </c>
      <c r="L708">
        <v>18.2</v>
      </c>
      <c r="M708">
        <v>18.5</v>
      </c>
      <c r="N708">
        <v>14.2</v>
      </c>
      <c r="O708">
        <v>6.5</v>
      </c>
      <c r="P708">
        <v>6.2</v>
      </c>
      <c r="Q708" t="s">
        <v>33</v>
      </c>
      <c r="R708">
        <v>2.6</v>
      </c>
      <c r="S708">
        <v>1.5</v>
      </c>
      <c r="T708">
        <v>19</v>
      </c>
      <c r="U708">
        <v>10.5</v>
      </c>
      <c r="V708" t="s">
        <v>22</v>
      </c>
      <c r="W708">
        <v>21.1</v>
      </c>
      <c r="X708">
        <v>3</v>
      </c>
      <c r="Y708">
        <v>6.3</v>
      </c>
      <c r="Z708">
        <v>5</v>
      </c>
      <c r="AA708">
        <v>9.8000000000000007</v>
      </c>
      <c r="AB708">
        <f t="shared" si="22"/>
        <v>152.19999999999999</v>
      </c>
      <c r="AC708">
        <v>157.19999999999999</v>
      </c>
      <c r="AD708">
        <v>18</v>
      </c>
      <c r="AE708">
        <f t="shared" si="23"/>
        <v>7</v>
      </c>
      <c r="AF708">
        <v>4</v>
      </c>
      <c r="AG708">
        <v>1</v>
      </c>
      <c r="AH708">
        <v>0</v>
      </c>
      <c r="AI708">
        <v>0</v>
      </c>
      <c r="AJ708">
        <v>0.41176470588235292</v>
      </c>
      <c r="AK708">
        <v>0.25</v>
      </c>
      <c r="AL708">
        <v>6.25E-2</v>
      </c>
      <c r="AM708">
        <v>0</v>
      </c>
      <c r="AN708">
        <v>0</v>
      </c>
    </row>
    <row r="709" spans="1:40" x14ac:dyDescent="0.25">
      <c r="A709">
        <v>2023</v>
      </c>
      <c r="B709" t="s">
        <v>99</v>
      </c>
      <c r="C709" t="str">
        <f>IF(COUNTIF('Rookies 22-25'!$B$2:$B$60,E709)&gt;0,"(R)","No")</f>
        <v>(R)</v>
      </c>
      <c r="D709">
        <v>43</v>
      </c>
      <c r="E709" t="s">
        <v>143</v>
      </c>
      <c r="F709" t="s">
        <v>28</v>
      </c>
      <c r="G709">
        <f>VLOOKUP(E709,'23 Draft ADP'!$B$3:$D$323,3,)</f>
        <v>245</v>
      </c>
      <c r="H709">
        <v>17</v>
      </c>
      <c r="I709">
        <v>6</v>
      </c>
      <c r="J709">
        <v>7.7</v>
      </c>
      <c r="K709">
        <v>13.7</v>
      </c>
      <c r="L709">
        <v>5.4</v>
      </c>
      <c r="M709">
        <v>15.7</v>
      </c>
      <c r="N709">
        <v>13.1</v>
      </c>
      <c r="O709">
        <v>23.5</v>
      </c>
      <c r="P709">
        <v>14.2</v>
      </c>
      <c r="Q709">
        <v>2</v>
      </c>
      <c r="R709">
        <v>6</v>
      </c>
      <c r="S709" t="s">
        <v>22</v>
      </c>
      <c r="T709">
        <v>9.3000000000000007</v>
      </c>
      <c r="U709">
        <v>4.4000000000000004</v>
      </c>
      <c r="V709">
        <v>6.2</v>
      </c>
      <c r="W709">
        <v>4.9000000000000004</v>
      </c>
      <c r="X709">
        <v>9.9</v>
      </c>
      <c r="Y709">
        <v>7.3</v>
      </c>
      <c r="Z709">
        <v>7.8</v>
      </c>
      <c r="AA709">
        <v>9.1999999999999993</v>
      </c>
      <c r="AB709">
        <f t="shared" si="22"/>
        <v>149.29999999999998</v>
      </c>
      <c r="AC709">
        <v>157.1</v>
      </c>
      <c r="AD709" t="s">
        <v>450</v>
      </c>
      <c r="AE709">
        <f t="shared" si="23"/>
        <v>5</v>
      </c>
      <c r="AF709">
        <v>2</v>
      </c>
      <c r="AG709">
        <v>1</v>
      </c>
      <c r="AH709">
        <v>0</v>
      </c>
      <c r="AI709">
        <v>0</v>
      </c>
      <c r="AJ709">
        <v>0.29411764705882354</v>
      </c>
      <c r="AK709">
        <v>0.11764705882352941</v>
      </c>
      <c r="AL709">
        <v>5.8823529411764705E-2</v>
      </c>
      <c r="AM709">
        <v>0</v>
      </c>
      <c r="AN709">
        <v>0</v>
      </c>
    </row>
    <row r="710" spans="1:40" x14ac:dyDescent="0.25">
      <c r="A710">
        <v>2023</v>
      </c>
      <c r="B710" t="s">
        <v>99</v>
      </c>
      <c r="C710" t="str">
        <f>IF(COUNTIF('Rookies 22-25'!$B$2:$B$60,E710)&gt;0,"(R)","No")</f>
        <v>No</v>
      </c>
      <c r="D710">
        <v>44</v>
      </c>
      <c r="E710" t="s">
        <v>138</v>
      </c>
      <c r="F710" t="s">
        <v>37</v>
      </c>
      <c r="G710">
        <f>VLOOKUP(E710,'23 Draft ADP'!$B$3:$D$323,3,)</f>
        <v>190</v>
      </c>
      <c r="H710">
        <v>16</v>
      </c>
      <c r="I710">
        <v>19</v>
      </c>
      <c r="J710">
        <v>10.3</v>
      </c>
      <c r="K710">
        <v>6</v>
      </c>
      <c r="L710">
        <v>6.3</v>
      </c>
      <c r="M710">
        <v>4.8</v>
      </c>
      <c r="N710">
        <v>18.3</v>
      </c>
      <c r="O710">
        <v>7.2</v>
      </c>
      <c r="P710">
        <v>24.3</v>
      </c>
      <c r="Q710">
        <v>5.2</v>
      </c>
      <c r="R710">
        <v>7.4</v>
      </c>
      <c r="S710" t="s">
        <v>22</v>
      </c>
      <c r="T710">
        <v>2.9</v>
      </c>
      <c r="U710" t="s">
        <v>33</v>
      </c>
      <c r="V710">
        <v>0</v>
      </c>
      <c r="W710">
        <v>6.6</v>
      </c>
      <c r="X710">
        <v>18.399999999999999</v>
      </c>
      <c r="Y710">
        <v>3.4</v>
      </c>
      <c r="Z710">
        <v>15.5</v>
      </c>
      <c r="AA710">
        <v>9.6999999999999993</v>
      </c>
      <c r="AB710">
        <f t="shared" si="22"/>
        <v>140.1</v>
      </c>
      <c r="AC710">
        <v>155.6</v>
      </c>
      <c r="AD710">
        <v>18</v>
      </c>
      <c r="AE710">
        <f t="shared" si="23"/>
        <v>5</v>
      </c>
      <c r="AF710">
        <v>5</v>
      </c>
      <c r="AG710">
        <v>1</v>
      </c>
      <c r="AH710">
        <v>0</v>
      </c>
      <c r="AI710">
        <v>0</v>
      </c>
      <c r="AJ710">
        <v>0.35294117647058826</v>
      </c>
      <c r="AK710">
        <v>0.3125</v>
      </c>
      <c r="AL710">
        <v>6.25E-2</v>
      </c>
      <c r="AM710">
        <v>0</v>
      </c>
      <c r="AN710">
        <v>0</v>
      </c>
    </row>
    <row r="711" spans="1:40" x14ac:dyDescent="0.25">
      <c r="A711">
        <v>2023</v>
      </c>
      <c r="B711" t="s">
        <v>99</v>
      </c>
      <c r="C711" t="str">
        <f>IF(COUNTIF('Rookies 22-25'!$B$2:$B$60,E711)&gt;0,"(R)","No")</f>
        <v>No</v>
      </c>
      <c r="D711">
        <v>45</v>
      </c>
      <c r="E711" t="s">
        <v>418</v>
      </c>
      <c r="F711" t="s">
        <v>71</v>
      </c>
      <c r="G711">
        <f>VLOOKUP(E711,'23 Draft ADP'!$B$3:$D$323,3,)</f>
        <v>76</v>
      </c>
      <c r="H711">
        <v>13</v>
      </c>
      <c r="I711">
        <v>7.8</v>
      </c>
      <c r="J711" t="s">
        <v>33</v>
      </c>
      <c r="K711" t="s">
        <v>33</v>
      </c>
      <c r="L711" t="s">
        <v>33</v>
      </c>
      <c r="M711" t="s">
        <v>33</v>
      </c>
      <c r="N711" t="s">
        <v>22</v>
      </c>
      <c r="O711">
        <v>12.9</v>
      </c>
      <c r="P711">
        <v>16.5</v>
      </c>
      <c r="Q711">
        <v>22</v>
      </c>
      <c r="R711">
        <v>2.7</v>
      </c>
      <c r="S711">
        <v>3.6</v>
      </c>
      <c r="T711">
        <v>9</v>
      </c>
      <c r="U711">
        <v>13.3</v>
      </c>
      <c r="V711">
        <v>14.7</v>
      </c>
      <c r="W711">
        <v>16.2</v>
      </c>
      <c r="X711">
        <v>3.5</v>
      </c>
      <c r="Y711">
        <v>11.6</v>
      </c>
      <c r="Z711">
        <v>18.899999999999999</v>
      </c>
      <c r="AA711">
        <v>11.7</v>
      </c>
      <c r="AB711">
        <f t="shared" si="22"/>
        <v>133.79999999999998</v>
      </c>
      <c r="AC711">
        <v>152.69999999999999</v>
      </c>
      <c r="AD711">
        <v>3</v>
      </c>
      <c r="AE711">
        <f t="shared" si="23"/>
        <v>7</v>
      </c>
      <c r="AF711">
        <v>4</v>
      </c>
      <c r="AG711">
        <v>1</v>
      </c>
      <c r="AH711">
        <v>0</v>
      </c>
      <c r="AI711">
        <v>0</v>
      </c>
      <c r="AJ711">
        <v>0.47058823529411764</v>
      </c>
      <c r="AK711">
        <v>0.30769230769230771</v>
      </c>
      <c r="AL711">
        <v>7.6923076923076927E-2</v>
      </c>
      <c r="AM711">
        <v>0</v>
      </c>
      <c r="AN711">
        <v>0</v>
      </c>
    </row>
    <row r="712" spans="1:40" x14ac:dyDescent="0.25">
      <c r="A712">
        <v>2023</v>
      </c>
      <c r="B712" t="s">
        <v>99</v>
      </c>
      <c r="C712" t="str">
        <f>IF(COUNTIF('Rookies 22-25'!$B$2:$B$60,E712)&gt;0,"(R)","No")</f>
        <v>No</v>
      </c>
      <c r="D712">
        <v>46</v>
      </c>
      <c r="E712" t="s">
        <v>162</v>
      </c>
      <c r="F712" t="s">
        <v>57</v>
      </c>
      <c r="G712">
        <f>VLOOKUP(E712,'23 Draft ADP'!$B$3:$D$323,3,)</f>
        <v>222</v>
      </c>
      <c r="H712">
        <v>17</v>
      </c>
      <c r="I712">
        <v>4.5</v>
      </c>
      <c r="J712">
        <v>9.1999999999999993</v>
      </c>
      <c r="K712">
        <v>6.2</v>
      </c>
      <c r="L712">
        <v>4.3</v>
      </c>
      <c r="M712">
        <v>5.5</v>
      </c>
      <c r="N712">
        <v>10.9</v>
      </c>
      <c r="O712">
        <v>3.2</v>
      </c>
      <c r="P712">
        <v>0.9</v>
      </c>
      <c r="Q712">
        <v>9.9</v>
      </c>
      <c r="R712">
        <v>5.0999999999999996</v>
      </c>
      <c r="S712">
        <v>18.2</v>
      </c>
      <c r="T712">
        <v>3.6</v>
      </c>
      <c r="U712" t="s">
        <v>22</v>
      </c>
      <c r="V712">
        <v>3.4</v>
      </c>
      <c r="W712">
        <v>10.3</v>
      </c>
      <c r="X712">
        <v>18</v>
      </c>
      <c r="Y712">
        <v>20.6</v>
      </c>
      <c r="Z712">
        <v>17.2</v>
      </c>
      <c r="AA712">
        <v>8.9</v>
      </c>
      <c r="AB712">
        <f t="shared" si="22"/>
        <v>133.80000000000001</v>
      </c>
      <c r="AC712">
        <v>151</v>
      </c>
      <c r="AD712">
        <v>19</v>
      </c>
      <c r="AE712">
        <f t="shared" si="23"/>
        <v>5</v>
      </c>
      <c r="AF712">
        <v>4</v>
      </c>
      <c r="AG712">
        <v>1</v>
      </c>
      <c r="AH712">
        <v>0</v>
      </c>
      <c r="AI712">
        <v>0</v>
      </c>
      <c r="AJ712">
        <v>0.35294117647058826</v>
      </c>
      <c r="AK712">
        <v>0.23529411764705882</v>
      </c>
      <c r="AL712">
        <v>5.8823529411764705E-2</v>
      </c>
      <c r="AM712">
        <v>0</v>
      </c>
      <c r="AN712">
        <v>0</v>
      </c>
    </row>
    <row r="713" spans="1:40" x14ac:dyDescent="0.25">
      <c r="A713">
        <v>2023</v>
      </c>
      <c r="B713" t="s">
        <v>99</v>
      </c>
      <c r="C713" t="str">
        <f>IF(COUNTIF('Rookies 22-25'!$B$2:$B$60,E713)&gt;0,"(R)","No")</f>
        <v>No</v>
      </c>
      <c r="D713">
        <v>47</v>
      </c>
      <c r="E713" t="s">
        <v>200</v>
      </c>
      <c r="F713" t="s">
        <v>67</v>
      </c>
      <c r="G713">
        <f>VLOOKUP(E713,'23 Draft ADP'!$B$3:$D$323,3,)</f>
        <v>60</v>
      </c>
      <c r="H713">
        <v>12</v>
      </c>
      <c r="I713">
        <v>1.9</v>
      </c>
      <c r="J713">
        <v>22</v>
      </c>
      <c r="K713">
        <v>15.4</v>
      </c>
      <c r="L713">
        <v>16.399999999999999</v>
      </c>
      <c r="M713">
        <v>14.4</v>
      </c>
      <c r="N713">
        <v>13.9</v>
      </c>
      <c r="O713">
        <v>19</v>
      </c>
      <c r="P713">
        <v>8.6</v>
      </c>
      <c r="Q713" t="s">
        <v>22</v>
      </c>
      <c r="R713">
        <v>14.4</v>
      </c>
      <c r="S713">
        <v>7.8</v>
      </c>
      <c r="T713">
        <v>12.9</v>
      </c>
      <c r="U713">
        <v>3.6</v>
      </c>
      <c r="V713" t="s">
        <v>33</v>
      </c>
      <c r="W713" t="s">
        <v>33</v>
      </c>
      <c r="X713" t="s">
        <v>33</v>
      </c>
      <c r="Y713" t="s">
        <v>33</v>
      </c>
      <c r="Z713">
        <v>0</v>
      </c>
      <c r="AA713">
        <v>12.5</v>
      </c>
      <c r="AB713">
        <f t="shared" si="22"/>
        <v>150.30000000000001</v>
      </c>
      <c r="AC713">
        <v>150.30000000000001</v>
      </c>
      <c r="AD713">
        <v>8</v>
      </c>
      <c r="AE713">
        <f t="shared" si="23"/>
        <v>8</v>
      </c>
      <c r="AF713">
        <v>4</v>
      </c>
      <c r="AG713">
        <v>1</v>
      </c>
      <c r="AH713">
        <v>0</v>
      </c>
      <c r="AI713">
        <v>0</v>
      </c>
      <c r="AJ713">
        <v>0.47058823529411764</v>
      </c>
      <c r="AK713">
        <v>0.33333333333333331</v>
      </c>
      <c r="AL713">
        <v>8.3333333333333329E-2</v>
      </c>
      <c r="AM713">
        <v>0</v>
      </c>
      <c r="AN713">
        <v>0</v>
      </c>
    </row>
    <row r="714" spans="1:40" x14ac:dyDescent="0.25">
      <c r="A714">
        <v>2023</v>
      </c>
      <c r="B714" t="s">
        <v>99</v>
      </c>
      <c r="C714" t="str">
        <f>IF(COUNTIF('Rookies 22-25'!$B$2:$B$60,E714)&gt;0,"(R)","No")</f>
        <v>(R)</v>
      </c>
      <c r="D714">
        <v>48</v>
      </c>
      <c r="E714" t="s">
        <v>101</v>
      </c>
      <c r="F714" t="s">
        <v>49</v>
      </c>
      <c r="G714">
        <f>VLOOKUP(E714,'23 Draft ADP'!$B$3:$D$323,3,)</f>
        <v>89</v>
      </c>
      <c r="H714">
        <v>17</v>
      </c>
      <c r="I714">
        <v>4.3</v>
      </c>
      <c r="J714">
        <v>8.4</v>
      </c>
      <c r="K714">
        <v>2</v>
      </c>
      <c r="L714">
        <v>3.5</v>
      </c>
      <c r="M714" t="s">
        <v>22</v>
      </c>
      <c r="N714">
        <v>8.8000000000000007</v>
      </c>
      <c r="O714">
        <v>16.3</v>
      </c>
      <c r="P714">
        <v>12.6</v>
      </c>
      <c r="Q714">
        <v>12.3</v>
      </c>
      <c r="R714">
        <v>9.3000000000000007</v>
      </c>
      <c r="S714">
        <v>7</v>
      </c>
      <c r="T714">
        <v>6.1</v>
      </c>
      <c r="U714">
        <v>13.2</v>
      </c>
      <c r="V714">
        <v>6.5</v>
      </c>
      <c r="W714">
        <v>14.8</v>
      </c>
      <c r="X714">
        <v>12.1</v>
      </c>
      <c r="Y714">
        <v>8.1999999999999993</v>
      </c>
      <c r="Z714">
        <v>4.4000000000000004</v>
      </c>
      <c r="AA714">
        <v>8.8000000000000007</v>
      </c>
      <c r="AB714">
        <f t="shared" si="22"/>
        <v>145.4</v>
      </c>
      <c r="AC714">
        <v>149.80000000000001</v>
      </c>
      <c r="AD714">
        <v>10</v>
      </c>
      <c r="AE714">
        <f t="shared" si="23"/>
        <v>6</v>
      </c>
      <c r="AF714">
        <v>1</v>
      </c>
      <c r="AG714">
        <v>0</v>
      </c>
      <c r="AH714">
        <v>0</v>
      </c>
      <c r="AI714">
        <v>0</v>
      </c>
      <c r="AJ714">
        <v>0.35294117647058826</v>
      </c>
      <c r="AK714">
        <v>5.8823529411764705E-2</v>
      </c>
      <c r="AL714">
        <v>0</v>
      </c>
      <c r="AM714">
        <v>0</v>
      </c>
      <c r="AN714">
        <v>0</v>
      </c>
    </row>
    <row r="715" spans="1:40" x14ac:dyDescent="0.25">
      <c r="A715">
        <v>2023</v>
      </c>
      <c r="B715" t="s">
        <v>99</v>
      </c>
      <c r="C715" t="str">
        <f>IF(COUNTIF('Rookies 22-25'!$B$2:$B$60,E715)&gt;0,"(R)","No")</f>
        <v>No</v>
      </c>
      <c r="D715">
        <v>49</v>
      </c>
      <c r="E715" t="s">
        <v>422</v>
      </c>
      <c r="F715" t="s">
        <v>89</v>
      </c>
      <c r="G715">
        <f>VLOOKUP(E715,'23 Draft ADP'!$B$3:$D$323,3,)</f>
        <v>151</v>
      </c>
      <c r="H715">
        <v>17</v>
      </c>
      <c r="I715">
        <v>3</v>
      </c>
      <c r="J715">
        <v>11.2</v>
      </c>
      <c r="K715">
        <v>8.9</v>
      </c>
      <c r="L715">
        <v>6.6</v>
      </c>
      <c r="M715">
        <v>9.9</v>
      </c>
      <c r="N715">
        <v>16.8</v>
      </c>
      <c r="O715" t="s">
        <v>22</v>
      </c>
      <c r="P715">
        <v>13.6</v>
      </c>
      <c r="Q715">
        <v>8.6</v>
      </c>
      <c r="R715">
        <v>19.7</v>
      </c>
      <c r="S715">
        <v>5.2</v>
      </c>
      <c r="T715">
        <v>5.3</v>
      </c>
      <c r="U715">
        <v>8.1999999999999993</v>
      </c>
      <c r="V715">
        <v>4.3</v>
      </c>
      <c r="W715">
        <v>7.3</v>
      </c>
      <c r="X715">
        <v>10.9</v>
      </c>
      <c r="Y715">
        <v>4.9000000000000004</v>
      </c>
      <c r="Z715">
        <v>1.4</v>
      </c>
      <c r="AA715">
        <v>8.6</v>
      </c>
      <c r="AB715">
        <f t="shared" si="22"/>
        <v>144.4</v>
      </c>
      <c r="AC715">
        <v>145.80000000000001</v>
      </c>
      <c r="AD715">
        <v>13</v>
      </c>
      <c r="AE715">
        <f t="shared" si="23"/>
        <v>5</v>
      </c>
      <c r="AF715">
        <v>2</v>
      </c>
      <c r="AG715">
        <v>0</v>
      </c>
      <c r="AH715">
        <v>0</v>
      </c>
      <c r="AI715">
        <v>0</v>
      </c>
      <c r="AJ715">
        <v>0.29411764705882354</v>
      </c>
      <c r="AK715">
        <v>0.11764705882352941</v>
      </c>
      <c r="AL715">
        <v>0</v>
      </c>
      <c r="AM715">
        <v>0</v>
      </c>
      <c r="AN715">
        <v>0</v>
      </c>
    </row>
    <row r="716" spans="1:40" x14ac:dyDescent="0.25">
      <c r="A716">
        <v>2023</v>
      </c>
      <c r="B716" t="s">
        <v>99</v>
      </c>
      <c r="C716" t="str">
        <f>IF(COUNTIF('Rookies 22-25'!$B$2:$B$60,E716)&gt;0,"(R)","No")</f>
        <v>No</v>
      </c>
      <c r="D716">
        <v>50</v>
      </c>
      <c r="E716" t="s">
        <v>151</v>
      </c>
      <c r="F716" t="s">
        <v>78</v>
      </c>
      <c r="G716">
        <f>VLOOKUP(E716,'23 Draft ADP'!$B$3:$D$323,3,)</f>
        <v>72</v>
      </c>
      <c r="H716">
        <v>16</v>
      </c>
      <c r="I716" t="s">
        <v>33</v>
      </c>
      <c r="J716">
        <v>5.5</v>
      </c>
      <c r="K716">
        <v>13.1</v>
      </c>
      <c r="L716">
        <v>8.1999999999999993</v>
      </c>
      <c r="M716">
        <v>11</v>
      </c>
      <c r="N716">
        <v>4.4000000000000004</v>
      </c>
      <c r="O716">
        <v>11.4</v>
      </c>
      <c r="P716">
        <v>13</v>
      </c>
      <c r="Q716" t="s">
        <v>22</v>
      </c>
      <c r="R716">
        <v>6.5</v>
      </c>
      <c r="S716">
        <v>10.8</v>
      </c>
      <c r="T716">
        <v>3.1</v>
      </c>
      <c r="U716">
        <v>8.1</v>
      </c>
      <c r="V716">
        <v>3.6</v>
      </c>
      <c r="W716">
        <v>10.4</v>
      </c>
      <c r="X716">
        <v>7.4</v>
      </c>
      <c r="Y716">
        <v>8.4</v>
      </c>
      <c r="Z716">
        <v>16.899999999999999</v>
      </c>
      <c r="AA716">
        <v>8.9</v>
      </c>
      <c r="AB716">
        <f t="shared" si="22"/>
        <v>124.9</v>
      </c>
      <c r="AC716">
        <v>141.80000000000001</v>
      </c>
      <c r="AD716">
        <v>9</v>
      </c>
      <c r="AE716">
        <f t="shared" si="23"/>
        <v>6</v>
      </c>
      <c r="AF716">
        <v>1</v>
      </c>
      <c r="AG716">
        <v>0</v>
      </c>
      <c r="AH716">
        <v>0</v>
      </c>
      <c r="AI716">
        <v>0</v>
      </c>
      <c r="AJ716">
        <v>0.41176470588235292</v>
      </c>
      <c r="AK716">
        <v>6.25E-2</v>
      </c>
      <c r="AL716">
        <v>0</v>
      </c>
      <c r="AM716">
        <v>0</v>
      </c>
      <c r="AN716">
        <v>0</v>
      </c>
    </row>
    <row r="717" spans="1:40" x14ac:dyDescent="0.25">
      <c r="A717">
        <v>2023</v>
      </c>
      <c r="B717" t="s">
        <v>99</v>
      </c>
      <c r="C717" t="str">
        <f>IF(COUNTIF('Rookies 22-25'!$B$2:$B$60,E717)&gt;0,"(R)","No")</f>
        <v>No</v>
      </c>
      <c r="D717">
        <v>51</v>
      </c>
      <c r="E717" t="s">
        <v>114</v>
      </c>
      <c r="F717" t="s">
        <v>89</v>
      </c>
      <c r="G717">
        <f>VLOOKUP(E717,'23 Draft ADP'!$B$3:$D$323,3,)</f>
        <v>29</v>
      </c>
      <c r="H717">
        <v>12</v>
      </c>
      <c r="I717">
        <v>0</v>
      </c>
      <c r="J717">
        <v>28.9</v>
      </c>
      <c r="K717">
        <v>4.0999999999999996</v>
      </c>
      <c r="L717">
        <v>3.9</v>
      </c>
      <c r="M717" t="s">
        <v>33</v>
      </c>
      <c r="N717">
        <v>4</v>
      </c>
      <c r="O717" t="s">
        <v>22</v>
      </c>
      <c r="P717">
        <v>11.9</v>
      </c>
      <c r="Q717">
        <v>19</v>
      </c>
      <c r="R717" t="s">
        <v>33</v>
      </c>
      <c r="S717" t="s">
        <v>33</v>
      </c>
      <c r="T717" t="s">
        <v>33</v>
      </c>
      <c r="U717">
        <v>6.6</v>
      </c>
      <c r="V717">
        <v>9.1999999999999993</v>
      </c>
      <c r="W717">
        <v>22.1</v>
      </c>
      <c r="X717">
        <v>25</v>
      </c>
      <c r="Y717">
        <v>2.9</v>
      </c>
      <c r="Z717">
        <v>0</v>
      </c>
      <c r="AA717">
        <v>11.5</v>
      </c>
      <c r="AB717">
        <f t="shared" si="22"/>
        <v>137.6</v>
      </c>
      <c r="AC717">
        <v>137.6</v>
      </c>
      <c r="AD717">
        <v>6</v>
      </c>
      <c r="AE717">
        <f t="shared" si="23"/>
        <v>5</v>
      </c>
      <c r="AF717">
        <v>4</v>
      </c>
      <c r="AG717">
        <v>3</v>
      </c>
      <c r="AH717">
        <v>1</v>
      </c>
      <c r="AI717">
        <v>0</v>
      </c>
      <c r="AJ717">
        <v>0.29411764705882354</v>
      </c>
      <c r="AK717">
        <v>0.33333333333333331</v>
      </c>
      <c r="AL717">
        <v>0.25</v>
      </c>
      <c r="AM717">
        <v>8.3333333333333329E-2</v>
      </c>
      <c r="AN717">
        <v>0</v>
      </c>
    </row>
    <row r="718" spans="1:40" x14ac:dyDescent="0.25">
      <c r="A718">
        <v>2023</v>
      </c>
      <c r="B718" t="s">
        <v>99</v>
      </c>
      <c r="C718" t="str">
        <f>IF(COUNTIF('Rookies 22-25'!$B$2:$B$60,E718)&gt;0,"(R)","No")</f>
        <v>No</v>
      </c>
      <c r="D718">
        <v>52</v>
      </c>
      <c r="E718" t="s">
        <v>142</v>
      </c>
      <c r="F718" t="s">
        <v>21</v>
      </c>
      <c r="G718">
        <f>VLOOKUP(E718,'23 Draft ADP'!$B$3:$D$323,3,)</f>
        <v>92</v>
      </c>
      <c r="H718">
        <v>14</v>
      </c>
      <c r="I718">
        <v>8.6999999999999993</v>
      </c>
      <c r="J718">
        <v>17.399999999999999</v>
      </c>
      <c r="K718">
        <v>17.100000000000001</v>
      </c>
      <c r="L718">
        <v>16.600000000000001</v>
      </c>
      <c r="M718">
        <v>16.100000000000001</v>
      </c>
      <c r="N718">
        <v>7.4</v>
      </c>
      <c r="O718">
        <v>7.9</v>
      </c>
      <c r="P718">
        <v>15.3</v>
      </c>
      <c r="Q718">
        <v>6.4</v>
      </c>
      <c r="R718">
        <v>3.8</v>
      </c>
      <c r="S718">
        <v>3.2</v>
      </c>
      <c r="T718">
        <v>14.8</v>
      </c>
      <c r="U718">
        <v>0</v>
      </c>
      <c r="V718" t="s">
        <v>22</v>
      </c>
      <c r="W718">
        <v>0</v>
      </c>
      <c r="X718" t="s">
        <v>33</v>
      </c>
      <c r="Y718" t="s">
        <v>33</v>
      </c>
      <c r="Z718">
        <v>0</v>
      </c>
      <c r="AA718">
        <v>9.6</v>
      </c>
      <c r="AB718">
        <f t="shared" si="22"/>
        <v>134.69999999999999</v>
      </c>
      <c r="AC718">
        <v>134.69999999999999</v>
      </c>
      <c r="AD718">
        <v>10</v>
      </c>
      <c r="AE718">
        <f t="shared" si="23"/>
        <v>6</v>
      </c>
      <c r="AF718">
        <v>5</v>
      </c>
      <c r="AG718">
        <v>0</v>
      </c>
      <c r="AH718">
        <v>0</v>
      </c>
      <c r="AI718">
        <v>0</v>
      </c>
      <c r="AJ718">
        <v>0.35294117647058826</v>
      </c>
      <c r="AK718">
        <v>0.35714285714285715</v>
      </c>
      <c r="AL718">
        <v>0</v>
      </c>
      <c r="AM718">
        <v>0</v>
      </c>
      <c r="AN718">
        <v>0</v>
      </c>
    </row>
    <row r="719" spans="1:40" x14ac:dyDescent="0.25">
      <c r="A719">
        <v>2023</v>
      </c>
      <c r="B719" t="s">
        <v>99</v>
      </c>
      <c r="C719" t="str">
        <f>IF(COUNTIF('Rookies 22-25'!$B$2:$B$60,E719)&gt;0,"(R)","No")</f>
        <v>No</v>
      </c>
      <c r="D719">
        <v>53</v>
      </c>
      <c r="E719" t="s">
        <v>113</v>
      </c>
      <c r="F719" t="s">
        <v>57</v>
      </c>
      <c r="G719">
        <f>VLOOKUP(E719,'23 Draft ADP'!$B$3:$D$323,3,)</f>
        <v>246</v>
      </c>
      <c r="H719">
        <v>15</v>
      </c>
      <c r="I719" t="s">
        <v>33</v>
      </c>
      <c r="J719" t="s">
        <v>33</v>
      </c>
      <c r="K719">
        <v>6.1</v>
      </c>
      <c r="L719">
        <v>9.6999999999999993</v>
      </c>
      <c r="M719">
        <v>6.9</v>
      </c>
      <c r="N719">
        <v>14.2</v>
      </c>
      <c r="O719">
        <v>3.2</v>
      </c>
      <c r="P719">
        <v>1.7</v>
      </c>
      <c r="Q719">
        <v>13.5</v>
      </c>
      <c r="R719">
        <v>2.6</v>
      </c>
      <c r="S719">
        <v>6.7</v>
      </c>
      <c r="T719">
        <v>6.6</v>
      </c>
      <c r="U719" t="s">
        <v>22</v>
      </c>
      <c r="V719">
        <v>17.5</v>
      </c>
      <c r="W719">
        <v>6.5</v>
      </c>
      <c r="X719">
        <v>4.5999999999999996</v>
      </c>
      <c r="Y719">
        <v>19.899999999999999</v>
      </c>
      <c r="Z719">
        <v>13.5</v>
      </c>
      <c r="AA719">
        <v>8.9</v>
      </c>
      <c r="AB719">
        <f t="shared" si="22"/>
        <v>119.69999999999999</v>
      </c>
      <c r="AC719">
        <v>133.19999999999999</v>
      </c>
      <c r="AD719" t="s">
        <v>450</v>
      </c>
      <c r="AE719">
        <f t="shared" si="23"/>
        <v>4</v>
      </c>
      <c r="AF719">
        <v>2</v>
      </c>
      <c r="AG719">
        <v>0</v>
      </c>
      <c r="AH719">
        <v>0</v>
      </c>
      <c r="AI719">
        <v>0</v>
      </c>
      <c r="AJ719">
        <v>0.29411764705882354</v>
      </c>
      <c r="AK719">
        <v>0.13333333333333333</v>
      </c>
      <c r="AL719">
        <v>0</v>
      </c>
      <c r="AM719">
        <v>0</v>
      </c>
      <c r="AN719">
        <v>0</v>
      </c>
    </row>
    <row r="720" spans="1:40" x14ac:dyDescent="0.25">
      <c r="A720">
        <v>2023</v>
      </c>
      <c r="B720" t="s">
        <v>99</v>
      </c>
      <c r="C720" t="str">
        <f>IF(COUNTIF('Rookies 22-25'!$B$2:$B$60,E720)&gt;0,"(R)","No")</f>
        <v>No</v>
      </c>
      <c r="D720">
        <v>54</v>
      </c>
      <c r="E720" t="s">
        <v>416</v>
      </c>
      <c r="F720" t="s">
        <v>32</v>
      </c>
      <c r="G720">
        <f>VLOOKUP(E720,'23 Draft ADP'!$B$3:$D$323,3,)</f>
        <v>103</v>
      </c>
      <c r="H720">
        <v>17</v>
      </c>
      <c r="I720">
        <v>9.1999999999999993</v>
      </c>
      <c r="J720">
        <v>7.1</v>
      </c>
      <c r="K720">
        <v>11.8</v>
      </c>
      <c r="L720">
        <v>2</v>
      </c>
      <c r="M720" t="s">
        <v>22</v>
      </c>
      <c r="N720">
        <v>6.7</v>
      </c>
      <c r="O720">
        <v>9.9</v>
      </c>
      <c r="P720">
        <v>5</v>
      </c>
      <c r="Q720">
        <v>3.4</v>
      </c>
      <c r="R720">
        <v>15.4</v>
      </c>
      <c r="S720">
        <v>12</v>
      </c>
      <c r="T720">
        <v>5.4</v>
      </c>
      <c r="U720">
        <v>12.3</v>
      </c>
      <c r="V720">
        <v>7.2</v>
      </c>
      <c r="W720">
        <v>3.7</v>
      </c>
      <c r="X720">
        <v>3.9</v>
      </c>
      <c r="Y720">
        <v>17.100000000000001</v>
      </c>
      <c r="Z720">
        <v>0</v>
      </c>
      <c r="AA720">
        <v>7.8</v>
      </c>
      <c r="AB720">
        <f t="shared" si="22"/>
        <v>132.1</v>
      </c>
      <c r="AC720">
        <v>132.1</v>
      </c>
      <c r="AD720">
        <v>5</v>
      </c>
      <c r="AE720">
        <f t="shared" si="23"/>
        <v>5</v>
      </c>
      <c r="AF720">
        <v>2</v>
      </c>
      <c r="AG720">
        <v>0</v>
      </c>
      <c r="AH720">
        <v>0</v>
      </c>
      <c r="AI720">
        <v>0</v>
      </c>
      <c r="AJ720">
        <v>0.29411764705882354</v>
      </c>
      <c r="AK720">
        <v>0.11764705882352941</v>
      </c>
      <c r="AL720">
        <v>0</v>
      </c>
      <c r="AM720">
        <v>0</v>
      </c>
      <c r="AN720">
        <v>0</v>
      </c>
    </row>
    <row r="721" spans="1:40" x14ac:dyDescent="0.25">
      <c r="A721">
        <v>2023</v>
      </c>
      <c r="B721" t="s">
        <v>99</v>
      </c>
      <c r="C721" t="str">
        <f>IF(COUNTIF('Rookies 22-25'!$B$2:$B$60,E721)&gt;0,"(R)","No")</f>
        <v>No</v>
      </c>
      <c r="D721">
        <v>55</v>
      </c>
      <c r="E721" t="s">
        <v>435</v>
      </c>
      <c r="F721" t="s">
        <v>75</v>
      </c>
      <c r="G721">
        <f>VLOOKUP(E721,'23 Draft ADP'!$B$3:$D$323,3,)</f>
        <v>212</v>
      </c>
      <c r="H721">
        <v>16</v>
      </c>
      <c r="I721">
        <v>12</v>
      </c>
      <c r="J721">
        <v>23.6</v>
      </c>
      <c r="K721" t="s">
        <v>33</v>
      </c>
      <c r="L721">
        <v>9.9</v>
      </c>
      <c r="M721">
        <v>17.600000000000001</v>
      </c>
      <c r="N721">
        <v>8</v>
      </c>
      <c r="O721">
        <v>6.3</v>
      </c>
      <c r="P721">
        <v>0.3</v>
      </c>
      <c r="Q721" t="s">
        <v>22</v>
      </c>
      <c r="R721">
        <v>3.5</v>
      </c>
      <c r="S721">
        <v>2.1</v>
      </c>
      <c r="T721">
        <v>9.5</v>
      </c>
      <c r="U721">
        <v>2.2000000000000002</v>
      </c>
      <c r="V721">
        <v>13.4</v>
      </c>
      <c r="W721">
        <v>6.1</v>
      </c>
      <c r="X721">
        <v>2.6</v>
      </c>
      <c r="Y721">
        <v>2.2999999999999998</v>
      </c>
      <c r="Z721">
        <v>9.4</v>
      </c>
      <c r="AA721">
        <v>8.1</v>
      </c>
      <c r="AB721">
        <f t="shared" si="22"/>
        <v>119.4</v>
      </c>
      <c r="AC721">
        <v>128.80000000000001</v>
      </c>
      <c r="AD721">
        <v>16</v>
      </c>
      <c r="AE721">
        <f t="shared" si="23"/>
        <v>4</v>
      </c>
      <c r="AF721">
        <v>2</v>
      </c>
      <c r="AG721">
        <v>1</v>
      </c>
      <c r="AH721">
        <v>0</v>
      </c>
      <c r="AI721">
        <v>0</v>
      </c>
      <c r="AJ721">
        <v>0.23529411764705882</v>
      </c>
      <c r="AK721">
        <v>0.125</v>
      </c>
      <c r="AL721">
        <v>6.25E-2</v>
      </c>
      <c r="AM721">
        <v>0</v>
      </c>
      <c r="AN721">
        <v>0</v>
      </c>
    </row>
    <row r="722" spans="1:40" x14ac:dyDescent="0.25">
      <c r="A722">
        <v>2023</v>
      </c>
      <c r="B722" t="s">
        <v>99</v>
      </c>
      <c r="C722" t="str">
        <f>IF(COUNTIF('Rookies 22-25'!$B$2:$B$60,E722)&gt;0,"(R)","No")</f>
        <v>No</v>
      </c>
      <c r="D722">
        <v>56</v>
      </c>
      <c r="E722" t="s">
        <v>209</v>
      </c>
      <c r="F722" t="s">
        <v>59</v>
      </c>
      <c r="G722">
        <f>VLOOKUP(E722,'23 Draft ADP'!$B$3:$D$323,3,)</f>
        <v>79</v>
      </c>
      <c r="H722">
        <v>17</v>
      </c>
      <c r="I722">
        <v>9</v>
      </c>
      <c r="J722">
        <v>5.2</v>
      </c>
      <c r="K722">
        <v>4.0999999999999996</v>
      </c>
      <c r="L722">
        <v>12.7</v>
      </c>
      <c r="M722">
        <v>6</v>
      </c>
      <c r="N722">
        <v>0</v>
      </c>
      <c r="O722">
        <v>9.3000000000000007</v>
      </c>
      <c r="P722">
        <v>24.8</v>
      </c>
      <c r="Q722">
        <v>16.899999999999999</v>
      </c>
      <c r="R722">
        <v>0</v>
      </c>
      <c r="S722">
        <v>11.3</v>
      </c>
      <c r="T722">
        <v>10.199999999999999</v>
      </c>
      <c r="U722">
        <v>4.3</v>
      </c>
      <c r="V722" t="s">
        <v>22</v>
      </c>
      <c r="W722">
        <v>2.2000000000000002</v>
      </c>
      <c r="X722">
        <v>5.0999999999999996</v>
      </c>
      <c r="Y722">
        <v>0</v>
      </c>
      <c r="Z722">
        <v>3.7</v>
      </c>
      <c r="AA722">
        <v>7.3</v>
      </c>
      <c r="AB722">
        <f t="shared" si="22"/>
        <v>121.1</v>
      </c>
      <c r="AC722">
        <v>124.8</v>
      </c>
      <c r="AD722">
        <v>9</v>
      </c>
      <c r="AE722">
        <f t="shared" si="23"/>
        <v>5</v>
      </c>
      <c r="AF722">
        <v>2</v>
      </c>
      <c r="AG722">
        <v>1</v>
      </c>
      <c r="AH722">
        <v>0</v>
      </c>
      <c r="AI722">
        <v>0</v>
      </c>
      <c r="AJ722">
        <v>0.29411764705882354</v>
      </c>
      <c r="AK722">
        <v>0.11764705882352941</v>
      </c>
      <c r="AL722">
        <v>5.8823529411764705E-2</v>
      </c>
      <c r="AM722">
        <v>0</v>
      </c>
      <c r="AN722">
        <v>0</v>
      </c>
    </row>
    <row r="723" spans="1:40" x14ac:dyDescent="0.25">
      <c r="A723">
        <v>2023</v>
      </c>
      <c r="B723" t="s">
        <v>99</v>
      </c>
      <c r="C723" t="str">
        <f>IF(COUNTIF('Rookies 22-25'!$B$2:$B$60,E723)&gt;0,"(R)","No")</f>
        <v>No</v>
      </c>
      <c r="D723">
        <v>57</v>
      </c>
      <c r="E723" t="s">
        <v>460</v>
      </c>
      <c r="F723" t="s">
        <v>73</v>
      </c>
      <c r="G723">
        <f>VLOOKUP(E723,'23 Draft ADP'!$B$3:$D$323,3,)</f>
        <v>171</v>
      </c>
      <c r="H723">
        <v>16</v>
      </c>
      <c r="I723">
        <v>6.1</v>
      </c>
      <c r="J723">
        <v>12.4</v>
      </c>
      <c r="K723">
        <v>10.6</v>
      </c>
      <c r="L723">
        <v>2.6</v>
      </c>
      <c r="M723">
        <v>9.9</v>
      </c>
      <c r="N723">
        <v>8.8000000000000007</v>
      </c>
      <c r="O723">
        <v>9.6999999999999993</v>
      </c>
      <c r="P723">
        <v>17.899999999999999</v>
      </c>
      <c r="Q723">
        <v>3.7</v>
      </c>
      <c r="R723" t="s">
        <v>33</v>
      </c>
      <c r="S723">
        <v>1.7</v>
      </c>
      <c r="T723">
        <v>6.4</v>
      </c>
      <c r="U723" t="s">
        <v>22</v>
      </c>
      <c r="V723">
        <v>5.5</v>
      </c>
      <c r="W723">
        <v>1.3</v>
      </c>
      <c r="X723">
        <v>20.5</v>
      </c>
      <c r="Y723">
        <v>0</v>
      </c>
      <c r="Z723">
        <v>2.9</v>
      </c>
      <c r="AA723">
        <v>7.5</v>
      </c>
      <c r="AB723">
        <f t="shared" si="22"/>
        <v>117.1</v>
      </c>
      <c r="AC723">
        <v>120</v>
      </c>
      <c r="AD723">
        <v>14</v>
      </c>
      <c r="AE723">
        <f t="shared" si="23"/>
        <v>4</v>
      </c>
      <c r="AF723">
        <v>2</v>
      </c>
      <c r="AG723">
        <v>1</v>
      </c>
      <c r="AH723">
        <v>0</v>
      </c>
      <c r="AI723">
        <v>0</v>
      </c>
      <c r="AJ723">
        <v>0.23529411764705882</v>
      </c>
      <c r="AK723">
        <v>0.125</v>
      </c>
      <c r="AL723">
        <v>6.25E-2</v>
      </c>
      <c r="AM723">
        <v>0</v>
      </c>
      <c r="AN723">
        <v>0</v>
      </c>
    </row>
    <row r="724" spans="1:40" x14ac:dyDescent="0.25">
      <c r="A724">
        <v>2023</v>
      </c>
      <c r="B724" t="s">
        <v>99</v>
      </c>
      <c r="C724" t="str">
        <f>IF(COUNTIF('Rookies 22-25'!$B$2:$B$60,E724)&gt;0,"(R)","No")</f>
        <v>No</v>
      </c>
      <c r="D724">
        <v>58</v>
      </c>
      <c r="E724" t="s">
        <v>182</v>
      </c>
      <c r="F724" t="s">
        <v>69</v>
      </c>
      <c r="G724">
        <f>VLOOKUP(E724,'23 Draft ADP'!$B$3:$D$323,3,)</f>
        <v>214</v>
      </c>
      <c r="H724">
        <v>15</v>
      </c>
      <c r="I724">
        <v>0</v>
      </c>
      <c r="J724">
        <v>12</v>
      </c>
      <c r="K724">
        <v>8.5</v>
      </c>
      <c r="L724">
        <v>0</v>
      </c>
      <c r="M724">
        <v>2</v>
      </c>
      <c r="N724" t="s">
        <v>22</v>
      </c>
      <c r="O724">
        <v>3.4</v>
      </c>
      <c r="P724">
        <v>4.8</v>
      </c>
      <c r="Q724">
        <v>6.9</v>
      </c>
      <c r="R724">
        <v>8.1</v>
      </c>
      <c r="S724">
        <v>12.1</v>
      </c>
      <c r="T724" t="s">
        <v>33</v>
      </c>
      <c r="U724">
        <v>7.3</v>
      </c>
      <c r="V724">
        <v>4</v>
      </c>
      <c r="W724">
        <v>15.7</v>
      </c>
      <c r="X724">
        <v>10.9</v>
      </c>
      <c r="Y724" t="s">
        <v>33</v>
      </c>
      <c r="Z724">
        <v>24.1</v>
      </c>
      <c r="AA724">
        <v>8</v>
      </c>
      <c r="AB724">
        <f t="shared" si="22"/>
        <v>95.699999999999989</v>
      </c>
      <c r="AC724">
        <v>119.8</v>
      </c>
      <c r="AD724">
        <v>19</v>
      </c>
      <c r="AE724">
        <f t="shared" si="23"/>
        <v>4</v>
      </c>
      <c r="AF724">
        <v>2</v>
      </c>
      <c r="AG724">
        <v>1</v>
      </c>
      <c r="AH724">
        <v>0</v>
      </c>
      <c r="AI724">
        <v>0</v>
      </c>
      <c r="AJ724">
        <v>0.29411764705882354</v>
      </c>
      <c r="AK724">
        <v>0.13333333333333333</v>
      </c>
      <c r="AL724">
        <v>6.6666666666666666E-2</v>
      </c>
      <c r="AM724">
        <v>0</v>
      </c>
      <c r="AN724">
        <v>0</v>
      </c>
    </row>
    <row r="725" spans="1:40" x14ac:dyDescent="0.25">
      <c r="A725">
        <v>2023</v>
      </c>
      <c r="B725" t="s">
        <v>99</v>
      </c>
      <c r="C725" t="str">
        <f>IF(COUNTIF('Rookies 22-25'!$B$2:$B$60,E725)&gt;0,"(R)","No")</f>
        <v>No</v>
      </c>
      <c r="D725">
        <v>59</v>
      </c>
      <c r="E725" t="s">
        <v>461</v>
      </c>
      <c r="F725" t="s">
        <v>95</v>
      </c>
      <c r="G725">
        <f>VLOOKUP(E725,'23 Draft ADP'!$B$3:$D$323,3,)</f>
        <v>184</v>
      </c>
      <c r="H725">
        <v>15</v>
      </c>
      <c r="I725" t="s">
        <v>33</v>
      </c>
      <c r="J725">
        <v>2.5</v>
      </c>
      <c r="K725">
        <v>18.600000000000001</v>
      </c>
      <c r="L725">
        <v>4.8</v>
      </c>
      <c r="M725">
        <v>13.2</v>
      </c>
      <c r="N725">
        <v>5.6</v>
      </c>
      <c r="O725" t="s">
        <v>22</v>
      </c>
      <c r="P725">
        <v>4.3</v>
      </c>
      <c r="Q725">
        <v>8.9</v>
      </c>
      <c r="R725" t="s">
        <v>33</v>
      </c>
      <c r="S725">
        <v>0</v>
      </c>
      <c r="T725">
        <v>6.4</v>
      </c>
      <c r="U725">
        <v>8.6</v>
      </c>
      <c r="V725">
        <v>4.5999999999999996</v>
      </c>
      <c r="W725">
        <v>2.8</v>
      </c>
      <c r="X725">
        <v>27.8</v>
      </c>
      <c r="Y725">
        <v>2.8</v>
      </c>
      <c r="Z725">
        <v>4.5999999999999996</v>
      </c>
      <c r="AA725">
        <v>7.7</v>
      </c>
      <c r="AB725">
        <f t="shared" si="22"/>
        <v>110.9</v>
      </c>
      <c r="AC725">
        <v>115.5</v>
      </c>
      <c r="AD725">
        <v>18</v>
      </c>
      <c r="AE725">
        <f t="shared" si="23"/>
        <v>3</v>
      </c>
      <c r="AF725">
        <v>2</v>
      </c>
      <c r="AG725">
        <v>1</v>
      </c>
      <c r="AH725">
        <v>1</v>
      </c>
      <c r="AI725">
        <v>0</v>
      </c>
      <c r="AJ725">
        <v>0.17647058823529413</v>
      </c>
      <c r="AK725">
        <v>0.13333333333333333</v>
      </c>
      <c r="AL725">
        <v>6.6666666666666666E-2</v>
      </c>
      <c r="AM725">
        <v>6.6666666666666666E-2</v>
      </c>
      <c r="AN725">
        <v>0</v>
      </c>
    </row>
    <row r="726" spans="1:40" x14ac:dyDescent="0.25">
      <c r="A726">
        <v>2023</v>
      </c>
      <c r="B726" t="s">
        <v>99</v>
      </c>
      <c r="C726" t="str">
        <f>IF(COUNTIF('Rookies 22-25'!$B$2:$B$60,E726)&gt;0,"(R)","No")</f>
        <v>(R)</v>
      </c>
      <c r="D726">
        <v>60</v>
      </c>
      <c r="E726" t="s">
        <v>109</v>
      </c>
      <c r="F726" t="s">
        <v>21</v>
      </c>
      <c r="G726">
        <f>VLOOKUP(E726,'23 Draft ADP'!$B$3:$D$323,3,)</f>
        <v>231</v>
      </c>
      <c r="H726">
        <v>13</v>
      </c>
      <c r="I726">
        <v>3.9</v>
      </c>
      <c r="J726">
        <v>8.6</v>
      </c>
      <c r="K726">
        <v>10.6</v>
      </c>
      <c r="L726">
        <v>26.6</v>
      </c>
      <c r="M726">
        <v>2.8</v>
      </c>
      <c r="N726">
        <v>9.1999999999999993</v>
      </c>
      <c r="O726">
        <v>5.6</v>
      </c>
      <c r="P726">
        <v>9.8000000000000007</v>
      </c>
      <c r="Q726" t="s">
        <v>33</v>
      </c>
      <c r="R726">
        <v>6.4</v>
      </c>
      <c r="S726" t="s">
        <v>33</v>
      </c>
      <c r="T726" t="s">
        <v>33</v>
      </c>
      <c r="U726" t="s">
        <v>33</v>
      </c>
      <c r="V726" t="s">
        <v>22</v>
      </c>
      <c r="W726">
        <v>0</v>
      </c>
      <c r="X726">
        <v>0</v>
      </c>
      <c r="Y726">
        <v>15.5</v>
      </c>
      <c r="Z726">
        <v>15.5</v>
      </c>
      <c r="AA726">
        <v>8.8000000000000007</v>
      </c>
      <c r="AB726">
        <f t="shared" si="22"/>
        <v>99</v>
      </c>
      <c r="AC726">
        <v>114.5</v>
      </c>
      <c r="AD726">
        <v>20</v>
      </c>
      <c r="AE726">
        <f t="shared" si="23"/>
        <v>3</v>
      </c>
      <c r="AF726">
        <v>3</v>
      </c>
      <c r="AG726">
        <v>1</v>
      </c>
      <c r="AH726">
        <v>1</v>
      </c>
      <c r="AI726">
        <v>0</v>
      </c>
      <c r="AJ726">
        <v>0.23529411764705882</v>
      </c>
      <c r="AK726">
        <v>0.23076923076923078</v>
      </c>
      <c r="AL726">
        <v>7.6923076923076927E-2</v>
      </c>
      <c r="AM726">
        <v>7.6923076923076927E-2</v>
      </c>
      <c r="AN726">
        <v>0</v>
      </c>
    </row>
    <row r="727" spans="1:40" x14ac:dyDescent="0.25">
      <c r="A727">
        <v>2023</v>
      </c>
      <c r="B727" t="s">
        <v>99</v>
      </c>
      <c r="C727" t="str">
        <f>IF(COUNTIF('Rookies 22-25'!$B$2:$B$60,E727)&gt;0,"(R)","No")</f>
        <v>No</v>
      </c>
      <c r="D727">
        <v>61</v>
      </c>
      <c r="E727" t="s">
        <v>135</v>
      </c>
      <c r="F727" t="s">
        <v>61</v>
      </c>
      <c r="G727">
        <f>VLOOKUP(E727,'23 Draft ADP'!$B$3:$D$323,3,)</f>
        <v>195</v>
      </c>
      <c r="H727">
        <v>17</v>
      </c>
      <c r="I727">
        <v>0</v>
      </c>
      <c r="J727">
        <v>8.1</v>
      </c>
      <c r="K727">
        <v>1.5</v>
      </c>
      <c r="L727">
        <v>0</v>
      </c>
      <c r="M727">
        <v>2.1</v>
      </c>
      <c r="N727">
        <v>2.2999999999999998</v>
      </c>
      <c r="O727">
        <v>7.5</v>
      </c>
      <c r="P727">
        <v>15.2</v>
      </c>
      <c r="Q727">
        <v>9.6999999999999993</v>
      </c>
      <c r="R727">
        <v>3.4</v>
      </c>
      <c r="S727">
        <v>20.5</v>
      </c>
      <c r="T727">
        <v>7.7</v>
      </c>
      <c r="U727" t="s">
        <v>22</v>
      </c>
      <c r="V727">
        <v>2.2000000000000002</v>
      </c>
      <c r="W727">
        <v>0</v>
      </c>
      <c r="X727">
        <v>7.5</v>
      </c>
      <c r="Y727">
        <v>8.9</v>
      </c>
      <c r="Z727">
        <v>16.5</v>
      </c>
      <c r="AA727">
        <v>6.7</v>
      </c>
      <c r="AB727">
        <f t="shared" si="22"/>
        <v>96.6</v>
      </c>
      <c r="AC727">
        <v>113.1</v>
      </c>
      <c r="AD727">
        <v>15</v>
      </c>
      <c r="AE727">
        <f t="shared" si="23"/>
        <v>2</v>
      </c>
      <c r="AF727">
        <v>3</v>
      </c>
      <c r="AG727">
        <v>1</v>
      </c>
      <c r="AH727">
        <v>0</v>
      </c>
      <c r="AI727">
        <v>0</v>
      </c>
      <c r="AJ727">
        <v>0.17647058823529413</v>
      </c>
      <c r="AK727">
        <v>0.17647058823529413</v>
      </c>
      <c r="AL727">
        <v>5.8823529411764705E-2</v>
      </c>
      <c r="AM727">
        <v>0</v>
      </c>
      <c r="AN727">
        <v>0</v>
      </c>
    </row>
    <row r="728" spans="1:40" x14ac:dyDescent="0.25">
      <c r="A728">
        <v>2023</v>
      </c>
      <c r="B728" t="s">
        <v>99</v>
      </c>
      <c r="C728" t="str">
        <f>IF(COUNTIF('Rookies 22-25'!$B$2:$B$60,E728)&gt;0,"(R)","No")</f>
        <v>No</v>
      </c>
      <c r="D728">
        <v>62</v>
      </c>
      <c r="E728" t="s">
        <v>417</v>
      </c>
      <c r="F728" t="s">
        <v>55</v>
      </c>
      <c r="G728">
        <f>VLOOKUP(E728,'23 Draft ADP'!$B$3:$D$323,3,)</f>
        <v>263</v>
      </c>
      <c r="H728">
        <v>16</v>
      </c>
      <c r="I728">
        <v>17.899999999999999</v>
      </c>
      <c r="J728">
        <v>15.2</v>
      </c>
      <c r="K728">
        <v>17.2</v>
      </c>
      <c r="L728">
        <v>7.4</v>
      </c>
      <c r="M728">
        <v>8.9</v>
      </c>
      <c r="N728">
        <v>4</v>
      </c>
      <c r="O728">
        <v>10.1</v>
      </c>
      <c r="P728">
        <v>6.9</v>
      </c>
      <c r="Q728">
        <v>5.3</v>
      </c>
      <c r="R728" t="s">
        <v>22</v>
      </c>
      <c r="S728">
        <v>2.7</v>
      </c>
      <c r="T728">
        <v>10.6</v>
      </c>
      <c r="U728">
        <v>1.9</v>
      </c>
      <c r="V728">
        <v>0</v>
      </c>
      <c r="W728" t="s">
        <v>33</v>
      </c>
      <c r="X728">
        <v>0</v>
      </c>
      <c r="Y728">
        <v>0</v>
      </c>
      <c r="Z728">
        <v>4.3</v>
      </c>
      <c r="AA728">
        <v>7</v>
      </c>
      <c r="AB728">
        <f t="shared" si="22"/>
        <v>108.10000000000001</v>
      </c>
      <c r="AC728">
        <v>112.4</v>
      </c>
      <c r="AD728" t="s">
        <v>450</v>
      </c>
      <c r="AE728">
        <f t="shared" si="23"/>
        <v>5</v>
      </c>
      <c r="AF728">
        <v>3</v>
      </c>
      <c r="AG728">
        <v>0</v>
      </c>
      <c r="AH728">
        <v>0</v>
      </c>
      <c r="AI728">
        <v>0</v>
      </c>
      <c r="AJ728">
        <v>0.29411764705882354</v>
      </c>
      <c r="AK728">
        <v>0.1875</v>
      </c>
      <c r="AL728">
        <v>0</v>
      </c>
      <c r="AM728">
        <v>0</v>
      </c>
      <c r="AN728">
        <v>0</v>
      </c>
    </row>
    <row r="729" spans="1:40" x14ac:dyDescent="0.25">
      <c r="A729">
        <v>2023</v>
      </c>
      <c r="B729" t="s">
        <v>99</v>
      </c>
      <c r="C729" t="str">
        <f>IF(COUNTIF('Rookies 22-25'!$B$2:$B$60,E729)&gt;0,"(R)","No")</f>
        <v>No</v>
      </c>
      <c r="D729">
        <v>63</v>
      </c>
      <c r="E729" t="s">
        <v>462</v>
      </c>
      <c r="F729" t="s">
        <v>53</v>
      </c>
      <c r="G729">
        <f>VLOOKUP(E729,'23 Draft ADP'!$B$3:$D$323,3,)</f>
        <v>100</v>
      </c>
      <c r="H729">
        <v>14</v>
      </c>
      <c r="I729">
        <v>5.7</v>
      </c>
      <c r="J729">
        <v>5.9</v>
      </c>
      <c r="K729" t="s">
        <v>33</v>
      </c>
      <c r="L729" t="s">
        <v>33</v>
      </c>
      <c r="M729">
        <v>3.3</v>
      </c>
      <c r="N729">
        <v>5.4</v>
      </c>
      <c r="O729">
        <v>9.9</v>
      </c>
      <c r="P729">
        <v>0</v>
      </c>
      <c r="Q729">
        <v>14.6</v>
      </c>
      <c r="R729">
        <v>11</v>
      </c>
      <c r="S729">
        <v>15.6</v>
      </c>
      <c r="T729">
        <v>6.4</v>
      </c>
      <c r="U729" t="s">
        <v>22</v>
      </c>
      <c r="V729">
        <v>19.7</v>
      </c>
      <c r="W729">
        <v>2.4</v>
      </c>
      <c r="X729">
        <v>3.3</v>
      </c>
      <c r="Y729">
        <v>4.3</v>
      </c>
      <c r="Z729">
        <v>0</v>
      </c>
      <c r="AA729">
        <v>7.7</v>
      </c>
      <c r="AB729">
        <f t="shared" si="22"/>
        <v>107.5</v>
      </c>
      <c r="AC729">
        <v>107.5</v>
      </c>
      <c r="AD729">
        <v>4</v>
      </c>
      <c r="AE729">
        <f t="shared" si="23"/>
        <v>4</v>
      </c>
      <c r="AF729">
        <v>2</v>
      </c>
      <c r="AG729">
        <v>0</v>
      </c>
      <c r="AH729">
        <v>0</v>
      </c>
      <c r="AI729">
        <v>0</v>
      </c>
      <c r="AJ729">
        <v>0.23529411764705882</v>
      </c>
      <c r="AK729">
        <v>0.14285714285714285</v>
      </c>
      <c r="AL729">
        <v>0</v>
      </c>
      <c r="AM729">
        <v>0</v>
      </c>
      <c r="AN729">
        <v>0</v>
      </c>
    </row>
    <row r="730" spans="1:40" x14ac:dyDescent="0.25">
      <c r="A730">
        <v>2023</v>
      </c>
      <c r="B730" t="s">
        <v>99</v>
      </c>
      <c r="C730" t="str">
        <f>IF(COUNTIF('Rookies 22-25'!$B$2:$B$60,E730)&gt;0,"(R)","No")</f>
        <v>No</v>
      </c>
      <c r="D730">
        <v>64</v>
      </c>
      <c r="E730" t="s">
        <v>164</v>
      </c>
      <c r="F730" t="s">
        <v>39</v>
      </c>
      <c r="G730">
        <f>VLOOKUP(E730,'23 Draft ADP'!$B$3:$D$323,3,)</f>
        <v>294</v>
      </c>
      <c r="H730">
        <v>14</v>
      </c>
      <c r="I730">
        <v>8</v>
      </c>
      <c r="J730">
        <v>1.9</v>
      </c>
      <c r="K730">
        <v>3</v>
      </c>
      <c r="L730">
        <v>6.5</v>
      </c>
      <c r="M730">
        <v>3.4</v>
      </c>
      <c r="N730" t="s">
        <v>33</v>
      </c>
      <c r="O730">
        <v>11.4</v>
      </c>
      <c r="P730">
        <v>7.9</v>
      </c>
      <c r="Q730">
        <v>10.5</v>
      </c>
      <c r="R730">
        <v>14.4</v>
      </c>
      <c r="S730" t="s">
        <v>22</v>
      </c>
      <c r="T730">
        <v>10.9</v>
      </c>
      <c r="U730" t="s">
        <v>33</v>
      </c>
      <c r="V730" t="s">
        <v>33</v>
      </c>
      <c r="W730">
        <v>6.3</v>
      </c>
      <c r="X730">
        <v>12.4</v>
      </c>
      <c r="Y730">
        <v>7.3</v>
      </c>
      <c r="Z730">
        <v>3.3</v>
      </c>
      <c r="AA730">
        <v>7.7</v>
      </c>
      <c r="AB730">
        <f t="shared" si="22"/>
        <v>103.9</v>
      </c>
      <c r="AC730">
        <v>107.2</v>
      </c>
      <c r="AD730">
        <v>20</v>
      </c>
      <c r="AE730">
        <f t="shared" si="23"/>
        <v>5</v>
      </c>
      <c r="AF730">
        <v>0</v>
      </c>
      <c r="AG730">
        <v>0</v>
      </c>
      <c r="AH730">
        <v>0</v>
      </c>
      <c r="AI730">
        <v>0</v>
      </c>
      <c r="AJ730">
        <v>0.29411764705882354</v>
      </c>
      <c r="AK730">
        <v>0</v>
      </c>
      <c r="AL730">
        <v>0</v>
      </c>
      <c r="AM730">
        <v>0</v>
      </c>
      <c r="AN730">
        <v>0</v>
      </c>
    </row>
    <row r="731" spans="1:40" x14ac:dyDescent="0.25">
      <c r="A731">
        <v>2023</v>
      </c>
      <c r="B731" t="s">
        <v>99</v>
      </c>
      <c r="C731" t="str">
        <f>IF(COUNTIF('Rookies 22-25'!$B$2:$B$60,E731)&gt;0,"(R)","No")</f>
        <v>No</v>
      </c>
      <c r="D731">
        <v>65</v>
      </c>
      <c r="E731" t="s">
        <v>205</v>
      </c>
      <c r="F731" t="s">
        <v>51</v>
      </c>
      <c r="G731">
        <f>VLOOKUP(E731,'23 Draft ADP'!$B$3:$D$323,3,)</f>
        <v>202</v>
      </c>
      <c r="H731">
        <v>11</v>
      </c>
      <c r="I731">
        <v>1.4</v>
      </c>
      <c r="J731">
        <v>4.3</v>
      </c>
      <c r="K731">
        <v>14.6</v>
      </c>
      <c r="L731">
        <v>10.7</v>
      </c>
      <c r="M731" t="s">
        <v>22</v>
      </c>
      <c r="N731">
        <v>10</v>
      </c>
      <c r="O731">
        <v>18.3</v>
      </c>
      <c r="P731">
        <v>5.4</v>
      </c>
      <c r="Q731" t="s">
        <v>33</v>
      </c>
      <c r="R731" t="s">
        <v>33</v>
      </c>
      <c r="S731">
        <v>0</v>
      </c>
      <c r="T731" t="s">
        <v>33</v>
      </c>
      <c r="U731" t="s">
        <v>33</v>
      </c>
      <c r="V731" t="s">
        <v>33</v>
      </c>
      <c r="W731">
        <v>21.3</v>
      </c>
      <c r="X731">
        <v>9.6999999999999993</v>
      </c>
      <c r="Y731" t="s">
        <v>33</v>
      </c>
      <c r="Z731">
        <v>11</v>
      </c>
      <c r="AA731">
        <v>9.6999999999999993</v>
      </c>
      <c r="AB731">
        <f t="shared" si="22"/>
        <v>95.7</v>
      </c>
      <c r="AC731">
        <v>106.7</v>
      </c>
      <c r="AD731">
        <v>18</v>
      </c>
      <c r="AE731">
        <f t="shared" si="23"/>
        <v>4</v>
      </c>
      <c r="AF731">
        <v>2</v>
      </c>
      <c r="AG731">
        <v>1</v>
      </c>
      <c r="AH731">
        <v>0</v>
      </c>
      <c r="AI731">
        <v>0</v>
      </c>
      <c r="AJ731">
        <v>0.29411764705882354</v>
      </c>
      <c r="AK731">
        <v>0.18181818181818182</v>
      </c>
      <c r="AL731">
        <v>9.0909090909090912E-2</v>
      </c>
      <c r="AM731">
        <v>0</v>
      </c>
      <c r="AN731">
        <v>0</v>
      </c>
    </row>
    <row r="732" spans="1:40" x14ac:dyDescent="0.25">
      <c r="A732">
        <v>2023</v>
      </c>
      <c r="B732" t="s">
        <v>99</v>
      </c>
      <c r="C732" t="str">
        <f>IF(COUNTIF('Rookies 22-25'!$B$2:$B$60,E732)&gt;0,"(R)","No")</f>
        <v>No</v>
      </c>
      <c r="D732">
        <v>66</v>
      </c>
      <c r="E732" t="s">
        <v>419</v>
      </c>
      <c r="F732" t="s">
        <v>41</v>
      </c>
      <c r="G732">
        <f>VLOOKUP(E732,'23 Draft ADP'!$B$3:$D$323,3,)</f>
        <v>279</v>
      </c>
      <c r="H732">
        <v>10</v>
      </c>
      <c r="I732">
        <v>4.9000000000000004</v>
      </c>
      <c r="J732" t="s">
        <v>33</v>
      </c>
      <c r="K732" t="s">
        <v>33</v>
      </c>
      <c r="L732" t="s">
        <v>33</v>
      </c>
      <c r="M732" t="s">
        <v>33</v>
      </c>
      <c r="N732">
        <v>5.7</v>
      </c>
      <c r="O732" t="s">
        <v>22</v>
      </c>
      <c r="P732">
        <v>8.6999999999999993</v>
      </c>
      <c r="Q732">
        <v>27.3</v>
      </c>
      <c r="R732">
        <v>24.2</v>
      </c>
      <c r="S732" t="s">
        <v>33</v>
      </c>
      <c r="T732" t="s">
        <v>33</v>
      </c>
      <c r="U732">
        <v>0</v>
      </c>
      <c r="V732">
        <v>0</v>
      </c>
      <c r="W732">
        <v>22.2</v>
      </c>
      <c r="X732">
        <v>6.8</v>
      </c>
      <c r="Y732">
        <v>1.8</v>
      </c>
      <c r="Z732">
        <v>0</v>
      </c>
      <c r="AA732">
        <v>10.199999999999999</v>
      </c>
      <c r="AB732">
        <f t="shared" si="22"/>
        <v>101.6</v>
      </c>
      <c r="AC732">
        <v>101.6</v>
      </c>
      <c r="AD732" t="s">
        <v>450</v>
      </c>
      <c r="AE732">
        <f t="shared" si="23"/>
        <v>3</v>
      </c>
      <c r="AF732">
        <v>3</v>
      </c>
      <c r="AG732">
        <v>3</v>
      </c>
      <c r="AH732">
        <v>1</v>
      </c>
      <c r="AI732">
        <v>0</v>
      </c>
      <c r="AJ732">
        <v>0.17647058823529413</v>
      </c>
      <c r="AK732">
        <v>0.3</v>
      </c>
      <c r="AL732">
        <v>0.3</v>
      </c>
      <c r="AM732">
        <v>0.1</v>
      </c>
      <c r="AN732">
        <v>0</v>
      </c>
    </row>
    <row r="733" spans="1:40" x14ac:dyDescent="0.25">
      <c r="A733">
        <v>2023</v>
      </c>
      <c r="B733" t="s">
        <v>99</v>
      </c>
      <c r="C733" t="str">
        <f>IF(COUNTIF('Rookies 22-25'!$B$2:$B$60,E733)&gt;0,"(R)","No")</f>
        <v>No</v>
      </c>
      <c r="D733">
        <v>67</v>
      </c>
      <c r="E733" t="s">
        <v>145</v>
      </c>
      <c r="F733" t="s">
        <v>69</v>
      </c>
      <c r="G733">
        <f>VLOOKUP(E733,'23 Draft ADP'!$B$3:$D$323,3,)</f>
        <v>64</v>
      </c>
      <c r="H733">
        <v>9</v>
      </c>
      <c r="I733" t="s">
        <v>33</v>
      </c>
      <c r="J733" t="s">
        <v>33</v>
      </c>
      <c r="K733" t="s">
        <v>33</v>
      </c>
      <c r="L733">
        <v>10.5</v>
      </c>
      <c r="M733">
        <v>11.6</v>
      </c>
      <c r="N733" t="s">
        <v>22</v>
      </c>
      <c r="O733">
        <v>5.7</v>
      </c>
      <c r="P733">
        <v>6.3</v>
      </c>
      <c r="Q733">
        <v>4.7</v>
      </c>
      <c r="R733">
        <v>4.3</v>
      </c>
      <c r="S733">
        <v>10.199999999999999</v>
      </c>
      <c r="T733">
        <v>20.399999999999999</v>
      </c>
      <c r="U733">
        <v>27.6</v>
      </c>
      <c r="V733" t="s">
        <v>33</v>
      </c>
      <c r="W733" t="s">
        <v>33</v>
      </c>
      <c r="X733" t="s">
        <v>33</v>
      </c>
      <c r="Y733" t="s">
        <v>33</v>
      </c>
      <c r="Z733">
        <v>0</v>
      </c>
      <c r="AA733">
        <v>11.3</v>
      </c>
      <c r="AB733">
        <f t="shared" si="22"/>
        <v>101.3</v>
      </c>
      <c r="AC733">
        <v>101.3</v>
      </c>
      <c r="AD733">
        <v>3</v>
      </c>
      <c r="AE733">
        <f t="shared" si="23"/>
        <v>5</v>
      </c>
      <c r="AF733">
        <v>2</v>
      </c>
      <c r="AG733">
        <v>2</v>
      </c>
      <c r="AH733">
        <v>1</v>
      </c>
      <c r="AI733">
        <v>0</v>
      </c>
      <c r="AJ733">
        <v>0.29411764705882354</v>
      </c>
      <c r="AK733">
        <v>0.22222222222222221</v>
      </c>
      <c r="AL733">
        <v>0.22222222222222221</v>
      </c>
      <c r="AM733">
        <v>0.1111111111111111</v>
      </c>
      <c r="AN733">
        <v>0</v>
      </c>
    </row>
    <row r="734" spans="1:40" x14ac:dyDescent="0.25">
      <c r="A734">
        <v>2023</v>
      </c>
      <c r="B734" t="s">
        <v>99</v>
      </c>
      <c r="C734" t="str">
        <f>IF(COUNTIF('Rookies 22-25'!$B$2:$B$60,E734)&gt;0,"(R)","No")</f>
        <v>No</v>
      </c>
      <c r="D734">
        <v>68</v>
      </c>
      <c r="E734" t="s">
        <v>167</v>
      </c>
      <c r="F734" t="s">
        <v>39</v>
      </c>
      <c r="G734">
        <f>VLOOKUP(E734,'23 Draft ADP'!$B$3:$D$323,3,)</f>
        <v>254</v>
      </c>
      <c r="H734">
        <v>8</v>
      </c>
      <c r="I734">
        <v>24.4</v>
      </c>
      <c r="J734">
        <v>6.9</v>
      </c>
      <c r="K734">
        <v>8.6</v>
      </c>
      <c r="L734">
        <v>5.6</v>
      </c>
      <c r="M734">
        <v>6.3</v>
      </c>
      <c r="N734">
        <v>19.3</v>
      </c>
      <c r="O734">
        <v>16.3</v>
      </c>
      <c r="P734">
        <v>12.6</v>
      </c>
      <c r="Q734" t="s">
        <v>33</v>
      </c>
      <c r="R734" t="s">
        <v>33</v>
      </c>
      <c r="S734" t="s">
        <v>22</v>
      </c>
      <c r="T734" t="s">
        <v>33</v>
      </c>
      <c r="U734" t="s">
        <v>33</v>
      </c>
      <c r="V734" t="s">
        <v>33</v>
      </c>
      <c r="W734" t="s">
        <v>33</v>
      </c>
      <c r="X734" t="s">
        <v>33</v>
      </c>
      <c r="Y734" t="s">
        <v>33</v>
      </c>
      <c r="Z734">
        <v>0</v>
      </c>
      <c r="AA734">
        <v>12.5</v>
      </c>
      <c r="AB734">
        <f t="shared" si="22"/>
        <v>100</v>
      </c>
      <c r="AC734">
        <v>100</v>
      </c>
      <c r="AD734" t="s">
        <v>450</v>
      </c>
      <c r="AE734">
        <f t="shared" si="23"/>
        <v>4</v>
      </c>
      <c r="AF734">
        <v>3</v>
      </c>
      <c r="AG734">
        <v>1</v>
      </c>
      <c r="AH734">
        <v>0</v>
      </c>
      <c r="AI734">
        <v>0</v>
      </c>
      <c r="AJ734">
        <v>0.23529411764705882</v>
      </c>
      <c r="AK734">
        <v>0.375</v>
      </c>
      <c r="AL734">
        <v>0.125</v>
      </c>
      <c r="AM734">
        <v>0</v>
      </c>
      <c r="AN734">
        <v>0</v>
      </c>
    </row>
    <row r="735" spans="1:40" x14ac:dyDescent="0.25">
      <c r="A735">
        <v>2023</v>
      </c>
      <c r="B735" t="s">
        <v>99</v>
      </c>
      <c r="C735" t="str">
        <f>IF(COUNTIF('Rookies 22-25'!$B$2:$B$60,E735)&gt;0,"(R)","No")</f>
        <v>No</v>
      </c>
      <c r="D735">
        <v>69</v>
      </c>
      <c r="E735" t="s">
        <v>193</v>
      </c>
      <c r="F735" t="s">
        <v>75</v>
      </c>
      <c r="G735">
        <f>VLOOKUP(E735,'23 Draft ADP'!$B$3:$D$323,3,)</f>
        <v>302</v>
      </c>
      <c r="H735">
        <v>17</v>
      </c>
      <c r="I735">
        <v>3</v>
      </c>
      <c r="J735">
        <v>13.7</v>
      </c>
      <c r="K735">
        <v>9.5</v>
      </c>
      <c r="L735">
        <v>4.8</v>
      </c>
      <c r="M735">
        <v>7.5</v>
      </c>
      <c r="N735">
        <v>5.6</v>
      </c>
      <c r="O735">
        <v>4</v>
      </c>
      <c r="P735">
        <v>4.2</v>
      </c>
      <c r="Q735" t="s">
        <v>22</v>
      </c>
      <c r="R735">
        <v>6.6</v>
      </c>
      <c r="S735">
        <v>1.5</v>
      </c>
      <c r="T735">
        <v>14.6</v>
      </c>
      <c r="U735">
        <v>0.9</v>
      </c>
      <c r="V735">
        <v>4.5</v>
      </c>
      <c r="W735">
        <v>2.2000000000000002</v>
      </c>
      <c r="X735">
        <v>5.7</v>
      </c>
      <c r="Y735">
        <v>2.1</v>
      </c>
      <c r="Z735">
        <v>7</v>
      </c>
      <c r="AA735">
        <v>5.7</v>
      </c>
      <c r="AB735">
        <f t="shared" si="22"/>
        <v>90.4</v>
      </c>
      <c r="AC735">
        <v>97.4</v>
      </c>
      <c r="AD735">
        <v>20</v>
      </c>
      <c r="AE735">
        <f t="shared" si="23"/>
        <v>2</v>
      </c>
      <c r="AF735">
        <v>0</v>
      </c>
      <c r="AG735">
        <v>0</v>
      </c>
      <c r="AH735">
        <v>0</v>
      </c>
      <c r="AI735">
        <v>0</v>
      </c>
      <c r="AJ735">
        <v>0.11764705882352941</v>
      </c>
      <c r="AK735">
        <v>0</v>
      </c>
      <c r="AL735">
        <v>0</v>
      </c>
      <c r="AM735">
        <v>0</v>
      </c>
      <c r="AN735">
        <v>0</v>
      </c>
    </row>
    <row r="736" spans="1:40" x14ac:dyDescent="0.25">
      <c r="A736">
        <v>2023</v>
      </c>
      <c r="B736" t="s">
        <v>99</v>
      </c>
      <c r="C736" t="str">
        <f>IF(COUNTIF('Rookies 22-25'!$B$2:$B$60,E736)&gt;0,"(R)","No")</f>
        <v>No</v>
      </c>
      <c r="D736">
        <v>70</v>
      </c>
      <c r="E736" t="s">
        <v>432</v>
      </c>
      <c r="F736" t="s">
        <v>53</v>
      </c>
      <c r="G736">
        <f>VLOOKUP(E736,'23 Draft ADP'!$B$3:$D$323,3,)</f>
        <v>242</v>
      </c>
      <c r="H736">
        <v>17</v>
      </c>
      <c r="I736">
        <v>0</v>
      </c>
      <c r="J736">
        <v>17.3</v>
      </c>
      <c r="K736">
        <v>7.9</v>
      </c>
      <c r="L736">
        <v>1.4</v>
      </c>
      <c r="M736">
        <v>10.4</v>
      </c>
      <c r="N736">
        <v>6</v>
      </c>
      <c r="O736">
        <v>8.1999999999999993</v>
      </c>
      <c r="P736">
        <v>0</v>
      </c>
      <c r="Q736">
        <v>1.2</v>
      </c>
      <c r="R736">
        <v>0</v>
      </c>
      <c r="S736">
        <v>10.7</v>
      </c>
      <c r="T736">
        <v>3.1</v>
      </c>
      <c r="U736" t="s">
        <v>22</v>
      </c>
      <c r="V736">
        <v>8.1999999999999993</v>
      </c>
      <c r="W736">
        <v>0</v>
      </c>
      <c r="X736">
        <v>10</v>
      </c>
      <c r="Y736">
        <v>3.8</v>
      </c>
      <c r="Z736">
        <v>8.9</v>
      </c>
      <c r="AA736">
        <v>5.7</v>
      </c>
      <c r="AB736">
        <f t="shared" si="22"/>
        <v>88.199999999999989</v>
      </c>
      <c r="AC736">
        <v>97.1</v>
      </c>
      <c r="AD736">
        <v>17</v>
      </c>
      <c r="AE736">
        <f t="shared" si="23"/>
        <v>3</v>
      </c>
      <c r="AF736">
        <v>1</v>
      </c>
      <c r="AG736">
        <v>0</v>
      </c>
      <c r="AH736">
        <v>0</v>
      </c>
      <c r="AI736">
        <v>0</v>
      </c>
      <c r="AJ736">
        <v>0.17647058823529413</v>
      </c>
      <c r="AK736">
        <v>5.8823529411764705E-2</v>
      </c>
      <c r="AL736">
        <v>0</v>
      </c>
      <c r="AM736">
        <v>0</v>
      </c>
      <c r="AN736">
        <v>0</v>
      </c>
    </row>
    <row r="737" spans="1:40" x14ac:dyDescent="0.25">
      <c r="A737">
        <v>2023</v>
      </c>
      <c r="B737" t="s">
        <v>99</v>
      </c>
      <c r="C737" t="str">
        <f>IF(COUNTIF('Rookies 22-25'!$B$2:$B$60,E737)&gt;0,"(R)","No")</f>
        <v>(R)</v>
      </c>
      <c r="D737">
        <v>71</v>
      </c>
      <c r="E737" t="s">
        <v>463</v>
      </c>
      <c r="F737" t="s">
        <v>65</v>
      </c>
      <c r="G737">
        <f>VLOOKUP(E737,'23 Draft ADP'!$B$3:$D$323,3,)</f>
        <v>273</v>
      </c>
      <c r="H737">
        <v>17</v>
      </c>
      <c r="I737">
        <v>8.8000000000000007</v>
      </c>
      <c r="J737">
        <v>3</v>
      </c>
      <c r="K737">
        <v>1.8</v>
      </c>
      <c r="L737">
        <v>8.6</v>
      </c>
      <c r="M737" t="s">
        <v>22</v>
      </c>
      <c r="N737">
        <v>6.7</v>
      </c>
      <c r="O737">
        <v>1.5</v>
      </c>
      <c r="P737">
        <v>5.2</v>
      </c>
      <c r="Q737">
        <v>8.1</v>
      </c>
      <c r="R737">
        <v>4.0999999999999996</v>
      </c>
      <c r="S737">
        <v>6.8</v>
      </c>
      <c r="T737">
        <v>5.7</v>
      </c>
      <c r="U737">
        <v>4.5</v>
      </c>
      <c r="V737">
        <v>1.8</v>
      </c>
      <c r="W737">
        <v>1.5</v>
      </c>
      <c r="X737">
        <v>8.1999999999999993</v>
      </c>
      <c r="Y737">
        <v>16.399999999999999</v>
      </c>
      <c r="Z737">
        <v>3</v>
      </c>
      <c r="AA737">
        <v>5.6</v>
      </c>
      <c r="AB737">
        <f t="shared" si="22"/>
        <v>92.7</v>
      </c>
      <c r="AC737">
        <v>95.7</v>
      </c>
      <c r="AD737" t="s">
        <v>450</v>
      </c>
      <c r="AE737">
        <f t="shared" si="23"/>
        <v>1</v>
      </c>
      <c r="AF737">
        <v>1</v>
      </c>
      <c r="AG737">
        <v>0</v>
      </c>
      <c r="AH737">
        <v>0</v>
      </c>
      <c r="AI737">
        <v>0</v>
      </c>
      <c r="AJ737">
        <v>5.8823529411764705E-2</v>
      </c>
      <c r="AK737">
        <v>5.8823529411764705E-2</v>
      </c>
      <c r="AL737">
        <v>0</v>
      </c>
      <c r="AM737">
        <v>0</v>
      </c>
      <c r="AN737">
        <v>0</v>
      </c>
    </row>
    <row r="738" spans="1:40" x14ac:dyDescent="0.25">
      <c r="A738">
        <v>2023</v>
      </c>
      <c r="B738" t="s">
        <v>99</v>
      </c>
      <c r="C738" t="str">
        <f>IF(COUNTIF('Rookies 22-25'!$B$2:$B$60,E738)&gt;0,"(R)","No")</f>
        <v>No</v>
      </c>
      <c r="D738">
        <v>72</v>
      </c>
      <c r="E738" t="s">
        <v>127</v>
      </c>
      <c r="F738" t="s">
        <v>28</v>
      </c>
      <c r="G738">
        <f>VLOOKUP(E738,'23 Draft ADP'!$B$3:$D$323,3,)</f>
        <v>180</v>
      </c>
      <c r="H738">
        <v>17</v>
      </c>
      <c r="I738">
        <v>1.5</v>
      </c>
      <c r="J738">
        <v>4.8</v>
      </c>
      <c r="K738">
        <v>7.3</v>
      </c>
      <c r="L738">
        <v>4.8</v>
      </c>
      <c r="M738">
        <v>2</v>
      </c>
      <c r="N738">
        <v>5.5</v>
      </c>
      <c r="O738">
        <v>8.3000000000000007</v>
      </c>
      <c r="P738">
        <v>7.1</v>
      </c>
      <c r="Q738">
        <v>0</v>
      </c>
      <c r="R738">
        <v>3.1</v>
      </c>
      <c r="S738" t="s">
        <v>22</v>
      </c>
      <c r="T738">
        <v>6.7</v>
      </c>
      <c r="U738">
        <v>19</v>
      </c>
      <c r="V738">
        <v>4.2</v>
      </c>
      <c r="W738">
        <v>2.2999999999999998</v>
      </c>
      <c r="X738">
        <v>6</v>
      </c>
      <c r="Y738">
        <v>12.8</v>
      </c>
      <c r="Z738">
        <v>0</v>
      </c>
      <c r="AA738">
        <v>5.6</v>
      </c>
      <c r="AB738">
        <f t="shared" si="22"/>
        <v>95.4</v>
      </c>
      <c r="AC738">
        <v>95.4</v>
      </c>
      <c r="AD738">
        <v>17</v>
      </c>
      <c r="AE738">
        <f t="shared" si="23"/>
        <v>2</v>
      </c>
      <c r="AF738">
        <v>1</v>
      </c>
      <c r="AG738">
        <v>0</v>
      </c>
      <c r="AH738">
        <v>0</v>
      </c>
      <c r="AI738">
        <v>0</v>
      </c>
      <c r="AJ738">
        <v>0.11764705882352941</v>
      </c>
      <c r="AK738">
        <v>5.8823529411764705E-2</v>
      </c>
      <c r="AL738">
        <v>0</v>
      </c>
      <c r="AM738">
        <v>0</v>
      </c>
      <c r="AN738">
        <v>0</v>
      </c>
    </row>
    <row r="739" spans="1:40" x14ac:dyDescent="0.25">
      <c r="A739">
        <v>2023</v>
      </c>
      <c r="B739" t="s">
        <v>99</v>
      </c>
      <c r="C739" t="str">
        <f>IF(COUNTIF('Rookies 22-25'!$B$2:$B$60,E739)&gt;0,"(R)","No")</f>
        <v>(R)</v>
      </c>
      <c r="D739">
        <v>73</v>
      </c>
      <c r="E739" t="s">
        <v>133</v>
      </c>
      <c r="F739" t="s">
        <v>51</v>
      </c>
      <c r="G739">
        <f>VLOOKUP(E739,'23 Draft ADP'!$B$3:$D$323,3,)</f>
        <v>121</v>
      </c>
      <c r="H739">
        <v>17</v>
      </c>
      <c r="I739">
        <v>2.9</v>
      </c>
      <c r="J739">
        <v>1.7</v>
      </c>
      <c r="K739">
        <v>3</v>
      </c>
      <c r="L739">
        <v>2.8</v>
      </c>
      <c r="M739" t="s">
        <v>22</v>
      </c>
      <c r="N739">
        <v>0</v>
      </c>
      <c r="O739">
        <v>3</v>
      </c>
      <c r="P739">
        <v>10</v>
      </c>
      <c r="Q739">
        <v>3.6</v>
      </c>
      <c r="R739">
        <v>13.4</v>
      </c>
      <c r="S739">
        <v>4.0999999999999996</v>
      </c>
      <c r="T739">
        <v>1.7</v>
      </c>
      <c r="U739">
        <v>10.199999999999999</v>
      </c>
      <c r="V739">
        <v>12.1</v>
      </c>
      <c r="W739">
        <v>10.3</v>
      </c>
      <c r="X739">
        <v>5</v>
      </c>
      <c r="Y739">
        <v>5.9</v>
      </c>
      <c r="Z739">
        <v>4.3</v>
      </c>
      <c r="AA739">
        <v>5.5</v>
      </c>
      <c r="AB739">
        <f t="shared" si="22"/>
        <v>89.7</v>
      </c>
      <c r="AC739">
        <v>94</v>
      </c>
      <c r="AD739">
        <v>11</v>
      </c>
      <c r="AE739">
        <f t="shared" si="23"/>
        <v>4</v>
      </c>
      <c r="AF739">
        <v>0</v>
      </c>
      <c r="AG739">
        <v>0</v>
      </c>
      <c r="AH739">
        <v>0</v>
      </c>
      <c r="AI739">
        <v>0</v>
      </c>
      <c r="AJ739">
        <v>0.23529411764705882</v>
      </c>
      <c r="AK739">
        <v>0</v>
      </c>
      <c r="AL739">
        <v>0</v>
      </c>
      <c r="AM739">
        <v>0</v>
      </c>
      <c r="AN739">
        <v>0</v>
      </c>
    </row>
    <row r="740" spans="1:40" x14ac:dyDescent="0.25">
      <c r="A740">
        <v>2023</v>
      </c>
      <c r="B740" t="s">
        <v>99</v>
      </c>
      <c r="C740" t="str">
        <f>IF(COUNTIF('Rookies 22-25'!$B$2:$B$60,E740)&gt;0,"(R)","No")</f>
        <v>No</v>
      </c>
      <c r="D740">
        <v>74</v>
      </c>
      <c r="E740" t="s">
        <v>464</v>
      </c>
      <c r="F740" t="s">
        <v>37</v>
      </c>
      <c r="G740">
        <f>VLOOKUP(E740,'23 Draft ADP'!$B$3:$D$323,3,)</f>
        <v>111</v>
      </c>
      <c r="H740">
        <v>10</v>
      </c>
      <c r="I740">
        <v>11.1</v>
      </c>
      <c r="J740">
        <v>12.5</v>
      </c>
      <c r="K740">
        <v>11</v>
      </c>
      <c r="L740">
        <v>9.3000000000000007</v>
      </c>
      <c r="M740">
        <v>10.5</v>
      </c>
      <c r="N740">
        <v>9.5</v>
      </c>
      <c r="O740">
        <v>13.2</v>
      </c>
      <c r="P740">
        <v>10.8</v>
      </c>
      <c r="Q740">
        <v>0</v>
      </c>
      <c r="R740">
        <v>1.9</v>
      </c>
      <c r="S740" t="s">
        <v>22</v>
      </c>
      <c r="T740" t="s">
        <v>33</v>
      </c>
      <c r="U740" t="s">
        <v>33</v>
      </c>
      <c r="V740" t="s">
        <v>33</v>
      </c>
      <c r="W740" t="s">
        <v>33</v>
      </c>
      <c r="X740" t="s">
        <v>33</v>
      </c>
      <c r="Y740" t="s">
        <v>33</v>
      </c>
      <c r="Z740">
        <v>0</v>
      </c>
      <c r="AA740">
        <v>9</v>
      </c>
      <c r="AB740">
        <f t="shared" si="22"/>
        <v>89.8</v>
      </c>
      <c r="AC740">
        <v>89.8</v>
      </c>
      <c r="AD740">
        <v>11</v>
      </c>
      <c r="AE740">
        <f t="shared" si="23"/>
        <v>6</v>
      </c>
      <c r="AF740">
        <v>0</v>
      </c>
      <c r="AG740">
        <v>0</v>
      </c>
      <c r="AH740">
        <v>0</v>
      </c>
      <c r="AI740">
        <v>0</v>
      </c>
      <c r="AJ740">
        <v>0.35294117647058826</v>
      </c>
      <c r="AK740">
        <v>0</v>
      </c>
      <c r="AL740">
        <v>0</v>
      </c>
      <c r="AM740">
        <v>0</v>
      </c>
      <c r="AN740">
        <v>0</v>
      </c>
    </row>
    <row r="741" spans="1:40" x14ac:dyDescent="0.25">
      <c r="A741">
        <v>2023</v>
      </c>
      <c r="B741" t="s">
        <v>99</v>
      </c>
      <c r="C741" t="str">
        <f>IF(COUNTIF('Rookies 22-25'!$B$2:$B$60,E741)&gt;0,"(R)","No")</f>
        <v>No</v>
      </c>
      <c r="D741">
        <v>75</v>
      </c>
      <c r="E741" t="s">
        <v>465</v>
      </c>
      <c r="F741" t="s">
        <v>41</v>
      </c>
      <c r="G741">
        <f>VLOOKUP(E741,'23 Draft ADP'!$B$3:$D$323,3,)</f>
        <v>241</v>
      </c>
      <c r="H741">
        <v>14</v>
      </c>
      <c r="I741">
        <v>11.7</v>
      </c>
      <c r="J741">
        <v>13.4</v>
      </c>
      <c r="K741">
        <v>6.4</v>
      </c>
      <c r="L741">
        <v>5.6</v>
      </c>
      <c r="M741">
        <v>6</v>
      </c>
      <c r="N741">
        <v>7.6</v>
      </c>
      <c r="O741" t="s">
        <v>22</v>
      </c>
      <c r="P741" t="s">
        <v>33</v>
      </c>
      <c r="Q741" t="s">
        <v>33</v>
      </c>
      <c r="R741">
        <v>2.5</v>
      </c>
      <c r="S741">
        <v>9.4</v>
      </c>
      <c r="T741">
        <v>6</v>
      </c>
      <c r="U741">
        <v>0</v>
      </c>
      <c r="V741">
        <v>0.8</v>
      </c>
      <c r="W741">
        <v>6</v>
      </c>
      <c r="X741">
        <v>4.0999999999999996</v>
      </c>
      <c r="Y741">
        <v>9.8000000000000007</v>
      </c>
      <c r="Z741">
        <v>0</v>
      </c>
      <c r="AA741">
        <v>6.4</v>
      </c>
      <c r="AB741">
        <f t="shared" si="22"/>
        <v>89.3</v>
      </c>
      <c r="AC741">
        <v>89.3</v>
      </c>
      <c r="AD741" t="s">
        <v>450</v>
      </c>
      <c r="AE741">
        <f t="shared" si="23"/>
        <v>2</v>
      </c>
      <c r="AF741">
        <v>0</v>
      </c>
      <c r="AG741">
        <v>0</v>
      </c>
      <c r="AH741">
        <v>0</v>
      </c>
      <c r="AI741">
        <v>0</v>
      </c>
      <c r="AJ741">
        <v>0.11764705882352941</v>
      </c>
      <c r="AK741">
        <v>0</v>
      </c>
      <c r="AL741">
        <v>0</v>
      </c>
      <c r="AM741">
        <v>0</v>
      </c>
      <c r="AN741">
        <v>0</v>
      </c>
    </row>
    <row r="742" spans="1:40" x14ac:dyDescent="0.25">
      <c r="A742">
        <v>2023</v>
      </c>
      <c r="B742" t="s">
        <v>99</v>
      </c>
      <c r="C742" t="str">
        <f>IF(COUNTIF('Rookies 22-25'!$B$2:$B$60,E742)&gt;0,"(R)","No")</f>
        <v>No</v>
      </c>
      <c r="D742">
        <v>76</v>
      </c>
      <c r="E742" t="s">
        <v>425</v>
      </c>
      <c r="F742" t="s">
        <v>26</v>
      </c>
      <c r="G742">
        <f>VLOOKUP(E742,'23 Draft ADP'!$B$3:$D$323,3,)</f>
        <v>165</v>
      </c>
      <c r="H742">
        <v>16</v>
      </c>
      <c r="I742">
        <v>6.5</v>
      </c>
      <c r="J742">
        <v>7.2</v>
      </c>
      <c r="K742">
        <v>7.1</v>
      </c>
      <c r="L742">
        <v>1.5</v>
      </c>
      <c r="M742">
        <v>7.6</v>
      </c>
      <c r="N742">
        <v>0</v>
      </c>
      <c r="O742" t="s">
        <v>33</v>
      </c>
      <c r="P742">
        <v>6.2</v>
      </c>
      <c r="Q742">
        <v>3.5</v>
      </c>
      <c r="R742" t="s">
        <v>22</v>
      </c>
      <c r="S742">
        <v>16.3</v>
      </c>
      <c r="T742">
        <v>7.3</v>
      </c>
      <c r="U742">
        <v>0</v>
      </c>
      <c r="V742">
        <v>2.8</v>
      </c>
      <c r="W742">
        <v>4.0999999999999996</v>
      </c>
      <c r="X742">
        <v>13.8</v>
      </c>
      <c r="Y742">
        <v>5.0999999999999996</v>
      </c>
      <c r="Z742">
        <v>0</v>
      </c>
      <c r="AA742">
        <v>5.6</v>
      </c>
      <c r="AB742">
        <f t="shared" si="22"/>
        <v>89</v>
      </c>
      <c r="AC742">
        <v>89</v>
      </c>
      <c r="AD742">
        <v>17</v>
      </c>
      <c r="AE742">
        <f t="shared" si="23"/>
        <v>2</v>
      </c>
      <c r="AF742">
        <v>1</v>
      </c>
      <c r="AG742">
        <v>0</v>
      </c>
      <c r="AH742">
        <v>0</v>
      </c>
      <c r="AI742">
        <v>0</v>
      </c>
      <c r="AJ742">
        <v>0.11764705882352941</v>
      </c>
      <c r="AK742">
        <v>6.25E-2</v>
      </c>
      <c r="AL742">
        <v>0</v>
      </c>
      <c r="AM742">
        <v>0</v>
      </c>
      <c r="AN742">
        <v>0</v>
      </c>
    </row>
    <row r="743" spans="1:40" x14ac:dyDescent="0.25">
      <c r="A743">
        <v>2023</v>
      </c>
      <c r="B743" t="s">
        <v>99</v>
      </c>
      <c r="C743" t="str">
        <f>IF(COUNTIF('Rookies 22-25'!$B$2:$B$60,E743)&gt;0,"(R)","No")</f>
        <v>No</v>
      </c>
      <c r="D743">
        <v>77</v>
      </c>
      <c r="E743" t="s">
        <v>466</v>
      </c>
      <c r="F743" t="s">
        <v>30</v>
      </c>
      <c r="G743">
        <f>VLOOKUP(E743,'23 Draft ADP'!$B$3:$D$323,3,)</f>
        <v>136</v>
      </c>
      <c r="H743">
        <v>17</v>
      </c>
      <c r="I743">
        <v>2</v>
      </c>
      <c r="J743">
        <v>1.3</v>
      </c>
      <c r="K743">
        <v>15.2</v>
      </c>
      <c r="L743">
        <v>11</v>
      </c>
      <c r="M743">
        <v>3.5</v>
      </c>
      <c r="N743">
        <v>5.4</v>
      </c>
      <c r="O743" t="s">
        <v>22</v>
      </c>
      <c r="P743">
        <v>4</v>
      </c>
      <c r="Q743">
        <v>3.9</v>
      </c>
      <c r="R743">
        <v>15</v>
      </c>
      <c r="S743">
        <v>6.1</v>
      </c>
      <c r="T743">
        <v>2.2999999999999998</v>
      </c>
      <c r="U743">
        <v>0</v>
      </c>
      <c r="V743">
        <v>13.8</v>
      </c>
      <c r="W743">
        <v>1.9</v>
      </c>
      <c r="X743">
        <v>2.4</v>
      </c>
      <c r="Y743">
        <v>0</v>
      </c>
      <c r="Z743">
        <v>0</v>
      </c>
      <c r="AA743">
        <v>5.2</v>
      </c>
      <c r="AB743">
        <f t="shared" si="22"/>
        <v>87.8</v>
      </c>
      <c r="AC743">
        <v>87.8</v>
      </c>
      <c r="AD743">
        <v>12</v>
      </c>
      <c r="AE743">
        <f t="shared" si="23"/>
        <v>4</v>
      </c>
      <c r="AF743">
        <v>1</v>
      </c>
      <c r="AG743">
        <v>0</v>
      </c>
      <c r="AH743">
        <v>0</v>
      </c>
      <c r="AI743">
        <v>0</v>
      </c>
      <c r="AJ743">
        <v>0.23529411764705882</v>
      </c>
      <c r="AK743">
        <v>5.8823529411764705E-2</v>
      </c>
      <c r="AL743">
        <v>0</v>
      </c>
      <c r="AM743">
        <v>0</v>
      </c>
      <c r="AN743">
        <v>0</v>
      </c>
    </row>
    <row r="744" spans="1:40" x14ac:dyDescent="0.25">
      <c r="A744">
        <v>2023</v>
      </c>
      <c r="B744" t="s">
        <v>99</v>
      </c>
      <c r="C744" t="str">
        <f>IF(COUNTIF('Rookies 22-25'!$B$2:$B$60,E744)&gt;0,"(R)","No")</f>
        <v>No</v>
      </c>
      <c r="D744">
        <v>78</v>
      </c>
      <c r="E744" t="s">
        <v>199</v>
      </c>
      <c r="F744" t="s">
        <v>55</v>
      </c>
      <c r="G744">
        <f>VLOOKUP(E744,'23 Draft ADP'!$B$3:$D$323,3,)</f>
        <v>235</v>
      </c>
      <c r="H744">
        <v>9</v>
      </c>
      <c r="I744" t="s">
        <v>33</v>
      </c>
      <c r="J744" t="s">
        <v>33</v>
      </c>
      <c r="K744" t="s">
        <v>33</v>
      </c>
      <c r="L744" t="s">
        <v>33</v>
      </c>
      <c r="M744" t="s">
        <v>33</v>
      </c>
      <c r="N744" t="s">
        <v>33</v>
      </c>
      <c r="O744" t="s">
        <v>33</v>
      </c>
      <c r="P744" t="s">
        <v>33</v>
      </c>
      <c r="Q744">
        <v>2.5</v>
      </c>
      <c r="R744" t="s">
        <v>22</v>
      </c>
      <c r="S744">
        <v>4.4000000000000004</v>
      </c>
      <c r="T744">
        <v>3.3</v>
      </c>
      <c r="U744">
        <v>15.5</v>
      </c>
      <c r="V744">
        <v>13.6</v>
      </c>
      <c r="W744">
        <v>14.7</v>
      </c>
      <c r="X744">
        <v>20.2</v>
      </c>
      <c r="Y744">
        <v>13.2</v>
      </c>
      <c r="Z744">
        <v>0</v>
      </c>
      <c r="AA744">
        <v>9.6999999999999993</v>
      </c>
      <c r="AB744">
        <f t="shared" si="22"/>
        <v>87.4</v>
      </c>
      <c r="AC744">
        <v>87.4</v>
      </c>
      <c r="AD744">
        <v>20</v>
      </c>
      <c r="AE744">
        <f t="shared" si="23"/>
        <v>5</v>
      </c>
      <c r="AF744">
        <v>2</v>
      </c>
      <c r="AG744">
        <v>1</v>
      </c>
      <c r="AH744">
        <v>0</v>
      </c>
      <c r="AI744">
        <v>0</v>
      </c>
      <c r="AJ744">
        <v>0.29411764705882354</v>
      </c>
      <c r="AK744">
        <v>0.22222222222222221</v>
      </c>
      <c r="AL744">
        <v>0.1111111111111111</v>
      </c>
      <c r="AM744">
        <v>0</v>
      </c>
      <c r="AN744">
        <v>0</v>
      </c>
    </row>
    <row r="745" spans="1:40" x14ac:dyDescent="0.25">
      <c r="A745">
        <v>2023</v>
      </c>
      <c r="B745" t="s">
        <v>99</v>
      </c>
      <c r="C745" t="str">
        <f>IF(COUNTIF('Rookies 22-25'!$B$2:$B$60,E745)&gt;0,"(R)","No")</f>
        <v>No</v>
      </c>
      <c r="D745">
        <v>79</v>
      </c>
      <c r="E745" t="s">
        <v>412</v>
      </c>
      <c r="F745" t="s">
        <v>63</v>
      </c>
      <c r="G745">
        <f>VLOOKUP(E745,'23 Draft ADP'!$B$3:$D$323,3,)</f>
        <v>315</v>
      </c>
      <c r="H745">
        <v>13</v>
      </c>
      <c r="I745">
        <v>9.8000000000000007</v>
      </c>
      <c r="J745">
        <v>11.5</v>
      </c>
      <c r="K745" t="s">
        <v>33</v>
      </c>
      <c r="L745">
        <v>16.100000000000001</v>
      </c>
      <c r="M745">
        <v>1.9</v>
      </c>
      <c r="N745">
        <v>5.5</v>
      </c>
      <c r="O745" t="s">
        <v>22</v>
      </c>
      <c r="P745">
        <v>10.3</v>
      </c>
      <c r="Q745">
        <v>3.3</v>
      </c>
      <c r="R745">
        <v>1.9</v>
      </c>
      <c r="S745">
        <v>1.7</v>
      </c>
      <c r="T745">
        <v>8.1</v>
      </c>
      <c r="U745">
        <v>3.8</v>
      </c>
      <c r="V745">
        <v>6.8</v>
      </c>
      <c r="W745">
        <v>4.3</v>
      </c>
      <c r="X745" t="s">
        <v>33</v>
      </c>
      <c r="Y745" t="s">
        <v>33</v>
      </c>
      <c r="Z745">
        <v>0</v>
      </c>
      <c r="AA745">
        <v>6.5</v>
      </c>
      <c r="AB745">
        <f t="shared" si="22"/>
        <v>85</v>
      </c>
      <c r="AC745">
        <v>85</v>
      </c>
      <c r="AD745">
        <v>20</v>
      </c>
      <c r="AE745">
        <f t="shared" si="23"/>
        <v>3</v>
      </c>
      <c r="AF745">
        <v>1</v>
      </c>
      <c r="AG745">
        <v>0</v>
      </c>
      <c r="AH745">
        <v>0</v>
      </c>
      <c r="AI745">
        <v>0</v>
      </c>
      <c r="AJ745">
        <v>0.17647058823529413</v>
      </c>
      <c r="AK745">
        <v>7.6923076923076927E-2</v>
      </c>
      <c r="AL745">
        <v>0</v>
      </c>
      <c r="AM745">
        <v>0</v>
      </c>
      <c r="AN745">
        <v>0</v>
      </c>
    </row>
    <row r="746" spans="1:40" x14ac:dyDescent="0.25">
      <c r="A746">
        <v>2023</v>
      </c>
      <c r="B746" t="s">
        <v>99</v>
      </c>
      <c r="C746" t="str">
        <f>IF(COUNTIF('Rookies 22-25'!$B$2:$B$60,E746)&gt;0,"(R)","No")</f>
        <v>(R)</v>
      </c>
      <c r="D746">
        <v>80</v>
      </c>
      <c r="E746" t="s">
        <v>467</v>
      </c>
      <c r="F746" t="s">
        <v>95</v>
      </c>
      <c r="G746">
        <f>VLOOKUP(E746,'23 Draft ADP'!$B$3:$D$323,3,)</f>
        <v>176</v>
      </c>
      <c r="H746">
        <v>15</v>
      </c>
      <c r="I746">
        <v>3.7</v>
      </c>
      <c r="J746">
        <v>5.6</v>
      </c>
      <c r="K746">
        <v>5.0999999999999996</v>
      </c>
      <c r="L746" t="s">
        <v>33</v>
      </c>
      <c r="M746">
        <v>9.8000000000000007</v>
      </c>
      <c r="N746">
        <v>4.0999999999999996</v>
      </c>
      <c r="O746" t="s">
        <v>22</v>
      </c>
      <c r="P746">
        <v>10.199999999999999</v>
      </c>
      <c r="Q746">
        <v>1.5</v>
      </c>
      <c r="R746">
        <v>5</v>
      </c>
      <c r="S746">
        <v>1.6</v>
      </c>
      <c r="T746">
        <v>10</v>
      </c>
      <c r="U746">
        <v>12.9</v>
      </c>
      <c r="V746">
        <v>4.2</v>
      </c>
      <c r="W746">
        <v>7.2</v>
      </c>
      <c r="X746">
        <v>1.9</v>
      </c>
      <c r="Y746">
        <v>2</v>
      </c>
      <c r="Z746">
        <v>0</v>
      </c>
      <c r="AA746">
        <v>5.7</v>
      </c>
      <c r="AB746">
        <f t="shared" si="22"/>
        <v>84.8</v>
      </c>
      <c r="AC746">
        <v>84.8</v>
      </c>
      <c r="AD746">
        <v>17</v>
      </c>
      <c r="AE746">
        <f t="shared" si="23"/>
        <v>2</v>
      </c>
      <c r="AF746">
        <v>0</v>
      </c>
      <c r="AG746">
        <v>0</v>
      </c>
      <c r="AH746">
        <v>0</v>
      </c>
      <c r="AI746">
        <v>0</v>
      </c>
      <c r="AJ746">
        <v>0.11764705882352941</v>
      </c>
      <c r="AK746">
        <v>0</v>
      </c>
      <c r="AL746">
        <v>0</v>
      </c>
      <c r="AM746">
        <v>0</v>
      </c>
      <c r="AN746">
        <v>0</v>
      </c>
    </row>
    <row r="747" spans="1:40" x14ac:dyDescent="0.25">
      <c r="A747">
        <v>2023</v>
      </c>
      <c r="B747" t="s">
        <v>99</v>
      </c>
      <c r="C747" t="str">
        <f>IF(COUNTIF('Rookies 22-25'!$B$2:$B$60,E747)&gt;0,"(R)","No")</f>
        <v>No</v>
      </c>
      <c r="D747">
        <v>81</v>
      </c>
      <c r="E747" t="s">
        <v>111</v>
      </c>
      <c r="F747" t="s">
        <v>75</v>
      </c>
      <c r="G747">
        <f>VLOOKUP(E747,'23 Draft ADP'!$B$3:$D$323,3,)</f>
        <v>130</v>
      </c>
      <c r="H747">
        <v>12</v>
      </c>
      <c r="I747" t="s">
        <v>33</v>
      </c>
      <c r="J747" t="s">
        <v>33</v>
      </c>
      <c r="K747" t="s">
        <v>33</v>
      </c>
      <c r="L747" t="s">
        <v>33</v>
      </c>
      <c r="M747">
        <v>2.2000000000000002</v>
      </c>
      <c r="N747">
        <v>13.3</v>
      </c>
      <c r="O747">
        <v>0</v>
      </c>
      <c r="P747">
        <v>3.6</v>
      </c>
      <c r="Q747" t="s">
        <v>22</v>
      </c>
      <c r="R747">
        <v>3.8</v>
      </c>
      <c r="S747">
        <v>12.4</v>
      </c>
      <c r="T747">
        <v>7.1</v>
      </c>
      <c r="U747">
        <v>10</v>
      </c>
      <c r="V747">
        <v>0.4</v>
      </c>
      <c r="W747">
        <v>8.6999999999999993</v>
      </c>
      <c r="X747">
        <v>9.3000000000000007</v>
      </c>
      <c r="Y747">
        <v>9.5</v>
      </c>
      <c r="Z747">
        <v>0</v>
      </c>
      <c r="AA747">
        <v>6.7</v>
      </c>
      <c r="AB747">
        <f t="shared" si="22"/>
        <v>80.3</v>
      </c>
      <c r="AC747">
        <v>80.3</v>
      </c>
      <c r="AD747">
        <v>6</v>
      </c>
      <c r="AE747">
        <f t="shared" si="23"/>
        <v>2</v>
      </c>
      <c r="AF747">
        <v>0</v>
      </c>
      <c r="AG747">
        <v>0</v>
      </c>
      <c r="AH747">
        <v>0</v>
      </c>
      <c r="AI747">
        <v>0</v>
      </c>
      <c r="AJ747">
        <v>0.11764705882352941</v>
      </c>
      <c r="AK747">
        <v>0</v>
      </c>
      <c r="AL747">
        <v>0</v>
      </c>
      <c r="AM747">
        <v>0</v>
      </c>
      <c r="AN747">
        <v>0</v>
      </c>
    </row>
    <row r="748" spans="1:40" x14ac:dyDescent="0.25">
      <c r="A748">
        <v>2023</v>
      </c>
      <c r="B748" t="s">
        <v>99</v>
      </c>
      <c r="C748" t="str">
        <f>IF(COUNTIF('Rookies 22-25'!$B$2:$B$60,E748)&gt;0,"(R)","No")</f>
        <v>No</v>
      </c>
      <c r="D748">
        <v>82</v>
      </c>
      <c r="E748" t="s">
        <v>178</v>
      </c>
      <c r="F748" t="s">
        <v>45</v>
      </c>
      <c r="G748">
        <f>VLOOKUP(E748,'23 Draft ADP'!$B$3:$D$323,3,)</f>
        <v>156</v>
      </c>
      <c r="H748">
        <v>14</v>
      </c>
      <c r="I748">
        <v>15.3</v>
      </c>
      <c r="J748" t="s">
        <v>33</v>
      </c>
      <c r="K748">
        <v>0</v>
      </c>
      <c r="L748">
        <v>9.1</v>
      </c>
      <c r="M748">
        <v>0</v>
      </c>
      <c r="N748">
        <v>6.8</v>
      </c>
      <c r="O748">
        <v>7.4</v>
      </c>
      <c r="P748">
        <v>5.4</v>
      </c>
      <c r="Q748">
        <v>13.2</v>
      </c>
      <c r="R748">
        <v>3.4</v>
      </c>
      <c r="S748">
        <v>3.4</v>
      </c>
      <c r="T748">
        <v>2.6</v>
      </c>
      <c r="U748" t="s">
        <v>22</v>
      </c>
      <c r="V748">
        <v>6.4</v>
      </c>
      <c r="W748">
        <v>3.4</v>
      </c>
      <c r="X748">
        <v>2.5</v>
      </c>
      <c r="Y748" t="s">
        <v>33</v>
      </c>
      <c r="Z748">
        <v>0</v>
      </c>
      <c r="AA748">
        <v>5.6</v>
      </c>
      <c r="AB748">
        <f t="shared" si="22"/>
        <v>78.900000000000006</v>
      </c>
      <c r="AC748">
        <v>78.900000000000006</v>
      </c>
      <c r="AD748">
        <v>13</v>
      </c>
      <c r="AE748">
        <f t="shared" si="23"/>
        <v>2</v>
      </c>
      <c r="AF748">
        <v>1</v>
      </c>
      <c r="AG748">
        <v>0</v>
      </c>
      <c r="AH748">
        <v>0</v>
      </c>
      <c r="AI748">
        <v>0</v>
      </c>
      <c r="AJ748">
        <v>0.11764705882352941</v>
      </c>
      <c r="AK748">
        <v>7.1428571428571425E-2</v>
      </c>
      <c r="AL748">
        <v>0</v>
      </c>
      <c r="AM748">
        <v>0</v>
      </c>
      <c r="AN748">
        <v>0</v>
      </c>
    </row>
    <row r="749" spans="1:40" x14ac:dyDescent="0.25">
      <c r="A749">
        <v>2023</v>
      </c>
      <c r="B749" t="s">
        <v>99</v>
      </c>
      <c r="C749" t="str">
        <f>IF(COUNTIF('Rookies 22-25'!$B$2:$B$60,E749)&gt;0,"(R)","No")</f>
        <v>No</v>
      </c>
      <c r="D749">
        <v>83</v>
      </c>
      <c r="E749" t="s">
        <v>468</v>
      </c>
      <c r="F749" t="s">
        <v>67</v>
      </c>
      <c r="G749">
        <f>VLOOKUP(E749,'23 Draft ADP'!$B$3:$D$323,3,)</f>
        <v>145</v>
      </c>
      <c r="H749">
        <v>9</v>
      </c>
      <c r="I749">
        <v>16.5</v>
      </c>
      <c r="J749">
        <v>0</v>
      </c>
      <c r="K749" t="s">
        <v>33</v>
      </c>
      <c r="L749" t="s">
        <v>33</v>
      </c>
      <c r="M749">
        <v>11.3</v>
      </c>
      <c r="N749" t="s">
        <v>33</v>
      </c>
      <c r="O749" t="s">
        <v>33</v>
      </c>
      <c r="P749" t="s">
        <v>33</v>
      </c>
      <c r="Q749" t="s">
        <v>22</v>
      </c>
      <c r="R749" t="s">
        <v>33</v>
      </c>
      <c r="S749">
        <v>6</v>
      </c>
      <c r="T749">
        <v>2</v>
      </c>
      <c r="U749">
        <v>12.8</v>
      </c>
      <c r="V749">
        <v>7.9</v>
      </c>
      <c r="W749">
        <v>10.9</v>
      </c>
      <c r="X749" t="s">
        <v>33</v>
      </c>
      <c r="Y749" t="s">
        <v>33</v>
      </c>
      <c r="Z749">
        <v>10.7</v>
      </c>
      <c r="AA749">
        <v>8.6999999999999993</v>
      </c>
      <c r="AB749">
        <f t="shared" si="22"/>
        <v>67.399999999999991</v>
      </c>
      <c r="AC749">
        <v>78.099999999999994</v>
      </c>
      <c r="AD749">
        <v>16</v>
      </c>
      <c r="AE749">
        <f t="shared" si="23"/>
        <v>4</v>
      </c>
      <c r="AF749">
        <v>1</v>
      </c>
      <c r="AG749">
        <v>0</v>
      </c>
      <c r="AH749">
        <v>0</v>
      </c>
      <c r="AI749">
        <v>0</v>
      </c>
      <c r="AJ749">
        <v>0.29411764705882354</v>
      </c>
      <c r="AK749">
        <v>0.1111111111111111</v>
      </c>
      <c r="AL749">
        <v>0</v>
      </c>
      <c r="AM749">
        <v>0</v>
      </c>
      <c r="AN749">
        <v>0</v>
      </c>
    </row>
    <row r="750" spans="1:40" x14ac:dyDescent="0.25">
      <c r="A750">
        <v>2023</v>
      </c>
      <c r="B750" t="s">
        <v>99</v>
      </c>
      <c r="C750" t="str">
        <f>IF(COUNTIF('Rookies 22-25'!$B$2:$B$60,E750)&gt;0,"(R)","No")</f>
        <v>No</v>
      </c>
      <c r="D750">
        <v>84</v>
      </c>
      <c r="E750" t="s">
        <v>202</v>
      </c>
      <c r="F750" t="s">
        <v>53</v>
      </c>
      <c r="G750">
        <f>VLOOKUP(E750,'23 Draft ADP'!$B$3:$D$323,3,)</f>
        <v>107</v>
      </c>
      <c r="H750">
        <v>16</v>
      </c>
      <c r="I750">
        <v>6.5</v>
      </c>
      <c r="J750">
        <v>4.8</v>
      </c>
      <c r="K750">
        <v>1.6</v>
      </c>
      <c r="L750" t="s">
        <v>33</v>
      </c>
      <c r="M750">
        <v>1.8</v>
      </c>
      <c r="N750">
        <v>3.5</v>
      </c>
      <c r="O750">
        <v>5.6</v>
      </c>
      <c r="P750">
        <v>7.2</v>
      </c>
      <c r="Q750">
        <v>5.8</v>
      </c>
      <c r="R750">
        <v>4.5</v>
      </c>
      <c r="S750">
        <v>8</v>
      </c>
      <c r="T750">
        <v>4.0999999999999996</v>
      </c>
      <c r="U750" t="s">
        <v>22</v>
      </c>
      <c r="V750">
        <v>4.4000000000000004</v>
      </c>
      <c r="W750">
        <v>6.9</v>
      </c>
      <c r="X750">
        <v>2.4</v>
      </c>
      <c r="Y750">
        <v>9.4</v>
      </c>
      <c r="Z750">
        <v>0</v>
      </c>
      <c r="AA750">
        <v>4.8</v>
      </c>
      <c r="AB750">
        <f t="shared" si="22"/>
        <v>76.5</v>
      </c>
      <c r="AC750">
        <v>76.5</v>
      </c>
      <c r="AD750">
        <v>5</v>
      </c>
      <c r="AE750">
        <f t="shared" si="23"/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</row>
    <row r="751" spans="1:40" x14ac:dyDescent="0.25">
      <c r="A751">
        <v>2023</v>
      </c>
      <c r="B751" t="s">
        <v>99</v>
      </c>
      <c r="C751" t="str">
        <f>IF(COUNTIF('Rookies 22-25'!$B$2:$B$60,E751)&gt;0,"(R)","No")</f>
        <v>No</v>
      </c>
      <c r="D751">
        <v>85</v>
      </c>
      <c r="E751" t="s">
        <v>469</v>
      </c>
      <c r="F751" t="s">
        <v>78</v>
      </c>
      <c r="G751">
        <v>280</v>
      </c>
      <c r="H751">
        <v>13</v>
      </c>
      <c r="I751">
        <v>5.0999999999999996</v>
      </c>
      <c r="J751">
        <v>20.6</v>
      </c>
      <c r="K751">
        <v>3.2</v>
      </c>
      <c r="L751">
        <v>7.4</v>
      </c>
      <c r="M751">
        <v>1.9</v>
      </c>
      <c r="N751">
        <v>0</v>
      </c>
      <c r="O751">
        <v>0</v>
      </c>
      <c r="P751" t="s">
        <v>33</v>
      </c>
      <c r="Q751" t="s">
        <v>22</v>
      </c>
      <c r="R751" t="s">
        <v>33</v>
      </c>
      <c r="S751" t="s">
        <v>33</v>
      </c>
      <c r="T751" t="s">
        <v>33</v>
      </c>
      <c r="U751">
        <v>0</v>
      </c>
      <c r="V751">
        <v>0</v>
      </c>
      <c r="W751">
        <v>0</v>
      </c>
      <c r="X751">
        <v>15.7</v>
      </c>
      <c r="Y751">
        <v>6.7</v>
      </c>
      <c r="Z751">
        <v>12.8</v>
      </c>
      <c r="AA751">
        <v>5.6</v>
      </c>
      <c r="AB751">
        <f t="shared" si="22"/>
        <v>60.600000000000009</v>
      </c>
      <c r="AC751">
        <v>73.400000000000006</v>
      </c>
      <c r="AD751">
        <v>20</v>
      </c>
      <c r="AE751">
        <f t="shared" si="23"/>
        <v>2</v>
      </c>
      <c r="AF751">
        <v>2</v>
      </c>
      <c r="AG751">
        <v>1</v>
      </c>
      <c r="AH751">
        <v>0</v>
      </c>
      <c r="AI751">
        <v>0</v>
      </c>
      <c r="AJ751">
        <v>0.17647058823529413</v>
      </c>
      <c r="AK751">
        <v>0.15384615384615385</v>
      </c>
      <c r="AL751">
        <v>7.6923076923076927E-2</v>
      </c>
      <c r="AM751">
        <v>0</v>
      </c>
      <c r="AN751">
        <v>0</v>
      </c>
    </row>
    <row r="752" spans="1:40" x14ac:dyDescent="0.25">
      <c r="A752">
        <v>2023</v>
      </c>
      <c r="B752" t="s">
        <v>99</v>
      </c>
      <c r="C752" t="str">
        <f>IF(COUNTIF('Rookies 22-25'!$B$2:$B$60,E752)&gt;0,"(R)","No")</f>
        <v>No</v>
      </c>
      <c r="D752">
        <v>86</v>
      </c>
      <c r="E752" t="s">
        <v>470</v>
      </c>
      <c r="F752" t="s">
        <v>39</v>
      </c>
      <c r="G752">
        <f>VLOOKUP(E752,'23 Draft ADP'!$B$3:$D$323,3,)</f>
        <v>223</v>
      </c>
      <c r="H752">
        <v>13</v>
      </c>
      <c r="I752" t="s">
        <v>33</v>
      </c>
      <c r="J752">
        <v>11.7</v>
      </c>
      <c r="K752">
        <v>3.9</v>
      </c>
      <c r="L752">
        <v>5.3</v>
      </c>
      <c r="M752">
        <v>4</v>
      </c>
      <c r="N752">
        <v>1.7</v>
      </c>
      <c r="O752">
        <v>1.8</v>
      </c>
      <c r="P752">
        <v>2.4</v>
      </c>
      <c r="Q752" t="s">
        <v>33</v>
      </c>
      <c r="R752" t="s">
        <v>33</v>
      </c>
      <c r="S752" t="s">
        <v>22</v>
      </c>
      <c r="T752">
        <v>7.2</v>
      </c>
      <c r="U752">
        <v>10.4</v>
      </c>
      <c r="V752" t="s">
        <v>33</v>
      </c>
      <c r="W752">
        <v>9.4</v>
      </c>
      <c r="X752">
        <v>10.5</v>
      </c>
      <c r="Y752">
        <v>2.5</v>
      </c>
      <c r="Z752">
        <v>1.6</v>
      </c>
      <c r="AA752">
        <v>5.6</v>
      </c>
      <c r="AB752">
        <f t="shared" si="22"/>
        <v>70.800000000000011</v>
      </c>
      <c r="AC752">
        <v>72.400000000000006</v>
      </c>
      <c r="AD752">
        <v>20</v>
      </c>
      <c r="AE752">
        <f t="shared" si="23"/>
        <v>3</v>
      </c>
      <c r="AF752">
        <v>0</v>
      </c>
      <c r="AG752">
        <v>0</v>
      </c>
      <c r="AH752">
        <v>0</v>
      </c>
      <c r="AI752">
        <v>0</v>
      </c>
      <c r="AJ752">
        <v>0.17647058823529413</v>
      </c>
      <c r="AK752">
        <v>0</v>
      </c>
      <c r="AL752">
        <v>0</v>
      </c>
      <c r="AM752">
        <v>0</v>
      </c>
      <c r="AN752">
        <v>0</v>
      </c>
    </row>
    <row r="753" spans="1:40" x14ac:dyDescent="0.25">
      <c r="A753">
        <v>2023</v>
      </c>
      <c r="B753" t="s">
        <v>99</v>
      </c>
      <c r="C753" t="str">
        <f>IF(COUNTIF('Rookies 22-25'!$B$2:$B$60,E753)&gt;0,"(R)","No")</f>
        <v>(R)</v>
      </c>
      <c r="D753">
        <v>87</v>
      </c>
      <c r="E753" t="s">
        <v>137</v>
      </c>
      <c r="F753" t="s">
        <v>43</v>
      </c>
      <c r="G753">
        <v>281</v>
      </c>
      <c r="H753">
        <v>16</v>
      </c>
      <c r="I753" t="s">
        <v>33</v>
      </c>
      <c r="J753">
        <v>3.4</v>
      </c>
      <c r="K753">
        <v>0</v>
      </c>
      <c r="L753">
        <v>0</v>
      </c>
      <c r="M753">
        <v>1.6</v>
      </c>
      <c r="N753">
        <v>8.1</v>
      </c>
      <c r="O753">
        <v>3.8</v>
      </c>
      <c r="P753">
        <v>0</v>
      </c>
      <c r="Q753">
        <v>7.6</v>
      </c>
      <c r="R753">
        <v>0.9</v>
      </c>
      <c r="S753">
        <v>5</v>
      </c>
      <c r="T753">
        <v>0</v>
      </c>
      <c r="U753" t="s">
        <v>22</v>
      </c>
      <c r="V753">
        <v>0</v>
      </c>
      <c r="W753">
        <v>20.7</v>
      </c>
      <c r="X753">
        <v>1.1000000000000001</v>
      </c>
      <c r="Y753">
        <v>5.6</v>
      </c>
      <c r="Z753">
        <v>14</v>
      </c>
      <c r="AA753">
        <v>4.5</v>
      </c>
      <c r="AB753">
        <f t="shared" si="22"/>
        <v>57.8</v>
      </c>
      <c r="AC753">
        <v>71.8</v>
      </c>
      <c r="AD753">
        <v>20</v>
      </c>
      <c r="AE753">
        <f t="shared" si="23"/>
        <v>1</v>
      </c>
      <c r="AF753">
        <v>1</v>
      </c>
      <c r="AG753">
        <v>1</v>
      </c>
      <c r="AH753">
        <v>0</v>
      </c>
      <c r="AI753">
        <v>0</v>
      </c>
      <c r="AJ753">
        <v>0.11764705882352941</v>
      </c>
      <c r="AK753">
        <v>6.25E-2</v>
      </c>
      <c r="AL753">
        <v>6.25E-2</v>
      </c>
      <c r="AM753">
        <v>0</v>
      </c>
      <c r="AN753">
        <v>0</v>
      </c>
    </row>
    <row r="754" spans="1:40" x14ac:dyDescent="0.25">
      <c r="A754">
        <v>2023</v>
      </c>
      <c r="B754" t="s">
        <v>99</v>
      </c>
      <c r="C754" t="str">
        <f>IF(COUNTIF('Rookies 22-25'!$B$2:$B$60,E754)&gt;0,"(R)","No")</f>
        <v>(R)</v>
      </c>
      <c r="D754">
        <v>88</v>
      </c>
      <c r="E754" t="s">
        <v>165</v>
      </c>
      <c r="F754" t="s">
        <v>78</v>
      </c>
      <c r="G754">
        <f>VLOOKUP(E754,'23 Draft ADP'!$B$3:$D$323,3,)</f>
        <v>160</v>
      </c>
      <c r="H754">
        <v>16</v>
      </c>
      <c r="I754">
        <v>2.9</v>
      </c>
      <c r="J754">
        <v>20.3</v>
      </c>
      <c r="K754">
        <v>16.600000000000001</v>
      </c>
      <c r="L754">
        <v>6.7</v>
      </c>
      <c r="M754">
        <v>-0.6</v>
      </c>
      <c r="N754">
        <v>0</v>
      </c>
      <c r="O754">
        <v>-1.1000000000000001</v>
      </c>
      <c r="P754">
        <v>1</v>
      </c>
      <c r="Q754" t="s">
        <v>22</v>
      </c>
      <c r="R754">
        <v>-0.3</v>
      </c>
      <c r="S754">
        <v>3.2</v>
      </c>
      <c r="T754">
        <v>5.5</v>
      </c>
      <c r="U754">
        <v>2.2999999999999998</v>
      </c>
      <c r="V754">
        <v>3.1</v>
      </c>
      <c r="W754">
        <v>1.1000000000000001</v>
      </c>
      <c r="X754">
        <v>7.3</v>
      </c>
      <c r="Y754" t="s">
        <v>33</v>
      </c>
      <c r="Z754">
        <v>2.7</v>
      </c>
      <c r="AA754">
        <v>4.4000000000000004</v>
      </c>
      <c r="AB754">
        <f t="shared" si="22"/>
        <v>68</v>
      </c>
      <c r="AC754">
        <v>70.7</v>
      </c>
      <c r="AD754">
        <v>16</v>
      </c>
      <c r="AE754">
        <f t="shared" si="23"/>
        <v>2</v>
      </c>
      <c r="AF754">
        <v>2</v>
      </c>
      <c r="AG754">
        <v>1</v>
      </c>
      <c r="AH754">
        <v>0</v>
      </c>
      <c r="AI754">
        <v>0</v>
      </c>
      <c r="AJ754">
        <v>0.11764705882352941</v>
      </c>
      <c r="AK754">
        <v>0.125</v>
      </c>
      <c r="AL754">
        <v>6.25E-2</v>
      </c>
      <c r="AM754">
        <v>0</v>
      </c>
      <c r="AN754">
        <v>0</v>
      </c>
    </row>
    <row r="755" spans="1:40" x14ac:dyDescent="0.25">
      <c r="A755">
        <v>2023</v>
      </c>
      <c r="B755" t="s">
        <v>99</v>
      </c>
      <c r="C755" t="str">
        <f>IF(COUNTIF('Rookies 22-25'!$B$2:$B$60,E755)&gt;0,"(R)","No")</f>
        <v>No</v>
      </c>
      <c r="D755">
        <v>89</v>
      </c>
      <c r="E755" t="s">
        <v>431</v>
      </c>
      <c r="F755" t="s">
        <v>84</v>
      </c>
      <c r="G755">
        <f>VLOOKUP(E755,'23 Draft ADP'!$B$3:$D$323,3,)</f>
        <v>205</v>
      </c>
      <c r="H755">
        <v>14</v>
      </c>
      <c r="I755" t="s">
        <v>33</v>
      </c>
      <c r="J755" t="s">
        <v>33</v>
      </c>
      <c r="K755" t="s">
        <v>33</v>
      </c>
      <c r="L755">
        <v>2.6</v>
      </c>
      <c r="M755">
        <v>9.1999999999999993</v>
      </c>
      <c r="N755">
        <v>0</v>
      </c>
      <c r="O755">
        <v>6.8</v>
      </c>
      <c r="P755">
        <v>7.1</v>
      </c>
      <c r="Q755">
        <v>10.1</v>
      </c>
      <c r="R755" t="s">
        <v>22</v>
      </c>
      <c r="S755">
        <v>5.3</v>
      </c>
      <c r="T755">
        <v>0</v>
      </c>
      <c r="U755">
        <v>0</v>
      </c>
      <c r="V755">
        <v>5</v>
      </c>
      <c r="W755">
        <v>2.2000000000000002</v>
      </c>
      <c r="X755">
        <v>7.2</v>
      </c>
      <c r="Y755">
        <v>10.7</v>
      </c>
      <c r="Z755">
        <v>3.4</v>
      </c>
      <c r="AA755">
        <v>5</v>
      </c>
      <c r="AB755">
        <f t="shared" si="22"/>
        <v>66.199999999999989</v>
      </c>
      <c r="AC755">
        <v>69.599999999999994</v>
      </c>
      <c r="AD755">
        <v>18</v>
      </c>
      <c r="AE755">
        <f t="shared" si="23"/>
        <v>2</v>
      </c>
      <c r="AF755">
        <v>0</v>
      </c>
      <c r="AG755">
        <v>0</v>
      </c>
      <c r="AH755">
        <v>0</v>
      </c>
      <c r="AI755">
        <v>0</v>
      </c>
      <c r="AJ755">
        <v>0.11764705882352941</v>
      </c>
      <c r="AK755">
        <v>0</v>
      </c>
      <c r="AL755">
        <v>0</v>
      </c>
      <c r="AM755">
        <v>0</v>
      </c>
      <c r="AN755">
        <v>0</v>
      </c>
    </row>
    <row r="756" spans="1:40" x14ac:dyDescent="0.25">
      <c r="A756">
        <v>2023</v>
      </c>
      <c r="B756" t="s">
        <v>99</v>
      </c>
      <c r="C756" t="str">
        <f>IF(COUNTIF('Rookies 22-25'!$B$2:$B$60,E756)&gt;0,"(R)","No")</f>
        <v>No</v>
      </c>
      <c r="D756">
        <v>90</v>
      </c>
      <c r="E756" t="s">
        <v>471</v>
      </c>
      <c r="F756" t="s">
        <v>63</v>
      </c>
      <c r="G756">
        <v>282</v>
      </c>
      <c r="H756">
        <v>17</v>
      </c>
      <c r="I756">
        <v>0</v>
      </c>
      <c r="J756">
        <v>5.9</v>
      </c>
      <c r="K756">
        <v>6.1</v>
      </c>
      <c r="L756">
        <v>5.4</v>
      </c>
      <c r="M756">
        <v>0</v>
      </c>
      <c r="N756">
        <v>1.6</v>
      </c>
      <c r="O756" t="s">
        <v>22</v>
      </c>
      <c r="P756">
        <v>0</v>
      </c>
      <c r="Q756">
        <v>3.9</v>
      </c>
      <c r="R756">
        <v>4.0999999999999996</v>
      </c>
      <c r="S756">
        <v>9.6999999999999993</v>
      </c>
      <c r="T756">
        <v>7.2</v>
      </c>
      <c r="U756">
        <v>2.2000000000000002</v>
      </c>
      <c r="V756">
        <v>3.2</v>
      </c>
      <c r="W756">
        <v>6.9</v>
      </c>
      <c r="X756">
        <v>1.9</v>
      </c>
      <c r="Y756">
        <v>4.2</v>
      </c>
      <c r="Z756">
        <v>6</v>
      </c>
      <c r="AA756">
        <v>4</v>
      </c>
      <c r="AB756">
        <f t="shared" si="22"/>
        <v>62.3</v>
      </c>
      <c r="AC756">
        <v>68.3</v>
      </c>
      <c r="AD756">
        <v>20</v>
      </c>
      <c r="AE756">
        <f t="shared" si="23"/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</row>
    <row r="757" spans="1:40" x14ac:dyDescent="0.25">
      <c r="A757">
        <v>2023</v>
      </c>
      <c r="B757" t="s">
        <v>99</v>
      </c>
      <c r="C757" t="str">
        <f>IF(COUNTIF('Rookies 22-25'!$B$2:$B$60,E757)&gt;0,"(R)","No")</f>
        <v>No</v>
      </c>
      <c r="D757">
        <v>91</v>
      </c>
      <c r="E757" t="s">
        <v>472</v>
      </c>
      <c r="F757" t="s">
        <v>73</v>
      </c>
      <c r="G757">
        <v>290</v>
      </c>
      <c r="H757">
        <v>17</v>
      </c>
      <c r="I757">
        <v>0</v>
      </c>
      <c r="J757">
        <v>-2</v>
      </c>
      <c r="K757">
        <v>1.5</v>
      </c>
      <c r="L757">
        <v>0</v>
      </c>
      <c r="M757">
        <v>9.1999999999999993</v>
      </c>
      <c r="N757">
        <v>4.9000000000000004</v>
      </c>
      <c r="O757">
        <v>10.9</v>
      </c>
      <c r="P757">
        <v>2.2000000000000002</v>
      </c>
      <c r="Q757">
        <v>9.5</v>
      </c>
      <c r="R757">
        <v>7.5</v>
      </c>
      <c r="S757">
        <v>6.2</v>
      </c>
      <c r="T757">
        <v>7.7</v>
      </c>
      <c r="U757" t="s">
        <v>22</v>
      </c>
      <c r="V757">
        <v>0</v>
      </c>
      <c r="W757">
        <v>0</v>
      </c>
      <c r="X757">
        <v>8.3000000000000007</v>
      </c>
      <c r="Y757">
        <v>0</v>
      </c>
      <c r="Z757">
        <v>1.2</v>
      </c>
      <c r="AA757">
        <v>3.9</v>
      </c>
      <c r="AB757">
        <f t="shared" si="22"/>
        <v>65.899999999999991</v>
      </c>
      <c r="AC757">
        <v>67.099999999999994</v>
      </c>
      <c r="AD757">
        <v>20</v>
      </c>
      <c r="AE757">
        <f t="shared" si="23"/>
        <v>1</v>
      </c>
      <c r="AF757">
        <v>0</v>
      </c>
      <c r="AG757">
        <v>0</v>
      </c>
      <c r="AH757">
        <v>0</v>
      </c>
      <c r="AI757">
        <v>0</v>
      </c>
      <c r="AJ757">
        <v>5.8823529411764705E-2</v>
      </c>
      <c r="AK757">
        <v>0</v>
      </c>
      <c r="AL757">
        <v>0</v>
      </c>
      <c r="AM757">
        <v>0</v>
      </c>
      <c r="AN757">
        <v>0</v>
      </c>
    </row>
    <row r="758" spans="1:40" x14ac:dyDescent="0.25">
      <c r="A758">
        <v>2023</v>
      </c>
      <c r="B758" t="s">
        <v>99</v>
      </c>
      <c r="C758" t="str">
        <f>IF(COUNTIF('Rookies 22-25'!$B$2:$B$60,E758)&gt;0,"(R)","No")</f>
        <v>No</v>
      </c>
      <c r="D758">
        <v>92</v>
      </c>
      <c r="E758" t="s">
        <v>183</v>
      </c>
      <c r="F758" t="s">
        <v>21</v>
      </c>
      <c r="G758">
        <f>VLOOKUP(E758,'23 Draft ADP'!$B$3:$D$323,3,)</f>
        <v>289</v>
      </c>
      <c r="H758">
        <v>16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 t="s">
        <v>33</v>
      </c>
      <c r="Q758">
        <v>1.2</v>
      </c>
      <c r="R758">
        <v>0</v>
      </c>
      <c r="S758">
        <v>13.6</v>
      </c>
      <c r="T758">
        <v>11.7</v>
      </c>
      <c r="U758">
        <v>2.9</v>
      </c>
      <c r="V758" t="s">
        <v>22</v>
      </c>
      <c r="W758">
        <v>4</v>
      </c>
      <c r="X758">
        <v>12.5</v>
      </c>
      <c r="Y758">
        <v>15.2</v>
      </c>
      <c r="Z758">
        <v>3.4</v>
      </c>
      <c r="AA758">
        <v>4</v>
      </c>
      <c r="AB758">
        <f t="shared" si="22"/>
        <v>61.1</v>
      </c>
      <c r="AC758">
        <v>64.5</v>
      </c>
      <c r="AD758">
        <v>20</v>
      </c>
      <c r="AE758">
        <f t="shared" si="23"/>
        <v>4</v>
      </c>
      <c r="AF758">
        <v>1</v>
      </c>
      <c r="AG758">
        <v>0</v>
      </c>
      <c r="AH758">
        <v>0</v>
      </c>
      <c r="AI758">
        <v>0</v>
      </c>
      <c r="AJ758">
        <v>0.23529411764705882</v>
      </c>
      <c r="AK758">
        <v>6.25E-2</v>
      </c>
      <c r="AL758">
        <v>0</v>
      </c>
      <c r="AM758">
        <v>0</v>
      </c>
      <c r="AN758">
        <v>0</v>
      </c>
    </row>
    <row r="759" spans="1:40" x14ac:dyDescent="0.25">
      <c r="A759">
        <v>2023</v>
      </c>
      <c r="B759" t="s">
        <v>99</v>
      </c>
      <c r="C759" t="str">
        <f>IF(COUNTIF('Rookies 22-25'!$B$2:$B$60,E759)&gt;0,"(R)","No")</f>
        <v>No</v>
      </c>
      <c r="D759">
        <v>93</v>
      </c>
      <c r="E759" t="s">
        <v>473</v>
      </c>
      <c r="F759" t="s">
        <v>89</v>
      </c>
      <c r="G759">
        <v>291</v>
      </c>
      <c r="H759">
        <v>15</v>
      </c>
      <c r="I759">
        <v>0</v>
      </c>
      <c r="J759" t="s">
        <v>33</v>
      </c>
      <c r="K759" t="s">
        <v>33</v>
      </c>
      <c r="L759">
        <v>2.7</v>
      </c>
      <c r="M759">
        <v>14</v>
      </c>
      <c r="N759">
        <v>0</v>
      </c>
      <c r="O759" t="s">
        <v>22</v>
      </c>
      <c r="P759">
        <v>4.4000000000000004</v>
      </c>
      <c r="Q759">
        <v>0</v>
      </c>
      <c r="R759">
        <v>13.4</v>
      </c>
      <c r="S759">
        <v>6.6</v>
      </c>
      <c r="T759">
        <v>3.5</v>
      </c>
      <c r="U759">
        <v>3.5</v>
      </c>
      <c r="V759">
        <v>0</v>
      </c>
      <c r="W759">
        <v>0</v>
      </c>
      <c r="X759">
        <v>7.7</v>
      </c>
      <c r="Y759">
        <v>1.4</v>
      </c>
      <c r="Z759">
        <v>5.4</v>
      </c>
      <c r="AA759">
        <v>4.2</v>
      </c>
      <c r="AB759">
        <f t="shared" si="22"/>
        <v>57.2</v>
      </c>
      <c r="AC759">
        <v>62.6</v>
      </c>
      <c r="AD759">
        <v>20</v>
      </c>
      <c r="AE759">
        <f t="shared" si="23"/>
        <v>2</v>
      </c>
      <c r="AF759">
        <v>0</v>
      </c>
      <c r="AG759">
        <v>0</v>
      </c>
      <c r="AH759">
        <v>0</v>
      </c>
      <c r="AI759">
        <v>0</v>
      </c>
      <c r="AJ759">
        <v>0.11764705882352941</v>
      </c>
      <c r="AK759">
        <v>0</v>
      </c>
      <c r="AL759">
        <v>0</v>
      </c>
      <c r="AM759">
        <v>0</v>
      </c>
      <c r="AN759">
        <v>0</v>
      </c>
    </row>
    <row r="760" spans="1:40" x14ac:dyDescent="0.25">
      <c r="A760">
        <v>2023</v>
      </c>
      <c r="B760" t="s">
        <v>99</v>
      </c>
      <c r="C760" t="str">
        <f>IF(COUNTIF('Rookies 22-25'!$B$2:$B$60,E760)&gt;0,"(R)","No")</f>
        <v>No</v>
      </c>
      <c r="D760">
        <v>94</v>
      </c>
      <c r="E760" t="s">
        <v>474</v>
      </c>
      <c r="F760" t="s">
        <v>71</v>
      </c>
      <c r="G760">
        <f>VLOOKUP(E760,'23 Draft ADP'!$B$3:$D$323,3,)</f>
        <v>247</v>
      </c>
      <c r="H760">
        <v>17</v>
      </c>
      <c r="I760">
        <v>11.4</v>
      </c>
      <c r="J760">
        <v>3.2</v>
      </c>
      <c r="K760">
        <v>6.4</v>
      </c>
      <c r="L760">
        <v>1.8</v>
      </c>
      <c r="M760">
        <v>7.9</v>
      </c>
      <c r="N760" t="s">
        <v>22</v>
      </c>
      <c r="O760">
        <v>1.7</v>
      </c>
      <c r="P760">
        <v>0</v>
      </c>
      <c r="Q760">
        <v>2</v>
      </c>
      <c r="R760">
        <v>0</v>
      </c>
      <c r="S760">
        <v>5</v>
      </c>
      <c r="T760">
        <v>2.1</v>
      </c>
      <c r="U760">
        <v>4.9000000000000004</v>
      </c>
      <c r="V760">
        <v>3.1</v>
      </c>
      <c r="W760">
        <v>4.9000000000000004</v>
      </c>
      <c r="X760">
        <v>7.6</v>
      </c>
      <c r="Y760">
        <v>0</v>
      </c>
      <c r="Z760">
        <v>0</v>
      </c>
      <c r="AA760">
        <v>3.6</v>
      </c>
      <c r="AB760">
        <f t="shared" si="22"/>
        <v>62</v>
      </c>
      <c r="AC760">
        <v>62</v>
      </c>
      <c r="AD760">
        <v>20</v>
      </c>
      <c r="AE760">
        <f t="shared" si="23"/>
        <v>1</v>
      </c>
      <c r="AF760">
        <v>0</v>
      </c>
      <c r="AG760">
        <v>0</v>
      </c>
      <c r="AH760">
        <v>0</v>
      </c>
      <c r="AI760">
        <v>0</v>
      </c>
      <c r="AJ760">
        <v>5.8823529411764705E-2</v>
      </c>
      <c r="AK760">
        <v>0</v>
      </c>
      <c r="AL760">
        <v>0</v>
      </c>
      <c r="AM760">
        <v>0</v>
      </c>
      <c r="AN760">
        <v>0</v>
      </c>
    </row>
    <row r="761" spans="1:40" x14ac:dyDescent="0.25">
      <c r="A761">
        <v>2023</v>
      </c>
      <c r="B761" t="s">
        <v>99</v>
      </c>
      <c r="C761" t="str">
        <f>IF(COUNTIF('Rookies 22-25'!$B$2:$B$60,E761)&gt;0,"(R)","No")</f>
        <v>No</v>
      </c>
      <c r="D761">
        <v>95</v>
      </c>
      <c r="E761" t="s">
        <v>185</v>
      </c>
      <c r="F761" t="s">
        <v>39</v>
      </c>
      <c r="G761">
        <f>VLOOKUP(E761,'23 Draft ADP'!$B$3:$D$323,3,)</f>
        <v>128</v>
      </c>
      <c r="H761">
        <v>11</v>
      </c>
      <c r="I761">
        <v>7.3</v>
      </c>
      <c r="J761">
        <v>7.8</v>
      </c>
      <c r="K761">
        <v>1.5</v>
      </c>
      <c r="L761">
        <v>2.4</v>
      </c>
      <c r="M761">
        <v>3.6</v>
      </c>
      <c r="N761" t="s">
        <v>33</v>
      </c>
      <c r="O761" t="s">
        <v>33</v>
      </c>
      <c r="P761">
        <v>7.3</v>
      </c>
      <c r="Q761">
        <v>11.1</v>
      </c>
      <c r="R761">
        <v>1.9</v>
      </c>
      <c r="S761" t="s">
        <v>22</v>
      </c>
      <c r="T761">
        <v>3</v>
      </c>
      <c r="U761">
        <v>2.1</v>
      </c>
      <c r="V761">
        <v>13</v>
      </c>
      <c r="W761" t="s">
        <v>33</v>
      </c>
      <c r="X761" t="s">
        <v>33</v>
      </c>
      <c r="Y761" t="s">
        <v>33</v>
      </c>
      <c r="Z761">
        <v>0</v>
      </c>
      <c r="AA761">
        <v>5.5</v>
      </c>
      <c r="AB761">
        <f t="shared" si="22"/>
        <v>61</v>
      </c>
      <c r="AC761">
        <v>61</v>
      </c>
      <c r="AD761">
        <v>11</v>
      </c>
      <c r="AE761">
        <f t="shared" si="23"/>
        <v>2</v>
      </c>
      <c r="AF761">
        <v>0</v>
      </c>
      <c r="AG761">
        <v>0</v>
      </c>
      <c r="AH761">
        <v>0</v>
      </c>
      <c r="AI761">
        <v>0</v>
      </c>
      <c r="AJ761">
        <v>0.11764705882352941</v>
      </c>
      <c r="AK761">
        <v>0</v>
      </c>
      <c r="AL761">
        <v>0</v>
      </c>
      <c r="AM761">
        <v>0</v>
      </c>
      <c r="AN761">
        <v>0</v>
      </c>
    </row>
    <row r="762" spans="1:40" x14ac:dyDescent="0.25">
      <c r="A762">
        <v>2023</v>
      </c>
      <c r="B762" t="s">
        <v>99</v>
      </c>
      <c r="C762" t="str">
        <f>IF(COUNTIF('Rookies 22-25'!$B$2:$B$60,E762)&gt;0,"(R)","No")</f>
        <v>(R)</v>
      </c>
      <c r="D762">
        <v>96</v>
      </c>
      <c r="E762" t="s">
        <v>475</v>
      </c>
      <c r="F762" t="s">
        <v>37</v>
      </c>
      <c r="G762">
        <f>VLOOKUP(E762,'23 Draft ADP'!$B$3:$D$323,3,)</f>
        <v>283</v>
      </c>
      <c r="H762">
        <v>10</v>
      </c>
      <c r="I762" t="s">
        <v>33</v>
      </c>
      <c r="J762" t="s">
        <v>33</v>
      </c>
      <c r="K762" t="s">
        <v>33</v>
      </c>
      <c r="L762" t="s">
        <v>33</v>
      </c>
      <c r="M762" t="s">
        <v>33</v>
      </c>
      <c r="N762" t="s">
        <v>33</v>
      </c>
      <c r="O762" t="s">
        <v>33</v>
      </c>
      <c r="P762">
        <v>0</v>
      </c>
      <c r="Q762">
        <v>0</v>
      </c>
      <c r="R762">
        <v>11.8</v>
      </c>
      <c r="S762" t="s">
        <v>22</v>
      </c>
      <c r="T762">
        <v>1.7</v>
      </c>
      <c r="U762">
        <v>4</v>
      </c>
      <c r="V762">
        <v>5.4</v>
      </c>
      <c r="W762">
        <v>5.4</v>
      </c>
      <c r="X762">
        <v>10.5</v>
      </c>
      <c r="Y762">
        <v>1.5</v>
      </c>
      <c r="Z762">
        <v>20.3</v>
      </c>
      <c r="AA762">
        <v>6.1</v>
      </c>
      <c r="AB762">
        <f t="shared" si="22"/>
        <v>40.299999999999997</v>
      </c>
      <c r="AC762">
        <v>60.6</v>
      </c>
      <c r="AD762">
        <v>20</v>
      </c>
      <c r="AE762">
        <f t="shared" si="23"/>
        <v>2</v>
      </c>
      <c r="AF762">
        <v>1</v>
      </c>
      <c r="AG762">
        <v>1</v>
      </c>
      <c r="AH762">
        <v>0</v>
      </c>
      <c r="AI762">
        <v>0</v>
      </c>
      <c r="AJ762">
        <v>0.17647058823529413</v>
      </c>
      <c r="AK762">
        <v>0.1</v>
      </c>
      <c r="AL762">
        <v>0.1</v>
      </c>
      <c r="AM762">
        <v>0</v>
      </c>
      <c r="AN762">
        <v>0</v>
      </c>
    </row>
    <row r="763" spans="1:40" x14ac:dyDescent="0.25">
      <c r="A763">
        <v>2023</v>
      </c>
      <c r="B763" t="s">
        <v>99</v>
      </c>
      <c r="C763" t="str">
        <f>IF(COUNTIF('Rookies 22-25'!$B$2:$B$60,E763)&gt;0,"(R)","No")</f>
        <v>(R)</v>
      </c>
      <c r="D763">
        <v>97</v>
      </c>
      <c r="E763" t="s">
        <v>476</v>
      </c>
      <c r="F763" t="s">
        <v>57</v>
      </c>
      <c r="G763">
        <f>VLOOKUP(E763,'23 Draft ADP'!$B$3:$D$323,3,)</f>
        <v>188</v>
      </c>
      <c r="H763">
        <v>17</v>
      </c>
      <c r="I763">
        <v>0</v>
      </c>
      <c r="J763">
        <v>10.9</v>
      </c>
      <c r="K763">
        <v>0</v>
      </c>
      <c r="L763">
        <v>3</v>
      </c>
      <c r="M763">
        <v>0</v>
      </c>
      <c r="N763">
        <v>5.0999999999999996</v>
      </c>
      <c r="O763">
        <v>9.5</v>
      </c>
      <c r="P763">
        <v>0</v>
      </c>
      <c r="Q763">
        <v>3.9</v>
      </c>
      <c r="R763">
        <v>0</v>
      </c>
      <c r="S763">
        <v>1.7</v>
      </c>
      <c r="T763">
        <v>15.9</v>
      </c>
      <c r="U763" t="s">
        <v>22</v>
      </c>
      <c r="V763">
        <v>3.3</v>
      </c>
      <c r="W763">
        <v>0</v>
      </c>
      <c r="X763">
        <v>0</v>
      </c>
      <c r="Y763">
        <v>5.5</v>
      </c>
      <c r="Z763">
        <v>1.5</v>
      </c>
      <c r="AA763">
        <v>3.5</v>
      </c>
      <c r="AB763">
        <f t="shared" si="22"/>
        <v>58.8</v>
      </c>
      <c r="AC763">
        <v>60.3</v>
      </c>
      <c r="AD763">
        <v>18</v>
      </c>
      <c r="AE763">
        <f t="shared" si="23"/>
        <v>2</v>
      </c>
      <c r="AF763">
        <v>1</v>
      </c>
      <c r="AG763">
        <v>0</v>
      </c>
      <c r="AH763">
        <v>0</v>
      </c>
      <c r="AI763">
        <v>0</v>
      </c>
      <c r="AJ763">
        <v>0.11764705882352941</v>
      </c>
      <c r="AK763">
        <v>5.8823529411764705E-2</v>
      </c>
      <c r="AL763">
        <v>0</v>
      </c>
      <c r="AM763">
        <v>0</v>
      </c>
      <c r="AN763">
        <v>0</v>
      </c>
    </row>
    <row r="764" spans="1:40" x14ac:dyDescent="0.25">
      <c r="A764">
        <v>2023</v>
      </c>
      <c r="B764" t="s">
        <v>99</v>
      </c>
      <c r="C764" t="str">
        <f>IF(COUNTIF('Rookies 22-25'!$B$2:$B$60,E764)&gt;0,"(R)","No")</f>
        <v>No</v>
      </c>
      <c r="D764">
        <v>98</v>
      </c>
      <c r="E764" t="s">
        <v>414</v>
      </c>
      <c r="F764" t="s">
        <v>82</v>
      </c>
      <c r="G764">
        <f>VLOOKUP(E764,'23 Draft ADP'!$B$3:$D$323,3,)</f>
        <v>138</v>
      </c>
      <c r="H764">
        <v>14</v>
      </c>
      <c r="I764">
        <v>6.6</v>
      </c>
      <c r="J764">
        <v>4.3</v>
      </c>
      <c r="K764">
        <v>6.9</v>
      </c>
      <c r="L764">
        <v>15.1</v>
      </c>
      <c r="M764">
        <v>6.3</v>
      </c>
      <c r="N764">
        <v>1.8</v>
      </c>
      <c r="O764" t="s">
        <v>22</v>
      </c>
      <c r="P764">
        <v>7.5</v>
      </c>
      <c r="Q764">
        <v>3.8</v>
      </c>
      <c r="R764">
        <v>2.7</v>
      </c>
      <c r="S764">
        <v>0</v>
      </c>
      <c r="T764" t="s">
        <v>33</v>
      </c>
      <c r="U764">
        <v>0</v>
      </c>
      <c r="V764">
        <v>0</v>
      </c>
      <c r="W764">
        <v>5.0999999999999996</v>
      </c>
      <c r="X764">
        <v>0</v>
      </c>
      <c r="Y764" t="s">
        <v>33</v>
      </c>
      <c r="Z764">
        <v>0</v>
      </c>
      <c r="AA764">
        <v>4.3</v>
      </c>
      <c r="AB764">
        <f t="shared" si="22"/>
        <v>60.1</v>
      </c>
      <c r="AC764">
        <v>60.1</v>
      </c>
      <c r="AD764">
        <v>12</v>
      </c>
      <c r="AE764">
        <f t="shared" si="23"/>
        <v>1</v>
      </c>
      <c r="AF764">
        <v>1</v>
      </c>
      <c r="AG764">
        <v>0</v>
      </c>
      <c r="AH764">
        <v>0</v>
      </c>
      <c r="AI764">
        <v>0</v>
      </c>
      <c r="AJ764">
        <v>5.8823529411764705E-2</v>
      </c>
      <c r="AK764">
        <v>7.1428571428571425E-2</v>
      </c>
      <c r="AL764">
        <v>0</v>
      </c>
      <c r="AM764">
        <v>0</v>
      </c>
      <c r="AN764">
        <v>0</v>
      </c>
    </row>
    <row r="765" spans="1:40" x14ac:dyDescent="0.25">
      <c r="A765">
        <v>2023</v>
      </c>
      <c r="B765" t="s">
        <v>99</v>
      </c>
      <c r="C765" t="str">
        <f>IF(COUNTIF('Rookies 22-25'!$B$2:$B$60,E765)&gt;0,"(R)","No")</f>
        <v>No</v>
      </c>
      <c r="D765">
        <v>99</v>
      </c>
      <c r="E765" t="s">
        <v>477</v>
      </c>
      <c r="F765" t="s">
        <v>57</v>
      </c>
      <c r="G765">
        <f>VLOOKUP(E765,'23 Draft ADP'!$B$3:$D$323,3,)</f>
        <v>200</v>
      </c>
      <c r="H765">
        <v>17</v>
      </c>
      <c r="I765">
        <v>1.4</v>
      </c>
      <c r="J765">
        <v>14</v>
      </c>
      <c r="K765">
        <v>0</v>
      </c>
      <c r="L765">
        <v>5.4</v>
      </c>
      <c r="M765">
        <v>3.9</v>
      </c>
      <c r="N765">
        <v>0</v>
      </c>
      <c r="O765">
        <v>3.3</v>
      </c>
      <c r="P765">
        <v>0</v>
      </c>
      <c r="Q765">
        <v>0</v>
      </c>
      <c r="R765">
        <v>0</v>
      </c>
      <c r="S765">
        <v>4.2</v>
      </c>
      <c r="T765">
        <v>8.1999999999999993</v>
      </c>
      <c r="U765" t="s">
        <v>22</v>
      </c>
      <c r="V765">
        <v>10.199999999999999</v>
      </c>
      <c r="W765">
        <v>0</v>
      </c>
      <c r="X765">
        <v>0</v>
      </c>
      <c r="Y765">
        <v>2.8</v>
      </c>
      <c r="Z765">
        <v>6.6</v>
      </c>
      <c r="AA765">
        <v>3.5</v>
      </c>
      <c r="AB765">
        <f t="shared" si="22"/>
        <v>53.4</v>
      </c>
      <c r="AC765">
        <v>60</v>
      </c>
      <c r="AD765">
        <v>18</v>
      </c>
      <c r="AE765">
        <f t="shared" si="23"/>
        <v>2</v>
      </c>
      <c r="AF765">
        <v>0</v>
      </c>
      <c r="AG765">
        <v>0</v>
      </c>
      <c r="AH765">
        <v>0</v>
      </c>
      <c r="AI765">
        <v>0</v>
      </c>
      <c r="AJ765">
        <v>0.11764705882352941</v>
      </c>
      <c r="AK765">
        <v>0</v>
      </c>
      <c r="AL765">
        <v>0</v>
      </c>
      <c r="AM765">
        <v>0</v>
      </c>
      <c r="AN765">
        <v>0</v>
      </c>
    </row>
    <row r="766" spans="1:40" x14ac:dyDescent="0.25">
      <c r="A766">
        <v>2023</v>
      </c>
      <c r="B766" t="s">
        <v>99</v>
      </c>
      <c r="C766" t="str">
        <f>IF(COUNTIF('Rookies 22-25'!$B$2:$B$60,E766)&gt;0,"(R)","No")</f>
        <v>No</v>
      </c>
      <c r="D766">
        <v>100</v>
      </c>
      <c r="E766" t="s">
        <v>176</v>
      </c>
      <c r="F766" t="s">
        <v>30</v>
      </c>
      <c r="G766">
        <v>292</v>
      </c>
      <c r="H766">
        <v>16</v>
      </c>
      <c r="I766">
        <v>10.5</v>
      </c>
      <c r="J766">
        <v>2.5</v>
      </c>
      <c r="K766">
        <v>0</v>
      </c>
      <c r="L766">
        <v>6.1</v>
      </c>
      <c r="M766">
        <v>9.6</v>
      </c>
      <c r="N766">
        <v>0</v>
      </c>
      <c r="O766" t="s">
        <v>22</v>
      </c>
      <c r="P766">
        <v>2.2999999999999998</v>
      </c>
      <c r="Q766">
        <v>7.5</v>
      </c>
      <c r="R766" t="s">
        <v>33</v>
      </c>
      <c r="S766">
        <v>4.3</v>
      </c>
      <c r="T766">
        <v>10.4</v>
      </c>
      <c r="U766">
        <v>2</v>
      </c>
      <c r="V766">
        <v>2.2000000000000002</v>
      </c>
      <c r="W766">
        <v>0</v>
      </c>
      <c r="X766">
        <v>1.8</v>
      </c>
      <c r="Y766">
        <v>0</v>
      </c>
      <c r="Z766">
        <v>0.5</v>
      </c>
      <c r="AA766">
        <v>3.7</v>
      </c>
      <c r="AB766">
        <f t="shared" si="22"/>
        <v>59.2</v>
      </c>
      <c r="AC766">
        <v>59.7</v>
      </c>
      <c r="AD766">
        <v>20</v>
      </c>
      <c r="AE766">
        <f t="shared" si="23"/>
        <v>2</v>
      </c>
      <c r="AF766">
        <v>0</v>
      </c>
      <c r="AG766">
        <v>0</v>
      </c>
      <c r="AH766">
        <v>0</v>
      </c>
      <c r="AI766">
        <v>0</v>
      </c>
      <c r="AJ766">
        <v>0.11764705882352941</v>
      </c>
      <c r="AK766">
        <v>0</v>
      </c>
      <c r="AL766">
        <v>0</v>
      </c>
      <c r="AM766">
        <v>0</v>
      </c>
      <c r="AN766">
        <v>0</v>
      </c>
    </row>
    <row r="767" spans="1:40" x14ac:dyDescent="0.25">
      <c r="A767">
        <v>2023</v>
      </c>
      <c r="B767" t="s">
        <v>99</v>
      </c>
      <c r="C767" t="str">
        <f>IF(COUNTIF('Rookies 22-25'!$B$2:$B$60,E767)&gt;0,"(R)","No")</f>
        <v>No</v>
      </c>
      <c r="D767">
        <v>101</v>
      </c>
      <c r="E767" t="s">
        <v>217</v>
      </c>
      <c r="F767" t="s">
        <v>30</v>
      </c>
      <c r="G767">
        <f>VLOOKUP(E767,'23 Draft ADP'!$B$3:$D$323,3,)</f>
        <v>229</v>
      </c>
      <c r="H767">
        <v>17</v>
      </c>
      <c r="I767">
        <v>0</v>
      </c>
      <c r="J767">
        <v>4.8</v>
      </c>
      <c r="K767">
        <v>0</v>
      </c>
      <c r="L767">
        <v>9.3000000000000007</v>
      </c>
      <c r="M767">
        <v>0</v>
      </c>
      <c r="N767">
        <v>-2</v>
      </c>
      <c r="O767" t="s">
        <v>22</v>
      </c>
      <c r="P767">
        <v>0</v>
      </c>
      <c r="Q767">
        <v>13.9</v>
      </c>
      <c r="R767">
        <v>2.2000000000000002</v>
      </c>
      <c r="S767">
        <v>3.2</v>
      </c>
      <c r="T767">
        <v>6.9</v>
      </c>
      <c r="U767">
        <v>2.7</v>
      </c>
      <c r="V767">
        <v>0</v>
      </c>
      <c r="W767">
        <v>0</v>
      </c>
      <c r="X767">
        <v>7.1</v>
      </c>
      <c r="Y767">
        <v>1.9</v>
      </c>
      <c r="Z767">
        <v>8.8000000000000007</v>
      </c>
      <c r="AA767">
        <v>3.5</v>
      </c>
      <c r="AB767">
        <f t="shared" si="22"/>
        <v>50</v>
      </c>
      <c r="AC767">
        <v>58.8</v>
      </c>
      <c r="AD767">
        <v>16</v>
      </c>
      <c r="AE767">
        <f t="shared" si="23"/>
        <v>1</v>
      </c>
      <c r="AF767">
        <v>0</v>
      </c>
      <c r="AG767">
        <v>0</v>
      </c>
      <c r="AH767">
        <v>0</v>
      </c>
      <c r="AI767">
        <v>0</v>
      </c>
      <c r="AJ767">
        <v>5.8823529411764705E-2</v>
      </c>
      <c r="AK767">
        <v>0</v>
      </c>
      <c r="AL767">
        <v>0</v>
      </c>
      <c r="AM767">
        <v>0</v>
      </c>
      <c r="AN767">
        <v>0</v>
      </c>
    </row>
    <row r="768" spans="1:40" x14ac:dyDescent="0.25">
      <c r="A768">
        <v>2023</v>
      </c>
      <c r="B768" t="s">
        <v>99</v>
      </c>
      <c r="C768" t="str">
        <f>IF(COUNTIF('Rookies 22-25'!$B$2:$B$60,E768)&gt;0,"(R)","No")</f>
        <v>No</v>
      </c>
      <c r="D768">
        <v>102</v>
      </c>
      <c r="E768" t="s">
        <v>478</v>
      </c>
      <c r="F768" t="s">
        <v>82</v>
      </c>
      <c r="G768">
        <v>293</v>
      </c>
      <c r="H768">
        <v>17</v>
      </c>
      <c r="I768">
        <v>6</v>
      </c>
      <c r="J768">
        <v>0</v>
      </c>
      <c r="K768">
        <v>0</v>
      </c>
      <c r="L768">
        <v>2.7</v>
      </c>
      <c r="M768">
        <v>-2</v>
      </c>
      <c r="N768">
        <v>1.8</v>
      </c>
      <c r="O768" t="s">
        <v>22</v>
      </c>
      <c r="P768">
        <v>0.3</v>
      </c>
      <c r="Q768">
        <v>5.2</v>
      </c>
      <c r="R768">
        <v>3.4</v>
      </c>
      <c r="S768">
        <v>-0.3</v>
      </c>
      <c r="T768">
        <v>3.5</v>
      </c>
      <c r="U768">
        <v>12.8</v>
      </c>
      <c r="V768">
        <v>8.1999999999999993</v>
      </c>
      <c r="W768">
        <v>4.9000000000000004</v>
      </c>
      <c r="X768">
        <v>2.7</v>
      </c>
      <c r="Y768">
        <v>8.1</v>
      </c>
      <c r="Z768">
        <v>1.4</v>
      </c>
      <c r="AA768">
        <v>3.5</v>
      </c>
      <c r="AB768">
        <f t="shared" si="22"/>
        <v>57.300000000000004</v>
      </c>
      <c r="AC768">
        <v>58.7</v>
      </c>
      <c r="AD768">
        <v>20</v>
      </c>
      <c r="AE768">
        <f t="shared" si="23"/>
        <v>1</v>
      </c>
      <c r="AF768">
        <v>0</v>
      </c>
      <c r="AG768">
        <v>0</v>
      </c>
      <c r="AH768">
        <v>0</v>
      </c>
      <c r="AI768">
        <v>0</v>
      </c>
      <c r="AJ768">
        <v>5.8823529411764705E-2</v>
      </c>
      <c r="AK768">
        <v>0</v>
      </c>
      <c r="AL768">
        <v>0</v>
      </c>
      <c r="AM768">
        <v>0</v>
      </c>
      <c r="AN768">
        <v>0</v>
      </c>
    </row>
    <row r="769" spans="1:40" x14ac:dyDescent="0.25">
      <c r="A769">
        <v>2023</v>
      </c>
      <c r="B769" t="s">
        <v>99</v>
      </c>
      <c r="C769" t="str">
        <f>IF(COUNTIF('Rookies 22-25'!$B$2:$B$60,E769)&gt;0,"(R)","No")</f>
        <v>No</v>
      </c>
      <c r="D769">
        <v>103</v>
      </c>
      <c r="E769" t="s">
        <v>479</v>
      </c>
      <c r="F769" t="s">
        <v>84</v>
      </c>
      <c r="G769">
        <f>VLOOKUP(E769,'23 Draft ADP'!$B$3:$D$323,3,)</f>
        <v>305</v>
      </c>
      <c r="H769">
        <v>16</v>
      </c>
      <c r="I769">
        <v>7.2</v>
      </c>
      <c r="J769">
        <v>4.8</v>
      </c>
      <c r="K769">
        <v>5.3</v>
      </c>
      <c r="L769">
        <v>17.399999999999999</v>
      </c>
      <c r="M769">
        <v>3.3</v>
      </c>
      <c r="N769">
        <v>4</v>
      </c>
      <c r="O769">
        <v>1.7</v>
      </c>
      <c r="P769">
        <v>2.8</v>
      </c>
      <c r="Q769">
        <v>0</v>
      </c>
      <c r="R769" t="s">
        <v>22</v>
      </c>
      <c r="S769" t="s">
        <v>33</v>
      </c>
      <c r="T769">
        <v>0</v>
      </c>
      <c r="U769">
        <v>0</v>
      </c>
      <c r="V769">
        <v>3.3</v>
      </c>
      <c r="W769">
        <v>2.2000000000000002</v>
      </c>
      <c r="X769">
        <v>0</v>
      </c>
      <c r="Y769">
        <v>3</v>
      </c>
      <c r="Z769">
        <v>2.9</v>
      </c>
      <c r="AA769">
        <v>3.6</v>
      </c>
      <c r="AB769">
        <f t="shared" si="22"/>
        <v>55</v>
      </c>
      <c r="AC769">
        <v>57.9</v>
      </c>
      <c r="AD769">
        <v>20</v>
      </c>
      <c r="AE769">
        <f t="shared" si="23"/>
        <v>1</v>
      </c>
      <c r="AF769">
        <v>1</v>
      </c>
      <c r="AG769">
        <v>0</v>
      </c>
      <c r="AH769">
        <v>0</v>
      </c>
      <c r="AI769">
        <v>0</v>
      </c>
      <c r="AJ769">
        <v>5.8823529411764705E-2</v>
      </c>
      <c r="AK769">
        <v>6.25E-2</v>
      </c>
      <c r="AL769">
        <v>0</v>
      </c>
      <c r="AM769">
        <v>0</v>
      </c>
      <c r="AN769">
        <v>0</v>
      </c>
    </row>
    <row r="770" spans="1:40" x14ac:dyDescent="0.25">
      <c r="A770">
        <v>2023</v>
      </c>
      <c r="B770" t="s">
        <v>99</v>
      </c>
      <c r="C770" t="str">
        <f>IF(COUNTIF('Rookies 22-25'!$B$2:$B$60,E770)&gt;0,"(R)","No")</f>
        <v>No</v>
      </c>
      <c r="D770">
        <v>104</v>
      </c>
      <c r="E770" t="s">
        <v>480</v>
      </c>
      <c r="F770" t="s">
        <v>49</v>
      </c>
      <c r="G770">
        <f>VLOOKUP(E770,'23 Draft ADP'!$B$3:$D$323,3,)</f>
        <v>303</v>
      </c>
      <c r="H770">
        <v>17</v>
      </c>
      <c r="I770">
        <v>0</v>
      </c>
      <c r="J770">
        <v>1.3</v>
      </c>
      <c r="K770">
        <v>7.5</v>
      </c>
      <c r="L770">
        <v>0</v>
      </c>
      <c r="M770" t="s">
        <v>22</v>
      </c>
      <c r="N770">
        <v>6.3</v>
      </c>
      <c r="O770">
        <v>16.100000000000001</v>
      </c>
      <c r="P770">
        <v>10.6</v>
      </c>
      <c r="Q770">
        <v>0</v>
      </c>
      <c r="R770">
        <v>3.3</v>
      </c>
      <c r="S770">
        <v>1.8</v>
      </c>
      <c r="T770">
        <v>1.6</v>
      </c>
      <c r="U770">
        <v>1.9</v>
      </c>
      <c r="V770">
        <v>0</v>
      </c>
      <c r="W770">
        <v>1.4</v>
      </c>
      <c r="X770">
        <v>1.8</v>
      </c>
      <c r="Y770">
        <v>1.4</v>
      </c>
      <c r="Z770">
        <v>1.9</v>
      </c>
      <c r="AA770">
        <v>3.3</v>
      </c>
      <c r="AB770">
        <f t="shared" si="22"/>
        <v>55</v>
      </c>
      <c r="AC770">
        <v>56.9</v>
      </c>
      <c r="AD770">
        <v>20</v>
      </c>
      <c r="AE770">
        <f t="shared" si="23"/>
        <v>2</v>
      </c>
      <c r="AF770">
        <v>1</v>
      </c>
      <c r="AG770">
        <v>0</v>
      </c>
      <c r="AH770">
        <v>0</v>
      </c>
      <c r="AI770">
        <v>0</v>
      </c>
      <c r="AJ770">
        <v>0.11764705882352941</v>
      </c>
      <c r="AK770">
        <v>5.8823529411764705E-2</v>
      </c>
      <c r="AL770">
        <v>0</v>
      </c>
      <c r="AM770">
        <v>0</v>
      </c>
      <c r="AN770">
        <v>0</v>
      </c>
    </row>
    <row r="771" spans="1:40" x14ac:dyDescent="0.25">
      <c r="A771">
        <v>2023</v>
      </c>
      <c r="B771" t="s">
        <v>99</v>
      </c>
      <c r="C771" t="str">
        <f>IF(COUNTIF('Rookies 22-25'!$B$2:$B$60,E771)&gt;0,"(R)","No")</f>
        <v>No</v>
      </c>
      <c r="D771">
        <v>105</v>
      </c>
      <c r="E771" t="s">
        <v>421</v>
      </c>
      <c r="F771" t="s">
        <v>26</v>
      </c>
      <c r="G771">
        <f>VLOOKUP(E771,'23 Draft ADP'!$B$3:$D$323,3,)</f>
        <v>148</v>
      </c>
      <c r="H771">
        <v>16</v>
      </c>
      <c r="I771">
        <v>6.8</v>
      </c>
      <c r="J771">
        <v>3.3</v>
      </c>
      <c r="K771">
        <v>4.7</v>
      </c>
      <c r="L771">
        <v>1.6</v>
      </c>
      <c r="M771">
        <v>2.2000000000000002</v>
      </c>
      <c r="N771">
        <v>0</v>
      </c>
      <c r="O771">
        <v>17.399999999999999</v>
      </c>
      <c r="P771">
        <v>2.7</v>
      </c>
      <c r="Q771">
        <v>4.2</v>
      </c>
      <c r="R771" t="s">
        <v>22</v>
      </c>
      <c r="S771">
        <v>0</v>
      </c>
      <c r="T771">
        <v>0.9</v>
      </c>
      <c r="U771">
        <v>4.5</v>
      </c>
      <c r="V771">
        <v>4.2</v>
      </c>
      <c r="W771">
        <v>2.7</v>
      </c>
      <c r="X771">
        <v>0</v>
      </c>
      <c r="Y771">
        <v>1.3</v>
      </c>
      <c r="Z771">
        <v>0</v>
      </c>
      <c r="AA771">
        <v>3.5</v>
      </c>
      <c r="AB771">
        <f t="shared" ref="AB771:AB834" si="24">AC771-Z771</f>
        <v>56.5</v>
      </c>
      <c r="AC771">
        <v>56.5</v>
      </c>
      <c r="AD771">
        <v>12</v>
      </c>
      <c r="AE771">
        <f t="shared" ref="AE771:AE834" si="25">COUNTIF(I771:Y771,"&gt;10")</f>
        <v>1</v>
      </c>
      <c r="AF771">
        <v>1</v>
      </c>
      <c r="AG771">
        <v>0</v>
      </c>
      <c r="AH771">
        <v>0</v>
      </c>
      <c r="AI771">
        <v>0</v>
      </c>
      <c r="AJ771">
        <v>5.8823529411764705E-2</v>
      </c>
      <c r="AK771">
        <v>6.25E-2</v>
      </c>
      <c r="AL771">
        <v>0</v>
      </c>
      <c r="AM771">
        <v>0</v>
      </c>
      <c r="AN771">
        <v>0</v>
      </c>
    </row>
    <row r="772" spans="1:40" x14ac:dyDescent="0.25">
      <c r="A772">
        <v>2023</v>
      </c>
      <c r="B772" t="s">
        <v>99</v>
      </c>
      <c r="C772" t="str">
        <f>IF(COUNTIF('Rookies 22-25'!$B$2:$B$60,E772)&gt;0,"(R)","No")</f>
        <v>No</v>
      </c>
      <c r="D772">
        <v>106</v>
      </c>
      <c r="E772" t="s">
        <v>481</v>
      </c>
      <c r="F772" t="s">
        <v>26</v>
      </c>
      <c r="G772">
        <f>VLOOKUP(E772,'23 Draft ADP'!$B$3:$D$323,3,)</f>
        <v>115</v>
      </c>
      <c r="H772">
        <v>14</v>
      </c>
      <c r="I772">
        <v>0.4</v>
      </c>
      <c r="J772">
        <v>16</v>
      </c>
      <c r="K772">
        <v>8.1999999999999993</v>
      </c>
      <c r="L772">
        <v>1.9</v>
      </c>
      <c r="M772">
        <v>3.1</v>
      </c>
      <c r="N772">
        <v>4.2</v>
      </c>
      <c r="O772">
        <v>3.5</v>
      </c>
      <c r="P772">
        <v>1.8</v>
      </c>
      <c r="Q772">
        <v>5.3</v>
      </c>
      <c r="R772" t="s">
        <v>22</v>
      </c>
      <c r="S772">
        <v>1.4</v>
      </c>
      <c r="T772">
        <v>6.4</v>
      </c>
      <c r="U772">
        <v>1.5</v>
      </c>
      <c r="V772">
        <v>0</v>
      </c>
      <c r="W772">
        <v>0</v>
      </c>
      <c r="X772" t="s">
        <v>33</v>
      </c>
      <c r="Y772" t="s">
        <v>33</v>
      </c>
      <c r="Z772">
        <v>0</v>
      </c>
      <c r="AA772">
        <v>3.8</v>
      </c>
      <c r="AB772">
        <f t="shared" si="24"/>
        <v>53.7</v>
      </c>
      <c r="AC772">
        <v>53.7</v>
      </c>
      <c r="AD772">
        <v>11</v>
      </c>
      <c r="AE772">
        <f t="shared" si="25"/>
        <v>1</v>
      </c>
      <c r="AF772">
        <v>1</v>
      </c>
      <c r="AG772">
        <v>0</v>
      </c>
      <c r="AH772">
        <v>0</v>
      </c>
      <c r="AI772">
        <v>0</v>
      </c>
      <c r="AJ772">
        <v>5.8823529411764705E-2</v>
      </c>
      <c r="AK772">
        <v>7.1428571428571425E-2</v>
      </c>
      <c r="AL772">
        <v>0</v>
      </c>
      <c r="AM772">
        <v>0</v>
      </c>
      <c r="AN772">
        <v>0</v>
      </c>
    </row>
    <row r="773" spans="1:40" x14ac:dyDescent="0.25">
      <c r="A773">
        <v>2023</v>
      </c>
      <c r="B773" t="s">
        <v>99</v>
      </c>
      <c r="C773" t="str">
        <f>IF(COUNTIF('Rookies 22-25'!$B$2:$B$60,E773)&gt;0,"(R)","No")</f>
        <v>No</v>
      </c>
      <c r="D773">
        <v>107</v>
      </c>
      <c r="E773" t="s">
        <v>482</v>
      </c>
      <c r="F773" t="s">
        <v>26</v>
      </c>
      <c r="G773">
        <f>VLOOKUP(E773,'23 Draft ADP'!$B$3:$D$323,3,)</f>
        <v>112</v>
      </c>
      <c r="H773">
        <v>13</v>
      </c>
      <c r="I773">
        <v>1</v>
      </c>
      <c r="J773">
        <v>8.8000000000000007</v>
      </c>
      <c r="K773">
        <v>0.9</v>
      </c>
      <c r="L773">
        <v>4.2</v>
      </c>
      <c r="M773">
        <v>7.7</v>
      </c>
      <c r="N773">
        <v>9.4</v>
      </c>
      <c r="O773">
        <v>2.2999999999999998</v>
      </c>
      <c r="P773">
        <v>1.1000000000000001</v>
      </c>
      <c r="Q773">
        <v>2.8</v>
      </c>
      <c r="R773" t="s">
        <v>22</v>
      </c>
      <c r="S773">
        <v>4.5999999999999996</v>
      </c>
      <c r="T773" t="s">
        <v>33</v>
      </c>
      <c r="U773">
        <v>0.6</v>
      </c>
      <c r="V773">
        <v>7.1</v>
      </c>
      <c r="W773">
        <v>2.5</v>
      </c>
      <c r="X773" t="s">
        <v>33</v>
      </c>
      <c r="Y773" t="s">
        <v>33</v>
      </c>
      <c r="Z773">
        <v>0</v>
      </c>
      <c r="AA773">
        <v>4.0999999999999996</v>
      </c>
      <c r="AB773">
        <f t="shared" si="24"/>
        <v>53</v>
      </c>
      <c r="AC773">
        <v>53</v>
      </c>
      <c r="AD773">
        <v>5</v>
      </c>
      <c r="AE773">
        <f t="shared" si="25"/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</row>
    <row r="774" spans="1:40" x14ac:dyDescent="0.25">
      <c r="A774">
        <v>2023</v>
      </c>
      <c r="B774" t="s">
        <v>99</v>
      </c>
      <c r="C774" t="str">
        <f>IF(COUNTIF('Rookies 22-25'!$B$2:$B$60,E774)&gt;0,"(R)","No")</f>
        <v>No</v>
      </c>
      <c r="D774">
        <v>108</v>
      </c>
      <c r="E774" t="s">
        <v>173</v>
      </c>
      <c r="F774" t="s">
        <v>71</v>
      </c>
      <c r="G774">
        <f>VLOOKUP(E774,'23 Draft ADP'!$B$3:$D$323,3,)</f>
        <v>252</v>
      </c>
      <c r="H774">
        <v>17</v>
      </c>
      <c r="I774">
        <v>9.6999999999999993</v>
      </c>
      <c r="J774">
        <v>1.8</v>
      </c>
      <c r="K774">
        <v>15.2</v>
      </c>
      <c r="L774">
        <v>5.9</v>
      </c>
      <c r="M774">
        <v>0</v>
      </c>
      <c r="N774" t="s">
        <v>22</v>
      </c>
      <c r="O774">
        <v>0.1</v>
      </c>
      <c r="P774">
        <v>4.9000000000000004</v>
      </c>
      <c r="Q774">
        <v>1</v>
      </c>
      <c r="R774">
        <v>1.9</v>
      </c>
      <c r="S774">
        <v>0</v>
      </c>
      <c r="T774">
        <v>1.5</v>
      </c>
      <c r="U774">
        <v>2</v>
      </c>
      <c r="V774">
        <v>1.2</v>
      </c>
      <c r="W774">
        <v>0</v>
      </c>
      <c r="X774">
        <v>6.7</v>
      </c>
      <c r="Y774">
        <v>0</v>
      </c>
      <c r="Z774">
        <v>0.8</v>
      </c>
      <c r="AA774">
        <v>3.1</v>
      </c>
      <c r="AB774">
        <f t="shared" si="24"/>
        <v>51.900000000000006</v>
      </c>
      <c r="AC774">
        <v>52.7</v>
      </c>
      <c r="AD774">
        <v>20</v>
      </c>
      <c r="AE774">
        <f t="shared" si="25"/>
        <v>1</v>
      </c>
      <c r="AF774">
        <v>1</v>
      </c>
      <c r="AG774">
        <v>0</v>
      </c>
      <c r="AH774">
        <v>0</v>
      </c>
      <c r="AI774">
        <v>0</v>
      </c>
      <c r="AJ774">
        <v>5.8823529411764705E-2</v>
      </c>
      <c r="AK774">
        <v>5.8823529411764705E-2</v>
      </c>
      <c r="AL774">
        <v>0</v>
      </c>
      <c r="AM774">
        <v>0</v>
      </c>
      <c r="AN774">
        <v>0</v>
      </c>
    </row>
    <row r="775" spans="1:40" x14ac:dyDescent="0.25">
      <c r="A775">
        <v>2023</v>
      </c>
      <c r="B775" t="s">
        <v>99</v>
      </c>
      <c r="C775" t="str">
        <f>IF(COUNTIF('Rookies 22-25'!$B$2:$B$60,E775)&gt;0,"(R)","No")</f>
        <v>No</v>
      </c>
      <c r="D775">
        <v>109</v>
      </c>
      <c r="E775" t="s">
        <v>132</v>
      </c>
      <c r="F775" t="s">
        <v>47</v>
      </c>
      <c r="G775">
        <f>VLOOKUP(E775,'23 Draft ADP'!$B$3:$D$323,3,)</f>
        <v>177</v>
      </c>
      <c r="H775">
        <v>13</v>
      </c>
      <c r="I775">
        <v>0</v>
      </c>
      <c r="J775">
        <v>7.1</v>
      </c>
      <c r="K775">
        <v>5.0999999999999996</v>
      </c>
      <c r="L775" t="s">
        <v>33</v>
      </c>
      <c r="M775">
        <v>2.9</v>
      </c>
      <c r="N775">
        <v>4.5999999999999996</v>
      </c>
      <c r="O775">
        <v>10.4</v>
      </c>
      <c r="P775">
        <v>0</v>
      </c>
      <c r="Q775" t="s">
        <v>22</v>
      </c>
      <c r="R775">
        <v>1.8</v>
      </c>
      <c r="S775">
        <v>0</v>
      </c>
      <c r="T775">
        <v>1.7</v>
      </c>
      <c r="U775">
        <v>13.4</v>
      </c>
      <c r="V775">
        <v>0</v>
      </c>
      <c r="W775">
        <v>4.5</v>
      </c>
      <c r="X775" t="s">
        <v>33</v>
      </c>
      <c r="Y775" t="s">
        <v>33</v>
      </c>
      <c r="Z775">
        <v>0</v>
      </c>
      <c r="AA775">
        <v>4</v>
      </c>
      <c r="AB775">
        <f t="shared" si="24"/>
        <v>51.5</v>
      </c>
      <c r="AC775">
        <v>51.5</v>
      </c>
      <c r="AD775">
        <v>17</v>
      </c>
      <c r="AE775">
        <f t="shared" si="25"/>
        <v>2</v>
      </c>
      <c r="AF775">
        <v>0</v>
      </c>
      <c r="AG775">
        <v>0</v>
      </c>
      <c r="AH775">
        <v>0</v>
      </c>
      <c r="AI775">
        <v>0</v>
      </c>
      <c r="AJ775">
        <v>0.11764705882352941</v>
      </c>
      <c r="AK775">
        <v>0</v>
      </c>
      <c r="AL775">
        <v>0</v>
      </c>
      <c r="AM775">
        <v>0</v>
      </c>
      <c r="AN775">
        <v>0</v>
      </c>
    </row>
    <row r="776" spans="1:40" x14ac:dyDescent="0.25">
      <c r="A776">
        <v>2023</v>
      </c>
      <c r="B776" t="s">
        <v>99</v>
      </c>
      <c r="C776" t="str">
        <f>IF(COUNTIF('Rookies 22-25'!$B$2:$B$60,E776)&gt;0,"(R)","No")</f>
        <v>No</v>
      </c>
      <c r="D776">
        <v>110</v>
      </c>
      <c r="E776" t="s">
        <v>169</v>
      </c>
      <c r="F776" t="s">
        <v>89</v>
      </c>
      <c r="G776">
        <f>VLOOKUP(E776,'23 Draft ADP'!$B$3:$D$323,3,)</f>
        <v>307</v>
      </c>
      <c r="H776">
        <v>16</v>
      </c>
      <c r="I776">
        <v>0</v>
      </c>
      <c r="J776">
        <v>0</v>
      </c>
      <c r="K776">
        <v>0</v>
      </c>
      <c r="L776">
        <v>0</v>
      </c>
      <c r="M776">
        <v>1.9</v>
      </c>
      <c r="N776">
        <v>7.3</v>
      </c>
      <c r="O776" t="s">
        <v>22</v>
      </c>
      <c r="P776">
        <v>7.2</v>
      </c>
      <c r="Q776">
        <v>1.9</v>
      </c>
      <c r="R776">
        <v>0</v>
      </c>
      <c r="S776" t="s">
        <v>33</v>
      </c>
      <c r="T776">
        <v>2.6</v>
      </c>
      <c r="U776">
        <v>0</v>
      </c>
      <c r="V776">
        <v>0</v>
      </c>
      <c r="W776">
        <v>1.5</v>
      </c>
      <c r="X776">
        <v>7.6</v>
      </c>
      <c r="Y776">
        <v>0</v>
      </c>
      <c r="Z776">
        <v>20.6</v>
      </c>
      <c r="AA776">
        <v>3.2</v>
      </c>
      <c r="AB776">
        <f t="shared" si="24"/>
        <v>30</v>
      </c>
      <c r="AC776">
        <v>50.6</v>
      </c>
      <c r="AD776">
        <v>20</v>
      </c>
      <c r="AE776">
        <f t="shared" si="25"/>
        <v>0</v>
      </c>
      <c r="AF776">
        <v>1</v>
      </c>
      <c r="AG776">
        <v>1</v>
      </c>
      <c r="AH776">
        <v>0</v>
      </c>
      <c r="AI776">
        <v>0</v>
      </c>
      <c r="AJ776">
        <v>5.8823529411764705E-2</v>
      </c>
      <c r="AK776">
        <v>6.25E-2</v>
      </c>
      <c r="AL776">
        <v>6.25E-2</v>
      </c>
      <c r="AM776">
        <v>0</v>
      </c>
      <c r="AN776">
        <v>0</v>
      </c>
    </row>
    <row r="777" spans="1:40" x14ac:dyDescent="0.25">
      <c r="A777">
        <v>2023</v>
      </c>
      <c r="B777" t="s">
        <v>99</v>
      </c>
      <c r="C777" t="str">
        <f>IF(COUNTIF('Rookies 22-25'!$B$2:$B$60,E777)&gt;0,"(R)","No")</f>
        <v>No</v>
      </c>
      <c r="D777">
        <v>111</v>
      </c>
      <c r="E777" t="s">
        <v>428</v>
      </c>
      <c r="F777" t="s">
        <v>51</v>
      </c>
      <c r="G777">
        <f>VLOOKUP(E777,'23 Draft ADP'!$B$3:$D$323,3,)</f>
        <v>54</v>
      </c>
      <c r="H777">
        <v>3</v>
      </c>
      <c r="I777">
        <v>8.5</v>
      </c>
      <c r="J777">
        <v>16.600000000000001</v>
      </c>
      <c r="K777">
        <v>25.1</v>
      </c>
      <c r="L777" t="s">
        <v>33</v>
      </c>
      <c r="M777" t="s">
        <v>22</v>
      </c>
      <c r="N777" t="s">
        <v>33</v>
      </c>
      <c r="O777" t="s">
        <v>33</v>
      </c>
      <c r="P777" t="s">
        <v>33</v>
      </c>
      <c r="Q777" t="s">
        <v>33</v>
      </c>
      <c r="R777" t="s">
        <v>33</v>
      </c>
      <c r="S777" t="s">
        <v>33</v>
      </c>
      <c r="T777" t="s">
        <v>33</v>
      </c>
      <c r="U777" t="s">
        <v>33</v>
      </c>
      <c r="V777" t="s">
        <v>33</v>
      </c>
      <c r="W777" t="s">
        <v>33</v>
      </c>
      <c r="X777" t="s">
        <v>33</v>
      </c>
      <c r="Y777" t="s">
        <v>33</v>
      </c>
      <c r="Z777">
        <v>0</v>
      </c>
      <c r="AA777">
        <v>16.7</v>
      </c>
      <c r="AB777">
        <f t="shared" si="24"/>
        <v>50.2</v>
      </c>
      <c r="AC777">
        <v>50.2</v>
      </c>
      <c r="AD777">
        <v>8</v>
      </c>
      <c r="AE777">
        <f t="shared" si="25"/>
        <v>2</v>
      </c>
      <c r="AF777">
        <v>2</v>
      </c>
      <c r="AG777">
        <v>1</v>
      </c>
      <c r="AH777">
        <v>1</v>
      </c>
      <c r="AI777">
        <v>0</v>
      </c>
      <c r="AJ777">
        <v>0.11764705882352941</v>
      </c>
      <c r="AK777">
        <v>0.66666666666666663</v>
      </c>
      <c r="AL777">
        <v>0.33333333333333331</v>
      </c>
      <c r="AM777">
        <v>0.33333333333333331</v>
      </c>
      <c r="AN777">
        <v>0</v>
      </c>
    </row>
    <row r="778" spans="1:40" x14ac:dyDescent="0.25">
      <c r="A778">
        <v>2023</v>
      </c>
      <c r="B778" t="s">
        <v>99</v>
      </c>
      <c r="C778" t="str">
        <f>IF(COUNTIF('Rookies 22-25'!$B$2:$B$60,E778)&gt;0,"(R)","No")</f>
        <v>No</v>
      </c>
      <c r="D778">
        <v>112</v>
      </c>
      <c r="E778" t="s">
        <v>483</v>
      </c>
      <c r="F778" t="s">
        <v>32</v>
      </c>
      <c r="G778">
        <v>296</v>
      </c>
      <c r="H778">
        <v>15</v>
      </c>
      <c r="I778">
        <v>0</v>
      </c>
      <c r="J778">
        <v>5.7</v>
      </c>
      <c r="K778">
        <v>0</v>
      </c>
      <c r="L778">
        <v>0</v>
      </c>
      <c r="M778" t="s">
        <v>22</v>
      </c>
      <c r="N778">
        <v>1.6</v>
      </c>
      <c r="O778">
        <v>0</v>
      </c>
      <c r="P778">
        <v>0</v>
      </c>
      <c r="Q778" t="s">
        <v>33</v>
      </c>
      <c r="R778" t="s">
        <v>33</v>
      </c>
      <c r="S778">
        <v>0</v>
      </c>
      <c r="T778">
        <v>0</v>
      </c>
      <c r="U778">
        <v>3.2</v>
      </c>
      <c r="V778">
        <v>11.1</v>
      </c>
      <c r="W778">
        <v>0</v>
      </c>
      <c r="X778">
        <v>1.6</v>
      </c>
      <c r="Y778">
        <v>2.7</v>
      </c>
      <c r="Z778">
        <v>22.8</v>
      </c>
      <c r="AA778">
        <v>3.2</v>
      </c>
      <c r="AB778">
        <f t="shared" si="24"/>
        <v>25.900000000000002</v>
      </c>
      <c r="AC778">
        <v>48.7</v>
      </c>
      <c r="AD778">
        <v>20</v>
      </c>
      <c r="AE778">
        <f t="shared" si="25"/>
        <v>1</v>
      </c>
      <c r="AF778">
        <v>1</v>
      </c>
      <c r="AG778">
        <v>1</v>
      </c>
      <c r="AH778">
        <v>0</v>
      </c>
      <c r="AI778">
        <v>0</v>
      </c>
      <c r="AJ778">
        <v>0.11764705882352941</v>
      </c>
      <c r="AK778">
        <v>6.6666666666666666E-2</v>
      </c>
      <c r="AL778">
        <v>6.6666666666666666E-2</v>
      </c>
      <c r="AM778">
        <v>0</v>
      </c>
      <c r="AN778">
        <v>0</v>
      </c>
    </row>
    <row r="779" spans="1:40" x14ac:dyDescent="0.25">
      <c r="A779">
        <v>2023</v>
      </c>
      <c r="B779" t="s">
        <v>99</v>
      </c>
      <c r="C779" t="str">
        <f>IF(COUNTIF('Rookies 22-25'!$B$2:$B$60,E779)&gt;0,"(R)","No")</f>
        <v>No</v>
      </c>
      <c r="D779">
        <v>113</v>
      </c>
      <c r="E779" t="s">
        <v>484</v>
      </c>
      <c r="F779" t="s">
        <v>43</v>
      </c>
      <c r="G779">
        <f>VLOOKUP(E779,'23 Draft ADP'!$B$3:$D$323,3,)</f>
        <v>211</v>
      </c>
      <c r="H779">
        <v>16</v>
      </c>
      <c r="I779" t="s">
        <v>33</v>
      </c>
      <c r="J779">
        <v>3.3</v>
      </c>
      <c r="K779">
        <v>3.7</v>
      </c>
      <c r="L779">
        <v>3.2</v>
      </c>
      <c r="M779">
        <v>1.7</v>
      </c>
      <c r="N779">
        <v>0</v>
      </c>
      <c r="O779">
        <v>3.4</v>
      </c>
      <c r="P779">
        <v>3.9</v>
      </c>
      <c r="Q779">
        <v>5.2</v>
      </c>
      <c r="R779">
        <v>1.5</v>
      </c>
      <c r="S779">
        <v>9.1999999999999993</v>
      </c>
      <c r="T779">
        <v>7.8</v>
      </c>
      <c r="U779" t="s">
        <v>22</v>
      </c>
      <c r="V779">
        <v>5.6</v>
      </c>
      <c r="W779">
        <v>0</v>
      </c>
      <c r="X779">
        <v>0</v>
      </c>
      <c r="Y779">
        <v>0</v>
      </c>
      <c r="Z779">
        <v>0</v>
      </c>
      <c r="AA779">
        <v>3</v>
      </c>
      <c r="AB779">
        <f t="shared" si="24"/>
        <v>48.5</v>
      </c>
      <c r="AC779">
        <v>48.5</v>
      </c>
      <c r="AD779">
        <v>19</v>
      </c>
      <c r="AE779">
        <f t="shared" si="25"/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</row>
    <row r="780" spans="1:40" x14ac:dyDescent="0.25">
      <c r="A780">
        <v>2023</v>
      </c>
      <c r="B780" t="s">
        <v>99</v>
      </c>
      <c r="C780" t="str">
        <f>IF(COUNTIF('Rookies 22-25'!$B$2:$B$60,E780)&gt;0,"(R)","No")</f>
        <v>No</v>
      </c>
      <c r="D780">
        <v>114</v>
      </c>
      <c r="E780" t="s">
        <v>423</v>
      </c>
      <c r="F780" t="s">
        <v>78</v>
      </c>
      <c r="G780">
        <v>297</v>
      </c>
      <c r="H780">
        <v>16</v>
      </c>
      <c r="I780">
        <v>9.1</v>
      </c>
      <c r="J780">
        <v>1.4</v>
      </c>
      <c r="K780" t="s">
        <v>33</v>
      </c>
      <c r="L780">
        <v>2.1</v>
      </c>
      <c r="M780">
        <v>0</v>
      </c>
      <c r="N780">
        <v>0</v>
      </c>
      <c r="O780">
        <v>0</v>
      </c>
      <c r="P780">
        <v>0</v>
      </c>
      <c r="Q780" t="s">
        <v>22</v>
      </c>
      <c r="R780">
        <v>2.4</v>
      </c>
      <c r="S780">
        <v>0</v>
      </c>
      <c r="T780">
        <v>2.2999999999999998</v>
      </c>
      <c r="U780">
        <v>2.2000000000000002</v>
      </c>
      <c r="V780">
        <v>2.2000000000000002</v>
      </c>
      <c r="W780">
        <v>10.6</v>
      </c>
      <c r="X780">
        <v>0</v>
      </c>
      <c r="Y780">
        <v>14.9</v>
      </c>
      <c r="Z780">
        <v>0</v>
      </c>
      <c r="AA780">
        <v>3</v>
      </c>
      <c r="AB780">
        <f t="shared" si="24"/>
        <v>47.2</v>
      </c>
      <c r="AC780">
        <v>47.2</v>
      </c>
      <c r="AD780">
        <v>20</v>
      </c>
      <c r="AE780">
        <f t="shared" si="25"/>
        <v>2</v>
      </c>
      <c r="AF780">
        <v>0</v>
      </c>
      <c r="AG780">
        <v>0</v>
      </c>
      <c r="AH780">
        <v>0</v>
      </c>
      <c r="AI780">
        <v>0</v>
      </c>
      <c r="AJ780">
        <v>0.11764705882352941</v>
      </c>
      <c r="AK780">
        <v>0</v>
      </c>
      <c r="AL780">
        <v>0</v>
      </c>
      <c r="AM780">
        <v>0</v>
      </c>
      <c r="AN780">
        <v>0</v>
      </c>
    </row>
    <row r="781" spans="1:40" x14ac:dyDescent="0.25">
      <c r="A781">
        <v>2023</v>
      </c>
      <c r="B781" t="s">
        <v>99</v>
      </c>
      <c r="C781" t="str">
        <f>IF(COUNTIF('Rookies 22-25'!$B$2:$B$60,E781)&gt;0,"(R)","No")</f>
        <v>No</v>
      </c>
      <c r="D781">
        <v>115</v>
      </c>
      <c r="E781" t="s">
        <v>485</v>
      </c>
      <c r="F781" t="s">
        <v>69</v>
      </c>
      <c r="G781">
        <v>298</v>
      </c>
      <c r="H781">
        <v>5</v>
      </c>
      <c r="I781" t="s">
        <v>33</v>
      </c>
      <c r="J781" t="s">
        <v>33</v>
      </c>
      <c r="K781" t="s">
        <v>33</v>
      </c>
      <c r="L781" t="s">
        <v>33</v>
      </c>
      <c r="M781" t="s">
        <v>33</v>
      </c>
      <c r="N781" t="s">
        <v>22</v>
      </c>
      <c r="O781" t="s">
        <v>33</v>
      </c>
      <c r="P781" t="s">
        <v>33</v>
      </c>
      <c r="Q781" t="s">
        <v>33</v>
      </c>
      <c r="R781" t="s">
        <v>33</v>
      </c>
      <c r="S781" t="s">
        <v>33</v>
      </c>
      <c r="T781">
        <v>0</v>
      </c>
      <c r="U781" t="s">
        <v>33</v>
      </c>
      <c r="V781" t="s">
        <v>33</v>
      </c>
      <c r="W781">
        <v>1.7</v>
      </c>
      <c r="X781">
        <v>9.1</v>
      </c>
      <c r="Y781">
        <v>22.5</v>
      </c>
      <c r="Z781">
        <v>12.6</v>
      </c>
      <c r="AA781">
        <v>9.1999999999999993</v>
      </c>
      <c r="AB781">
        <f t="shared" si="24"/>
        <v>33.299999999999997</v>
      </c>
      <c r="AC781">
        <v>45.9</v>
      </c>
      <c r="AD781">
        <v>20</v>
      </c>
      <c r="AE781">
        <f t="shared" si="25"/>
        <v>1</v>
      </c>
      <c r="AF781">
        <v>1</v>
      </c>
      <c r="AG781">
        <v>1</v>
      </c>
      <c r="AH781">
        <v>0</v>
      </c>
      <c r="AI781">
        <v>0</v>
      </c>
      <c r="AJ781">
        <v>0.11764705882352941</v>
      </c>
      <c r="AK781">
        <v>0.2</v>
      </c>
      <c r="AL781">
        <v>0.2</v>
      </c>
      <c r="AM781">
        <v>0</v>
      </c>
      <c r="AN781">
        <v>0</v>
      </c>
    </row>
    <row r="782" spans="1:40" x14ac:dyDescent="0.25">
      <c r="A782">
        <v>2023</v>
      </c>
      <c r="B782" t="s">
        <v>99</v>
      </c>
      <c r="C782" t="str">
        <f>IF(COUNTIF('Rookies 22-25'!$B$2:$B$60,E782)&gt;0,"(R)","No")</f>
        <v>No</v>
      </c>
      <c r="D782">
        <v>116</v>
      </c>
      <c r="E782" t="s">
        <v>486</v>
      </c>
      <c r="F782" t="s">
        <v>51</v>
      </c>
      <c r="G782">
        <v>299</v>
      </c>
      <c r="H782">
        <v>8</v>
      </c>
      <c r="I782" t="s">
        <v>33</v>
      </c>
      <c r="J782" t="s">
        <v>33</v>
      </c>
      <c r="K782" t="s">
        <v>33</v>
      </c>
      <c r="L782" t="s">
        <v>33</v>
      </c>
      <c r="M782" t="s">
        <v>22</v>
      </c>
      <c r="N782" t="s">
        <v>33</v>
      </c>
      <c r="O782" t="s">
        <v>33</v>
      </c>
      <c r="P782" t="s">
        <v>33</v>
      </c>
      <c r="Q782" t="s">
        <v>33</v>
      </c>
      <c r="R782" t="s">
        <v>33</v>
      </c>
      <c r="S782">
        <v>2.2000000000000002</v>
      </c>
      <c r="T782">
        <v>2.7</v>
      </c>
      <c r="U782">
        <v>3.3</v>
      </c>
      <c r="V782">
        <v>1.9</v>
      </c>
      <c r="W782">
        <v>8.3000000000000007</v>
      </c>
      <c r="X782">
        <v>5.0999999999999996</v>
      </c>
      <c r="Y782">
        <v>16.8</v>
      </c>
      <c r="Z782">
        <v>4.9000000000000004</v>
      </c>
      <c r="AA782">
        <v>5.7</v>
      </c>
      <c r="AB782">
        <f t="shared" si="24"/>
        <v>40.300000000000004</v>
      </c>
      <c r="AC782">
        <v>45.2</v>
      </c>
      <c r="AD782">
        <v>20</v>
      </c>
      <c r="AE782">
        <f t="shared" si="25"/>
        <v>1</v>
      </c>
      <c r="AF782">
        <v>1</v>
      </c>
      <c r="AG782">
        <v>0</v>
      </c>
      <c r="AH782">
        <v>0</v>
      </c>
      <c r="AI782">
        <v>0</v>
      </c>
      <c r="AJ782">
        <v>5.8823529411764705E-2</v>
      </c>
      <c r="AK782">
        <v>0.125</v>
      </c>
      <c r="AL782">
        <v>0</v>
      </c>
      <c r="AM782">
        <v>0</v>
      </c>
      <c r="AN782">
        <v>0</v>
      </c>
    </row>
    <row r="783" spans="1:40" x14ac:dyDescent="0.25">
      <c r="A783">
        <v>2023</v>
      </c>
      <c r="B783" t="s">
        <v>99</v>
      </c>
      <c r="C783" t="str">
        <f>IF(COUNTIF('Rookies 22-25'!$B$2:$B$60,E783)&gt;0,"(R)","No")</f>
        <v>(R)</v>
      </c>
      <c r="D783">
        <v>117</v>
      </c>
      <c r="E783" t="s">
        <v>197</v>
      </c>
      <c r="F783" t="s">
        <v>32</v>
      </c>
      <c r="G783">
        <f>VLOOKUP(E783,'23 Draft ADP'!$B$3:$D$323,3,)</f>
        <v>253</v>
      </c>
      <c r="H783">
        <v>14</v>
      </c>
      <c r="I783">
        <v>0</v>
      </c>
      <c r="J783">
        <v>0</v>
      </c>
      <c r="K783">
        <v>0</v>
      </c>
      <c r="L783">
        <v>1.5</v>
      </c>
      <c r="M783" t="s">
        <v>22</v>
      </c>
      <c r="N783" t="s">
        <v>33</v>
      </c>
      <c r="O783" t="s">
        <v>33</v>
      </c>
      <c r="P783" t="s">
        <v>33</v>
      </c>
      <c r="Q783">
        <v>1.3</v>
      </c>
      <c r="R783">
        <v>0</v>
      </c>
      <c r="S783">
        <v>2</v>
      </c>
      <c r="T783">
        <v>9.5</v>
      </c>
      <c r="U783">
        <v>4</v>
      </c>
      <c r="V783">
        <v>4.3</v>
      </c>
      <c r="W783">
        <v>9.1999999999999993</v>
      </c>
      <c r="X783">
        <v>3.3</v>
      </c>
      <c r="Y783">
        <v>1.8</v>
      </c>
      <c r="Z783">
        <v>7.3</v>
      </c>
      <c r="AA783">
        <v>3.2</v>
      </c>
      <c r="AB783">
        <f t="shared" si="24"/>
        <v>36.900000000000006</v>
      </c>
      <c r="AC783">
        <v>44.2</v>
      </c>
      <c r="AD783">
        <v>20</v>
      </c>
      <c r="AE783">
        <f t="shared" si="25"/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</row>
    <row r="784" spans="1:40" x14ac:dyDescent="0.25">
      <c r="A784">
        <v>2023</v>
      </c>
      <c r="B784" t="s">
        <v>99</v>
      </c>
      <c r="C784" t="str">
        <f>IF(COUNTIF('Rookies 22-25'!$B$2:$B$60,E784)&gt;0,"(R)","No")</f>
        <v>No</v>
      </c>
      <c r="D784">
        <v>118</v>
      </c>
      <c r="E784" t="s">
        <v>157</v>
      </c>
      <c r="F784" t="s">
        <v>24</v>
      </c>
      <c r="G784">
        <f>VLOOKUP(E784,'23 Draft ADP'!$B$3:$D$323,3,)</f>
        <v>251</v>
      </c>
      <c r="H784">
        <v>13</v>
      </c>
      <c r="I784">
        <v>6.1</v>
      </c>
      <c r="J784">
        <v>9</v>
      </c>
      <c r="K784">
        <v>3.3</v>
      </c>
      <c r="L784">
        <v>0</v>
      </c>
      <c r="M784">
        <v>4.9000000000000004</v>
      </c>
      <c r="N784">
        <v>7.1</v>
      </c>
      <c r="O784">
        <v>0</v>
      </c>
      <c r="P784">
        <v>4.7</v>
      </c>
      <c r="Q784">
        <v>6.6</v>
      </c>
      <c r="R784" t="s">
        <v>33</v>
      </c>
      <c r="S784" t="s">
        <v>22</v>
      </c>
      <c r="T784" t="s">
        <v>33</v>
      </c>
      <c r="U784" t="s">
        <v>33</v>
      </c>
      <c r="V784">
        <v>1.4</v>
      </c>
      <c r="W784" t="s">
        <v>33</v>
      </c>
      <c r="X784">
        <v>0</v>
      </c>
      <c r="Y784">
        <v>0</v>
      </c>
      <c r="Z784">
        <v>0</v>
      </c>
      <c r="AA784">
        <v>3.3</v>
      </c>
      <c r="AB784">
        <f t="shared" si="24"/>
        <v>43.1</v>
      </c>
      <c r="AC784">
        <v>43.1</v>
      </c>
      <c r="AD784">
        <v>20</v>
      </c>
      <c r="AE784">
        <f t="shared" si="25"/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</row>
    <row r="785" spans="1:40" x14ac:dyDescent="0.25">
      <c r="A785">
        <v>2023</v>
      </c>
      <c r="B785" t="s">
        <v>99</v>
      </c>
      <c r="C785" t="str">
        <f>IF(COUNTIF('Rookies 22-25'!$B$2:$B$60,E785)&gt;0,"(R)","No")</f>
        <v>No</v>
      </c>
      <c r="D785">
        <v>119</v>
      </c>
      <c r="E785" t="s">
        <v>189</v>
      </c>
      <c r="F785" t="s">
        <v>24</v>
      </c>
      <c r="G785">
        <f>VLOOKUP(E785,'23 Draft ADP'!$B$3:$D$323,3,)</f>
        <v>163</v>
      </c>
      <c r="H785">
        <v>17</v>
      </c>
      <c r="I785">
        <v>6.4</v>
      </c>
      <c r="J785">
        <v>1.9</v>
      </c>
      <c r="K785">
        <v>6</v>
      </c>
      <c r="L785">
        <v>4.9000000000000004</v>
      </c>
      <c r="M785">
        <v>0</v>
      </c>
      <c r="N785">
        <v>0</v>
      </c>
      <c r="O785">
        <v>1.5</v>
      </c>
      <c r="P785">
        <v>5.4</v>
      </c>
      <c r="Q785">
        <v>2.4</v>
      </c>
      <c r="R785">
        <v>0</v>
      </c>
      <c r="S785" t="s">
        <v>22</v>
      </c>
      <c r="T785">
        <v>2.2999999999999998</v>
      </c>
      <c r="U785">
        <v>0</v>
      </c>
      <c r="V785">
        <v>0</v>
      </c>
      <c r="W785">
        <v>0</v>
      </c>
      <c r="X785">
        <v>2.2999999999999998</v>
      </c>
      <c r="Y785">
        <v>4.9000000000000004</v>
      </c>
      <c r="Z785">
        <v>3.3</v>
      </c>
      <c r="AA785">
        <v>2.4</v>
      </c>
      <c r="AB785">
        <f t="shared" si="24"/>
        <v>38</v>
      </c>
      <c r="AC785">
        <v>41.3</v>
      </c>
      <c r="AD785">
        <v>14</v>
      </c>
      <c r="AE785">
        <f t="shared" si="25"/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</row>
    <row r="786" spans="1:40" x14ac:dyDescent="0.25">
      <c r="A786">
        <v>2023</v>
      </c>
      <c r="B786" t="s">
        <v>99</v>
      </c>
      <c r="C786" t="str">
        <f>IF(COUNTIF('Rookies 22-25'!$B$2:$B$60,E786)&gt;0,"(R)","No")</f>
        <v>No</v>
      </c>
      <c r="D786">
        <v>120</v>
      </c>
      <c r="E786" t="s">
        <v>487</v>
      </c>
      <c r="F786" t="s">
        <v>67</v>
      </c>
      <c r="G786">
        <v>296</v>
      </c>
      <c r="H786">
        <v>11</v>
      </c>
      <c r="I786">
        <v>-0.2</v>
      </c>
      <c r="J786">
        <v>1.5</v>
      </c>
      <c r="K786">
        <v>6.9</v>
      </c>
      <c r="L786" t="s">
        <v>33</v>
      </c>
      <c r="M786">
        <v>0.1</v>
      </c>
      <c r="N786">
        <v>0</v>
      </c>
      <c r="O786">
        <v>7.5</v>
      </c>
      <c r="P786">
        <v>0</v>
      </c>
      <c r="Q786" t="s">
        <v>22</v>
      </c>
      <c r="R786">
        <v>0</v>
      </c>
      <c r="S786" t="s">
        <v>33</v>
      </c>
      <c r="T786" t="s">
        <v>33</v>
      </c>
      <c r="U786" t="s">
        <v>33</v>
      </c>
      <c r="V786" t="s">
        <v>33</v>
      </c>
      <c r="W786">
        <v>15</v>
      </c>
      <c r="X786">
        <v>2.2000000000000002</v>
      </c>
      <c r="Y786">
        <v>7.3</v>
      </c>
      <c r="Z786">
        <v>0</v>
      </c>
      <c r="AA786">
        <v>3.7</v>
      </c>
      <c r="AB786">
        <f t="shared" si="24"/>
        <v>40.299999999999997</v>
      </c>
      <c r="AC786">
        <v>40.299999999999997</v>
      </c>
      <c r="AD786">
        <v>20</v>
      </c>
      <c r="AE786">
        <f t="shared" si="25"/>
        <v>1</v>
      </c>
      <c r="AF786">
        <v>0</v>
      </c>
      <c r="AG786">
        <v>0</v>
      </c>
      <c r="AH786">
        <v>0</v>
      </c>
      <c r="AI786">
        <v>0</v>
      </c>
      <c r="AJ786">
        <v>5.8823529411764705E-2</v>
      </c>
      <c r="AK786">
        <v>0</v>
      </c>
      <c r="AL786">
        <v>0</v>
      </c>
      <c r="AM786">
        <v>0</v>
      </c>
      <c r="AN786">
        <v>0</v>
      </c>
    </row>
    <row r="787" spans="1:40" x14ac:dyDescent="0.25">
      <c r="A787">
        <v>2023</v>
      </c>
      <c r="B787" t="s">
        <v>220</v>
      </c>
      <c r="C787" t="str">
        <f>IF(COUNTIF('Rookies 22-25'!$B$2:$B$60,E787)&gt;0,"(R)","No")</f>
        <v>No</v>
      </c>
      <c r="D787">
        <v>1</v>
      </c>
      <c r="E787" t="s">
        <v>221</v>
      </c>
      <c r="F787" t="s">
        <v>47</v>
      </c>
      <c r="G787">
        <f>VLOOKUP(E787,'23 Draft ADP'!$B$3:$D$323,3,)</f>
        <v>2</v>
      </c>
      <c r="H787">
        <v>16</v>
      </c>
      <c r="I787">
        <v>25.9</v>
      </c>
      <c r="J787">
        <v>22.5</v>
      </c>
      <c r="K787">
        <v>22.9</v>
      </c>
      <c r="L787">
        <v>48.7</v>
      </c>
      <c r="M787">
        <v>13.8</v>
      </c>
      <c r="N787">
        <v>14.2</v>
      </c>
      <c r="O787">
        <v>22.6</v>
      </c>
      <c r="P787">
        <v>29.8</v>
      </c>
      <c r="Q787" t="s">
        <v>22</v>
      </c>
      <c r="R787">
        <v>20.2</v>
      </c>
      <c r="S787">
        <v>21.3</v>
      </c>
      <c r="T787">
        <v>30.9</v>
      </c>
      <c r="U787">
        <v>22.3</v>
      </c>
      <c r="V787">
        <v>16.3</v>
      </c>
      <c r="W787">
        <v>41.7</v>
      </c>
      <c r="X787">
        <v>25.1</v>
      </c>
      <c r="Y787">
        <v>13.1</v>
      </c>
      <c r="Z787">
        <v>0</v>
      </c>
      <c r="AA787">
        <v>24.5</v>
      </c>
      <c r="AB787">
        <f t="shared" si="24"/>
        <v>391.3</v>
      </c>
      <c r="AC787">
        <v>391.3</v>
      </c>
      <c r="AD787">
        <v>1</v>
      </c>
      <c r="AE787">
        <f t="shared" si="25"/>
        <v>16</v>
      </c>
      <c r="AF787">
        <v>13</v>
      </c>
      <c r="AG787">
        <v>12</v>
      </c>
      <c r="AH787">
        <v>6</v>
      </c>
      <c r="AI787">
        <v>3</v>
      </c>
      <c r="AJ787">
        <v>0.94117647058823528</v>
      </c>
      <c r="AK787">
        <v>0.8125</v>
      </c>
      <c r="AL787">
        <v>0.75</v>
      </c>
      <c r="AM787">
        <v>0.375</v>
      </c>
      <c r="AN787">
        <v>0.1875</v>
      </c>
    </row>
    <row r="788" spans="1:40" x14ac:dyDescent="0.25">
      <c r="A788">
        <v>2023</v>
      </c>
      <c r="B788" t="s">
        <v>220</v>
      </c>
      <c r="C788" t="str">
        <f>IF(COUNTIF('Rookies 22-25'!$B$2:$B$60,E788)&gt;0,"(R)","No")</f>
        <v>No</v>
      </c>
      <c r="D788">
        <v>2</v>
      </c>
      <c r="E788" t="s">
        <v>239</v>
      </c>
      <c r="F788" t="s">
        <v>82</v>
      </c>
      <c r="G788">
        <f>VLOOKUP(E788,'23 Draft ADP'!$B$3:$D$323,3,)</f>
        <v>46</v>
      </c>
      <c r="H788">
        <v>17</v>
      </c>
      <c r="I788">
        <v>15.7</v>
      </c>
      <c r="J788">
        <v>0.9</v>
      </c>
      <c r="K788">
        <v>3.7</v>
      </c>
      <c r="L788">
        <v>9.9</v>
      </c>
      <c r="M788">
        <v>28.4</v>
      </c>
      <c r="N788">
        <v>20.3</v>
      </c>
      <c r="O788" t="s">
        <v>22</v>
      </c>
      <c r="P788">
        <v>21.3</v>
      </c>
      <c r="Q788">
        <v>10</v>
      </c>
      <c r="R788">
        <v>10.5</v>
      </c>
      <c r="S788">
        <v>18.3</v>
      </c>
      <c r="T788">
        <v>11.9</v>
      </c>
      <c r="U788">
        <v>10.5</v>
      </c>
      <c r="V788">
        <v>26.6</v>
      </c>
      <c r="W788">
        <v>2.8</v>
      </c>
      <c r="X788">
        <v>43.1</v>
      </c>
      <c r="Y788">
        <v>27.6</v>
      </c>
      <c r="Z788">
        <v>29</v>
      </c>
      <c r="AA788">
        <v>17.100000000000001</v>
      </c>
      <c r="AB788">
        <f t="shared" si="24"/>
        <v>261.5</v>
      </c>
      <c r="AC788">
        <v>290.5</v>
      </c>
      <c r="AD788">
        <v>7</v>
      </c>
      <c r="AE788">
        <f t="shared" si="25"/>
        <v>11</v>
      </c>
      <c r="AF788">
        <v>9</v>
      </c>
      <c r="AG788">
        <v>7</v>
      </c>
      <c r="AH788">
        <v>5</v>
      </c>
      <c r="AI788">
        <v>1</v>
      </c>
      <c r="AJ788">
        <v>0.70588235294117652</v>
      </c>
      <c r="AK788">
        <v>0.52941176470588236</v>
      </c>
      <c r="AL788">
        <v>0.41176470588235292</v>
      </c>
      <c r="AM788">
        <v>0.29411764705882354</v>
      </c>
      <c r="AN788">
        <v>5.8823529411764705E-2</v>
      </c>
    </row>
    <row r="789" spans="1:40" x14ac:dyDescent="0.25">
      <c r="A789">
        <v>2023</v>
      </c>
      <c r="B789" t="s">
        <v>220</v>
      </c>
      <c r="C789" t="str">
        <f>IF(COUNTIF('Rookies 22-25'!$B$2:$B$60,E789)&gt;0,"(R)","No")</f>
        <v>No</v>
      </c>
      <c r="D789">
        <v>3</v>
      </c>
      <c r="E789" t="s">
        <v>230</v>
      </c>
      <c r="F789" t="s">
        <v>67</v>
      </c>
      <c r="G789">
        <f>VLOOKUP(E789,'23 Draft ADP'!$B$3:$D$323,3,)</f>
        <v>32</v>
      </c>
      <c r="H789">
        <v>17</v>
      </c>
      <c r="I789">
        <v>21.4</v>
      </c>
      <c r="J789">
        <v>6.2</v>
      </c>
      <c r="K789">
        <v>17.8</v>
      </c>
      <c r="L789">
        <v>10.199999999999999</v>
      </c>
      <c r="M789">
        <v>36.4</v>
      </c>
      <c r="N789">
        <v>23.3</v>
      </c>
      <c r="O789">
        <v>22.7</v>
      </c>
      <c r="P789">
        <v>25.9</v>
      </c>
      <c r="Q789" t="s">
        <v>22</v>
      </c>
      <c r="R789">
        <v>6.4</v>
      </c>
      <c r="S789">
        <v>8.9</v>
      </c>
      <c r="T789">
        <v>12.6</v>
      </c>
      <c r="U789">
        <v>17.899999999999999</v>
      </c>
      <c r="V789">
        <v>17.2</v>
      </c>
      <c r="W789">
        <v>9.9</v>
      </c>
      <c r="X789">
        <v>6.1</v>
      </c>
      <c r="Y789">
        <v>25.8</v>
      </c>
      <c r="Z789">
        <v>13.7</v>
      </c>
      <c r="AA789">
        <v>16.600000000000001</v>
      </c>
      <c r="AB789">
        <f t="shared" si="24"/>
        <v>268.7</v>
      </c>
      <c r="AC789">
        <v>282.39999999999998</v>
      </c>
      <c r="AD789">
        <v>7</v>
      </c>
      <c r="AE789">
        <f t="shared" si="25"/>
        <v>11</v>
      </c>
      <c r="AF789">
        <v>9</v>
      </c>
      <c r="AG789">
        <v>6</v>
      </c>
      <c r="AH789">
        <v>3</v>
      </c>
      <c r="AI789">
        <v>1</v>
      </c>
      <c r="AJ789">
        <v>0.70588235294117652</v>
      </c>
      <c r="AK789">
        <v>0.52941176470588236</v>
      </c>
      <c r="AL789">
        <v>0.35294117647058826</v>
      </c>
      <c r="AM789">
        <v>0.17647058823529413</v>
      </c>
      <c r="AN789">
        <v>5.8823529411764705E-2</v>
      </c>
    </row>
    <row r="790" spans="1:40" x14ac:dyDescent="0.25">
      <c r="A790">
        <v>2023</v>
      </c>
      <c r="B790" t="s">
        <v>220</v>
      </c>
      <c r="C790" t="str">
        <f>IF(COUNTIF('Rookies 22-25'!$B$2:$B$60,E790)&gt;0,"(R)","No")</f>
        <v>No</v>
      </c>
      <c r="D790">
        <v>4</v>
      </c>
      <c r="E790" t="s">
        <v>252</v>
      </c>
      <c r="F790" t="s">
        <v>65</v>
      </c>
      <c r="G790">
        <f>VLOOKUP(E790,'23 Draft ADP'!$B$3:$D$323,3,)</f>
        <v>65</v>
      </c>
      <c r="H790">
        <v>17</v>
      </c>
      <c r="I790">
        <v>6.9</v>
      </c>
      <c r="J790">
        <v>21.3</v>
      </c>
      <c r="K790">
        <v>7.2</v>
      </c>
      <c r="L790">
        <v>10.8</v>
      </c>
      <c r="M790" t="s">
        <v>22</v>
      </c>
      <c r="N790">
        <v>6.8</v>
      </c>
      <c r="O790">
        <v>15.9</v>
      </c>
      <c r="P790">
        <v>17.899999999999999</v>
      </c>
      <c r="Q790">
        <v>27.9</v>
      </c>
      <c r="R790">
        <v>17.8</v>
      </c>
      <c r="S790">
        <v>17.8</v>
      </c>
      <c r="T790">
        <v>13</v>
      </c>
      <c r="U790">
        <v>19.600000000000001</v>
      </c>
      <c r="V790">
        <v>21.5</v>
      </c>
      <c r="W790">
        <v>21.9</v>
      </c>
      <c r="X790">
        <v>19.7</v>
      </c>
      <c r="Y790">
        <v>8.6</v>
      </c>
      <c r="Z790">
        <v>13.3</v>
      </c>
      <c r="AA790">
        <v>15.8</v>
      </c>
      <c r="AB790">
        <f t="shared" si="24"/>
        <v>254.59999999999997</v>
      </c>
      <c r="AC790">
        <v>267.89999999999998</v>
      </c>
      <c r="AD790">
        <v>3</v>
      </c>
      <c r="AE790">
        <f t="shared" si="25"/>
        <v>12</v>
      </c>
      <c r="AF790">
        <v>10</v>
      </c>
      <c r="AG790">
        <v>4</v>
      </c>
      <c r="AH790">
        <v>1</v>
      </c>
      <c r="AI790">
        <v>0</v>
      </c>
      <c r="AJ790">
        <v>0.76470588235294112</v>
      </c>
      <c r="AK790">
        <v>0.58823529411764708</v>
      </c>
      <c r="AL790">
        <v>0.23529411764705882</v>
      </c>
      <c r="AM790">
        <v>5.8823529411764705E-2</v>
      </c>
      <c r="AN790">
        <v>0</v>
      </c>
    </row>
    <row r="791" spans="1:40" x14ac:dyDescent="0.25">
      <c r="A791">
        <v>2023</v>
      </c>
      <c r="B791" t="s">
        <v>220</v>
      </c>
      <c r="C791" t="str">
        <f>IF(COUNTIF('Rookies 22-25'!$B$2:$B$60,E791)&gt;0,"(R)","No")</f>
        <v>No</v>
      </c>
      <c r="D791">
        <v>5</v>
      </c>
      <c r="E791" t="s">
        <v>304</v>
      </c>
      <c r="F791" t="s">
        <v>84</v>
      </c>
      <c r="G791">
        <f>VLOOKUP(E791,'23 Draft ADP'!$B$3:$D$323,3,)</f>
        <v>96</v>
      </c>
      <c r="H791">
        <v>15</v>
      </c>
      <c r="I791">
        <v>13</v>
      </c>
      <c r="J791">
        <v>25.7</v>
      </c>
      <c r="K791">
        <v>45.2</v>
      </c>
      <c r="L791">
        <v>5.5</v>
      </c>
      <c r="M791">
        <v>15.8</v>
      </c>
      <c r="N791">
        <v>34.200000000000003</v>
      </c>
      <c r="O791">
        <v>6.1</v>
      </c>
      <c r="P791">
        <v>10.6</v>
      </c>
      <c r="Q791">
        <v>14.5</v>
      </c>
      <c r="R791" t="s">
        <v>22</v>
      </c>
      <c r="S791">
        <v>10.3</v>
      </c>
      <c r="T791">
        <v>21.4</v>
      </c>
      <c r="U791">
        <v>12.1</v>
      </c>
      <c r="V791">
        <v>23</v>
      </c>
      <c r="W791">
        <v>18.3</v>
      </c>
      <c r="X791">
        <v>12</v>
      </c>
      <c r="Y791" t="s">
        <v>33</v>
      </c>
      <c r="Z791">
        <v>0</v>
      </c>
      <c r="AA791">
        <v>17.8</v>
      </c>
      <c r="AB791">
        <f t="shared" si="24"/>
        <v>267.7</v>
      </c>
      <c r="AC791">
        <v>267.7</v>
      </c>
      <c r="AD791">
        <v>4</v>
      </c>
      <c r="AE791">
        <f t="shared" si="25"/>
        <v>13</v>
      </c>
      <c r="AF791">
        <v>7</v>
      </c>
      <c r="AG791">
        <v>5</v>
      </c>
      <c r="AH791">
        <v>3</v>
      </c>
      <c r="AI791">
        <v>2</v>
      </c>
      <c r="AJ791">
        <v>0.76470588235294112</v>
      </c>
      <c r="AK791">
        <v>0.46666666666666667</v>
      </c>
      <c r="AL791">
        <v>0.33333333333333331</v>
      </c>
      <c r="AM791">
        <v>0.2</v>
      </c>
      <c r="AN791">
        <v>0.13333333333333333</v>
      </c>
    </row>
    <row r="792" spans="1:40" x14ac:dyDescent="0.25">
      <c r="A792">
        <v>2023</v>
      </c>
      <c r="B792" t="s">
        <v>220</v>
      </c>
      <c r="C792" t="str">
        <f>IF(COUNTIF('Rookies 22-25'!$B$2:$B$60,E792)&gt;0,"(R)","No")</f>
        <v>No</v>
      </c>
      <c r="D792">
        <v>6</v>
      </c>
      <c r="E792" t="s">
        <v>389</v>
      </c>
      <c r="F792" t="s">
        <v>89</v>
      </c>
      <c r="G792">
        <f>VLOOKUP(E792,'23 Draft ADP'!$B$3:$D$323,3,)</f>
        <v>34</v>
      </c>
      <c r="H792">
        <v>17</v>
      </c>
      <c r="I792">
        <v>10.3</v>
      </c>
      <c r="J792">
        <v>13.5</v>
      </c>
      <c r="K792">
        <v>14</v>
      </c>
      <c r="L792">
        <v>8.6</v>
      </c>
      <c r="M792">
        <v>13.4</v>
      </c>
      <c r="N792">
        <v>9.1999999999999993</v>
      </c>
      <c r="O792" t="s">
        <v>22</v>
      </c>
      <c r="P792">
        <v>20</v>
      </c>
      <c r="Q792">
        <v>17.8</v>
      </c>
      <c r="R792">
        <v>12.5</v>
      </c>
      <c r="S792">
        <v>21</v>
      </c>
      <c r="T792">
        <v>8</v>
      </c>
      <c r="U792">
        <v>29.7</v>
      </c>
      <c r="V792">
        <v>21.5</v>
      </c>
      <c r="W792">
        <v>15.1</v>
      </c>
      <c r="X792">
        <v>9</v>
      </c>
      <c r="Y792">
        <v>18.7</v>
      </c>
      <c r="Z792">
        <v>24.7</v>
      </c>
      <c r="AA792">
        <v>15.7</v>
      </c>
      <c r="AB792">
        <f t="shared" si="24"/>
        <v>242.3</v>
      </c>
      <c r="AC792">
        <v>267</v>
      </c>
      <c r="AD792">
        <v>7</v>
      </c>
      <c r="AE792">
        <f t="shared" si="25"/>
        <v>12</v>
      </c>
      <c r="AF792">
        <v>8</v>
      </c>
      <c r="AG792">
        <v>4</v>
      </c>
      <c r="AH792">
        <v>1</v>
      </c>
      <c r="AI792">
        <v>0</v>
      </c>
      <c r="AJ792">
        <v>0.76470588235294112</v>
      </c>
      <c r="AK792">
        <v>0.47058823529411764</v>
      </c>
      <c r="AL792">
        <v>0.23529411764705882</v>
      </c>
      <c r="AM792">
        <v>5.8823529411764705E-2</v>
      </c>
      <c r="AN792">
        <v>0</v>
      </c>
    </row>
    <row r="793" spans="1:40" x14ac:dyDescent="0.25">
      <c r="A793">
        <v>2023</v>
      </c>
      <c r="B793" t="s">
        <v>220</v>
      </c>
      <c r="C793" t="str">
        <f>IF(COUNTIF('Rookies 22-25'!$B$2:$B$60,E793)&gt;0,"(R)","No")</f>
        <v>No</v>
      </c>
      <c r="D793">
        <v>7</v>
      </c>
      <c r="E793" t="s">
        <v>229</v>
      </c>
      <c r="F793" t="s">
        <v>55</v>
      </c>
      <c r="G793">
        <f>VLOOKUP(E793,'23 Draft ADP'!$B$3:$D$323,3,)</f>
        <v>174</v>
      </c>
      <c r="H793">
        <v>12</v>
      </c>
      <c r="I793">
        <v>17.399999999999999</v>
      </c>
      <c r="J793">
        <v>28</v>
      </c>
      <c r="K793">
        <v>8.5</v>
      </c>
      <c r="L793">
        <v>27.7</v>
      </c>
      <c r="M793">
        <v>7.7</v>
      </c>
      <c r="N793">
        <v>21.8</v>
      </c>
      <c r="O793" t="s">
        <v>33</v>
      </c>
      <c r="P793" t="s">
        <v>33</v>
      </c>
      <c r="Q793" t="s">
        <v>33</v>
      </c>
      <c r="R793" t="s">
        <v>22</v>
      </c>
      <c r="S793" t="s">
        <v>33</v>
      </c>
      <c r="T793">
        <v>38.4</v>
      </c>
      <c r="U793">
        <v>20.2</v>
      </c>
      <c r="V793">
        <v>14.3</v>
      </c>
      <c r="W793">
        <v>24.5</v>
      </c>
      <c r="X793">
        <v>16.399999999999999</v>
      </c>
      <c r="Y793">
        <v>30.1</v>
      </c>
      <c r="Z793">
        <v>0</v>
      </c>
      <c r="AA793">
        <v>21.3</v>
      </c>
      <c r="AB793">
        <f t="shared" si="24"/>
        <v>255</v>
      </c>
      <c r="AC793">
        <v>255</v>
      </c>
      <c r="AD793">
        <v>14</v>
      </c>
      <c r="AE793">
        <f t="shared" si="25"/>
        <v>10</v>
      </c>
      <c r="AF793">
        <v>9</v>
      </c>
      <c r="AG793">
        <v>7</v>
      </c>
      <c r="AH793">
        <v>4</v>
      </c>
      <c r="AI793">
        <v>2</v>
      </c>
      <c r="AJ793">
        <v>0.58823529411764708</v>
      </c>
      <c r="AK793">
        <v>0.75</v>
      </c>
      <c r="AL793">
        <v>0.58333333333333337</v>
      </c>
      <c r="AM793">
        <v>0.33333333333333331</v>
      </c>
      <c r="AN793">
        <v>0.16666666666666666</v>
      </c>
    </row>
    <row r="794" spans="1:40" x14ac:dyDescent="0.25">
      <c r="A794">
        <v>2023</v>
      </c>
      <c r="B794" t="s">
        <v>220</v>
      </c>
      <c r="C794" t="str">
        <f>IF(COUNTIF('Rookies 22-25'!$B$2:$B$60,E794)&gt;0,"(R)","No")</f>
        <v>No</v>
      </c>
      <c r="D794">
        <v>8</v>
      </c>
      <c r="E794" t="s">
        <v>228</v>
      </c>
      <c r="F794" t="s">
        <v>63</v>
      </c>
      <c r="G794">
        <f>VLOOKUP(E794,'23 Draft ADP'!$B$3:$D$323,3,)</f>
        <v>20</v>
      </c>
      <c r="H794">
        <v>17</v>
      </c>
      <c r="I794">
        <v>13.9</v>
      </c>
      <c r="J794">
        <v>18.5</v>
      </c>
      <c r="K794">
        <v>2</v>
      </c>
      <c r="L794">
        <v>24.4</v>
      </c>
      <c r="M794">
        <v>9.1999999999999993</v>
      </c>
      <c r="N794">
        <v>19.3</v>
      </c>
      <c r="O794" t="s">
        <v>22</v>
      </c>
      <c r="P794">
        <v>16.2</v>
      </c>
      <c r="Q794">
        <v>19.2</v>
      </c>
      <c r="R794">
        <v>3</v>
      </c>
      <c r="S794">
        <v>5.4</v>
      </c>
      <c r="T794">
        <v>20.6</v>
      </c>
      <c r="U794">
        <v>25</v>
      </c>
      <c r="V794">
        <v>18.100000000000001</v>
      </c>
      <c r="W794">
        <v>5</v>
      </c>
      <c r="X794">
        <v>21.4</v>
      </c>
      <c r="Y794">
        <v>4.2</v>
      </c>
      <c r="Z794">
        <v>21.3</v>
      </c>
      <c r="AA794">
        <v>14.5</v>
      </c>
      <c r="AB794">
        <f t="shared" si="24"/>
        <v>225.39999999999998</v>
      </c>
      <c r="AC794">
        <v>246.7</v>
      </c>
      <c r="AD794">
        <v>5</v>
      </c>
      <c r="AE794">
        <f t="shared" si="25"/>
        <v>10</v>
      </c>
      <c r="AF794">
        <v>10</v>
      </c>
      <c r="AG794">
        <v>5</v>
      </c>
      <c r="AH794">
        <v>0</v>
      </c>
      <c r="AI794">
        <v>0</v>
      </c>
      <c r="AJ794">
        <v>0.6470588235294118</v>
      </c>
      <c r="AK794">
        <v>0.58823529411764708</v>
      </c>
      <c r="AL794">
        <v>0.29411764705882354</v>
      </c>
      <c r="AM794">
        <v>0</v>
      </c>
      <c r="AN794">
        <v>0</v>
      </c>
    </row>
    <row r="795" spans="1:40" x14ac:dyDescent="0.25">
      <c r="A795">
        <v>2023</v>
      </c>
      <c r="B795" t="s">
        <v>220</v>
      </c>
      <c r="C795" t="str">
        <f>IF(COUNTIF('Rookies 22-25'!$B$2:$B$60,E795)&gt;0,"(R)","No")</f>
        <v>(R)</v>
      </c>
      <c r="D795">
        <v>9</v>
      </c>
      <c r="E795" t="s">
        <v>222</v>
      </c>
      <c r="F795" t="s">
        <v>24</v>
      </c>
      <c r="G795">
        <f>VLOOKUP(E795,'23 Draft ADP'!$B$3:$D$323,3,)</f>
        <v>6</v>
      </c>
      <c r="H795">
        <v>17</v>
      </c>
      <c r="I795">
        <v>20.3</v>
      </c>
      <c r="J795">
        <v>21.2</v>
      </c>
      <c r="K795">
        <v>10</v>
      </c>
      <c r="L795">
        <v>18.7</v>
      </c>
      <c r="M795">
        <v>11.8</v>
      </c>
      <c r="N795">
        <v>13</v>
      </c>
      <c r="O795">
        <v>0.3</v>
      </c>
      <c r="P795">
        <v>12.2</v>
      </c>
      <c r="Q795">
        <v>5.9</v>
      </c>
      <c r="R795">
        <v>17.600000000000001</v>
      </c>
      <c r="S795" t="s">
        <v>22</v>
      </c>
      <c r="T795">
        <v>27.3</v>
      </c>
      <c r="U795">
        <v>10.9</v>
      </c>
      <c r="V795">
        <v>19.8</v>
      </c>
      <c r="W795">
        <v>0.4</v>
      </c>
      <c r="X795">
        <v>19.2</v>
      </c>
      <c r="Y795">
        <v>11.6</v>
      </c>
      <c r="Z795">
        <v>26.1</v>
      </c>
      <c r="AA795">
        <v>14.5</v>
      </c>
      <c r="AB795">
        <f t="shared" si="24"/>
        <v>220.20000000000002</v>
      </c>
      <c r="AC795">
        <v>246.3</v>
      </c>
      <c r="AD795">
        <v>4</v>
      </c>
      <c r="AE795">
        <f t="shared" si="25"/>
        <v>12</v>
      </c>
      <c r="AF795">
        <v>8</v>
      </c>
      <c r="AG795">
        <v>4</v>
      </c>
      <c r="AH795">
        <v>2</v>
      </c>
      <c r="AI795">
        <v>0</v>
      </c>
      <c r="AJ795">
        <v>0.76470588235294112</v>
      </c>
      <c r="AK795">
        <v>0.47058823529411764</v>
      </c>
      <c r="AL795">
        <v>0.23529411764705882</v>
      </c>
      <c r="AM795">
        <v>0.11764705882352941</v>
      </c>
      <c r="AN795">
        <v>0</v>
      </c>
    </row>
    <row r="796" spans="1:40" x14ac:dyDescent="0.25">
      <c r="A796">
        <v>2023</v>
      </c>
      <c r="B796" t="s">
        <v>220</v>
      </c>
      <c r="C796" t="str">
        <f>IF(COUNTIF('Rookies 22-25'!$B$2:$B$60,E796)&gt;0,"(R)","No")</f>
        <v>(R)</v>
      </c>
      <c r="D796">
        <v>10</v>
      </c>
      <c r="E796" t="s">
        <v>223</v>
      </c>
      <c r="F796" t="s">
        <v>75</v>
      </c>
      <c r="G796">
        <f>VLOOKUP(E796,'23 Draft ADP'!$B$3:$D$323,3,)</f>
        <v>33</v>
      </c>
      <c r="H796">
        <v>15</v>
      </c>
      <c r="I796">
        <v>8</v>
      </c>
      <c r="J796">
        <v>12.6</v>
      </c>
      <c r="K796">
        <v>9.1999999999999993</v>
      </c>
      <c r="L796">
        <v>9.1</v>
      </c>
      <c r="M796" t="s">
        <v>33</v>
      </c>
      <c r="N796" t="s">
        <v>33</v>
      </c>
      <c r="O796">
        <v>27.6</v>
      </c>
      <c r="P796">
        <v>29.9</v>
      </c>
      <c r="Q796" t="s">
        <v>22</v>
      </c>
      <c r="R796">
        <v>26.2</v>
      </c>
      <c r="S796">
        <v>21.5</v>
      </c>
      <c r="T796">
        <v>11.3</v>
      </c>
      <c r="U796">
        <v>6.4</v>
      </c>
      <c r="V796">
        <v>17.2</v>
      </c>
      <c r="W796">
        <v>24.8</v>
      </c>
      <c r="X796">
        <v>24</v>
      </c>
      <c r="Y796">
        <v>5.3</v>
      </c>
      <c r="Z796">
        <v>9</v>
      </c>
      <c r="AA796">
        <v>16.100000000000001</v>
      </c>
      <c r="AB796">
        <f t="shared" si="24"/>
        <v>233.1</v>
      </c>
      <c r="AC796">
        <v>242.1</v>
      </c>
      <c r="AD796">
        <v>2</v>
      </c>
      <c r="AE796">
        <f t="shared" si="25"/>
        <v>9</v>
      </c>
      <c r="AF796">
        <v>7</v>
      </c>
      <c r="AG796">
        <v>6</v>
      </c>
      <c r="AH796">
        <v>3</v>
      </c>
      <c r="AI796">
        <v>0</v>
      </c>
      <c r="AJ796">
        <v>0.52941176470588236</v>
      </c>
      <c r="AK796">
        <v>0.46666666666666667</v>
      </c>
      <c r="AL796">
        <v>0.4</v>
      </c>
      <c r="AM796">
        <v>0.2</v>
      </c>
      <c r="AN796">
        <v>0</v>
      </c>
    </row>
    <row r="797" spans="1:40" x14ac:dyDescent="0.25">
      <c r="A797">
        <v>2023</v>
      </c>
      <c r="B797" t="s">
        <v>220</v>
      </c>
      <c r="C797" t="str">
        <f>IF(COUNTIF('Rookies 22-25'!$B$2:$B$60,E797)&gt;0,"(R)","No")</f>
        <v>No</v>
      </c>
      <c r="D797">
        <v>11</v>
      </c>
      <c r="E797" t="s">
        <v>266</v>
      </c>
      <c r="F797" t="s">
        <v>37</v>
      </c>
      <c r="G797">
        <f>VLOOKUP(E797,'23 Draft ADP'!$B$3:$D$323,3,)</f>
        <v>83</v>
      </c>
      <c r="H797">
        <v>13</v>
      </c>
      <c r="I797" t="s">
        <v>33</v>
      </c>
      <c r="J797" t="s">
        <v>33</v>
      </c>
      <c r="K797" t="s">
        <v>33</v>
      </c>
      <c r="L797">
        <v>21.4</v>
      </c>
      <c r="M797">
        <v>18.7</v>
      </c>
      <c r="N797">
        <v>17.399999999999999</v>
      </c>
      <c r="O797">
        <v>29.3</v>
      </c>
      <c r="P797">
        <v>27</v>
      </c>
      <c r="Q797">
        <v>11</v>
      </c>
      <c r="R797">
        <v>18.5</v>
      </c>
      <c r="S797" t="s">
        <v>22</v>
      </c>
      <c r="T797">
        <v>15.9</v>
      </c>
      <c r="U797">
        <v>28.9</v>
      </c>
      <c r="V797">
        <v>13.5</v>
      </c>
      <c r="W797">
        <v>16</v>
      </c>
      <c r="X797">
        <v>8.5</v>
      </c>
      <c r="Y797">
        <v>6.9</v>
      </c>
      <c r="Z797">
        <v>0</v>
      </c>
      <c r="AA797">
        <v>17.899999999999999</v>
      </c>
      <c r="AB797">
        <f t="shared" si="24"/>
        <v>233</v>
      </c>
      <c r="AC797">
        <v>233</v>
      </c>
      <c r="AD797">
        <v>9</v>
      </c>
      <c r="AE797">
        <f t="shared" si="25"/>
        <v>11</v>
      </c>
      <c r="AF797">
        <v>9</v>
      </c>
      <c r="AG797">
        <v>4</v>
      </c>
      <c r="AH797">
        <v>3</v>
      </c>
      <c r="AI797">
        <v>0</v>
      </c>
      <c r="AJ797">
        <v>0.6470588235294118</v>
      </c>
      <c r="AK797">
        <v>0.69230769230769229</v>
      </c>
      <c r="AL797">
        <v>0.30769230769230771</v>
      </c>
      <c r="AM797">
        <v>0.23076923076923078</v>
      </c>
      <c r="AN797">
        <v>0</v>
      </c>
    </row>
    <row r="798" spans="1:40" x14ac:dyDescent="0.25">
      <c r="A798">
        <v>2023</v>
      </c>
      <c r="B798" t="s">
        <v>220</v>
      </c>
      <c r="C798" t="str">
        <f>IF(COUNTIF('Rookies 22-25'!$B$2:$B$60,E798)&gt;0,"(R)","No")</f>
        <v>No</v>
      </c>
      <c r="D798">
        <v>12</v>
      </c>
      <c r="E798" t="s">
        <v>226</v>
      </c>
      <c r="F798" t="s">
        <v>61</v>
      </c>
      <c r="G798">
        <f>VLOOKUP(E798,'23 Draft ADP'!$B$3:$D$323,3,)</f>
        <v>52</v>
      </c>
      <c r="H798">
        <v>17</v>
      </c>
      <c r="I798">
        <v>10.3</v>
      </c>
      <c r="J798">
        <v>19.899999999999999</v>
      </c>
      <c r="K798">
        <v>13.2</v>
      </c>
      <c r="L798">
        <v>14.7</v>
      </c>
      <c r="M798">
        <v>5.0999999999999996</v>
      </c>
      <c r="N798">
        <v>7.1</v>
      </c>
      <c r="O798">
        <v>19.2</v>
      </c>
      <c r="P798">
        <v>8.3000000000000007</v>
      </c>
      <c r="Q798">
        <v>7.9</v>
      </c>
      <c r="R798">
        <v>12</v>
      </c>
      <c r="S798">
        <v>19.2</v>
      </c>
      <c r="T798">
        <v>16</v>
      </c>
      <c r="U798" t="s">
        <v>22</v>
      </c>
      <c r="V798">
        <v>25.1</v>
      </c>
      <c r="W798">
        <v>36.1</v>
      </c>
      <c r="X798">
        <v>5</v>
      </c>
      <c r="Y798">
        <v>5.4</v>
      </c>
      <c r="Z798">
        <v>8.1999999999999993</v>
      </c>
      <c r="AA798">
        <v>13.7</v>
      </c>
      <c r="AB798">
        <f t="shared" si="24"/>
        <v>224.5</v>
      </c>
      <c r="AC798">
        <v>232.7</v>
      </c>
      <c r="AD798">
        <v>2</v>
      </c>
      <c r="AE798">
        <f t="shared" si="25"/>
        <v>10</v>
      </c>
      <c r="AF798">
        <v>6</v>
      </c>
      <c r="AG798">
        <v>2</v>
      </c>
      <c r="AH798">
        <v>2</v>
      </c>
      <c r="AI798">
        <v>1</v>
      </c>
      <c r="AJ798">
        <v>0.58823529411764708</v>
      </c>
      <c r="AK798">
        <v>0.35294117647058826</v>
      </c>
      <c r="AL798">
        <v>0.11764705882352941</v>
      </c>
      <c r="AM798">
        <v>0.11764705882352941</v>
      </c>
      <c r="AN798">
        <v>5.8823529411764705E-2</v>
      </c>
    </row>
    <row r="799" spans="1:40" x14ac:dyDescent="0.25">
      <c r="A799">
        <v>2023</v>
      </c>
      <c r="B799" t="s">
        <v>220</v>
      </c>
      <c r="C799" t="str">
        <f>IF(COUNTIF('Rookies 22-25'!$B$2:$B$60,E799)&gt;0,"(R)","No")</f>
        <v>No</v>
      </c>
      <c r="D799">
        <v>13</v>
      </c>
      <c r="E799" t="s">
        <v>234</v>
      </c>
      <c r="F799" t="s">
        <v>57</v>
      </c>
      <c r="G799">
        <f>VLOOKUP(E799,'23 Draft ADP'!$B$3:$D$323,3,)</f>
        <v>10</v>
      </c>
      <c r="H799">
        <v>14</v>
      </c>
      <c r="I799">
        <v>9.3000000000000007</v>
      </c>
      <c r="J799">
        <v>27.2</v>
      </c>
      <c r="K799" t="s">
        <v>33</v>
      </c>
      <c r="L799" t="s">
        <v>33</v>
      </c>
      <c r="M799" t="s">
        <v>33</v>
      </c>
      <c r="N799">
        <v>13.8</v>
      </c>
      <c r="O799">
        <v>18.8</v>
      </c>
      <c r="P799">
        <v>15.8</v>
      </c>
      <c r="Q799">
        <v>14.3</v>
      </c>
      <c r="R799">
        <v>7.1</v>
      </c>
      <c r="S799">
        <v>30</v>
      </c>
      <c r="T799">
        <v>6.2</v>
      </c>
      <c r="U799" t="s">
        <v>22</v>
      </c>
      <c r="V799">
        <v>23.1</v>
      </c>
      <c r="W799">
        <v>5.7</v>
      </c>
      <c r="X799">
        <v>19.399999999999999</v>
      </c>
      <c r="Y799">
        <v>8.8000000000000007</v>
      </c>
      <c r="Z799">
        <v>23.7</v>
      </c>
      <c r="AA799">
        <v>15.9</v>
      </c>
      <c r="AB799">
        <f t="shared" si="24"/>
        <v>199.5</v>
      </c>
      <c r="AC799">
        <v>223.2</v>
      </c>
      <c r="AD799">
        <v>5</v>
      </c>
      <c r="AE799">
        <f t="shared" si="25"/>
        <v>8</v>
      </c>
      <c r="AF799">
        <v>7</v>
      </c>
      <c r="AG799">
        <v>4</v>
      </c>
      <c r="AH799">
        <v>2</v>
      </c>
      <c r="AI799">
        <v>0</v>
      </c>
      <c r="AJ799">
        <v>0.52941176470588236</v>
      </c>
      <c r="AK799">
        <v>0.5</v>
      </c>
      <c r="AL799">
        <v>0.2857142857142857</v>
      </c>
      <c r="AM799">
        <v>0.14285714285714285</v>
      </c>
      <c r="AN799">
        <v>0</v>
      </c>
    </row>
    <row r="800" spans="1:40" x14ac:dyDescent="0.25">
      <c r="A800">
        <v>2023</v>
      </c>
      <c r="B800" t="s">
        <v>220</v>
      </c>
      <c r="C800" t="str">
        <f>IF(COUNTIF('Rookies 22-25'!$B$2:$B$60,E800)&gt;0,"(R)","No")</f>
        <v>No</v>
      </c>
      <c r="D800">
        <v>14</v>
      </c>
      <c r="E800" t="s">
        <v>243</v>
      </c>
      <c r="F800" t="s">
        <v>30</v>
      </c>
      <c r="G800">
        <f>VLOOKUP(E800,'23 Draft ADP'!$B$3:$D$323,3,)</f>
        <v>15</v>
      </c>
      <c r="H800">
        <v>17</v>
      </c>
      <c r="I800">
        <v>22.2</v>
      </c>
      <c r="J800">
        <v>19.899999999999999</v>
      </c>
      <c r="K800">
        <v>15.1</v>
      </c>
      <c r="L800">
        <v>9</v>
      </c>
      <c r="M800">
        <v>8.4</v>
      </c>
      <c r="N800">
        <v>17</v>
      </c>
      <c r="O800" t="s">
        <v>22</v>
      </c>
      <c r="P800">
        <v>6.5</v>
      </c>
      <c r="Q800">
        <v>9.3000000000000007</v>
      </c>
      <c r="R800">
        <v>5.5</v>
      </c>
      <c r="S800">
        <v>18</v>
      </c>
      <c r="T800">
        <v>22.3</v>
      </c>
      <c r="U800">
        <v>17.3</v>
      </c>
      <c r="V800">
        <v>16.600000000000001</v>
      </c>
      <c r="W800">
        <v>7.7</v>
      </c>
      <c r="X800">
        <v>5.3</v>
      </c>
      <c r="Y800">
        <v>5.9</v>
      </c>
      <c r="Z800">
        <v>16.600000000000001</v>
      </c>
      <c r="AA800">
        <v>13.1</v>
      </c>
      <c r="AB800">
        <f t="shared" si="24"/>
        <v>206</v>
      </c>
      <c r="AC800">
        <v>222.6</v>
      </c>
      <c r="AD800">
        <v>1</v>
      </c>
      <c r="AE800">
        <f t="shared" si="25"/>
        <v>8</v>
      </c>
      <c r="AF800">
        <v>9</v>
      </c>
      <c r="AG800">
        <v>2</v>
      </c>
      <c r="AH800">
        <v>0</v>
      </c>
      <c r="AI800">
        <v>0</v>
      </c>
      <c r="AJ800">
        <v>0.52941176470588236</v>
      </c>
      <c r="AK800">
        <v>0.52941176470588236</v>
      </c>
      <c r="AL800">
        <v>0.11764705882352941</v>
      </c>
      <c r="AM800">
        <v>0</v>
      </c>
      <c r="AN800">
        <v>0</v>
      </c>
    </row>
    <row r="801" spans="1:40" x14ac:dyDescent="0.25">
      <c r="A801">
        <v>2023</v>
      </c>
      <c r="B801" t="s">
        <v>220</v>
      </c>
      <c r="C801" t="str">
        <f>IF(COUNTIF('Rookies 22-25'!$B$2:$B$60,E801)&gt;0,"(R)","No")</f>
        <v>No</v>
      </c>
      <c r="D801">
        <v>15</v>
      </c>
      <c r="E801" t="s">
        <v>276</v>
      </c>
      <c r="F801" t="s">
        <v>26</v>
      </c>
      <c r="G801">
        <f>VLOOKUP(E801,'23 Draft ADP'!$B$3:$D$323,3,)</f>
        <v>70</v>
      </c>
      <c r="H801">
        <v>14</v>
      </c>
      <c r="I801">
        <v>9.4</v>
      </c>
      <c r="J801">
        <v>8</v>
      </c>
      <c r="K801">
        <v>15.8</v>
      </c>
      <c r="L801">
        <v>24.8</v>
      </c>
      <c r="M801">
        <v>13.4</v>
      </c>
      <c r="N801">
        <v>15.8</v>
      </c>
      <c r="O801">
        <v>16</v>
      </c>
      <c r="P801">
        <v>6.7</v>
      </c>
      <c r="Q801">
        <v>6.6</v>
      </c>
      <c r="R801" t="s">
        <v>22</v>
      </c>
      <c r="S801">
        <v>10.1</v>
      </c>
      <c r="T801">
        <v>25.9</v>
      </c>
      <c r="U801">
        <v>21.3</v>
      </c>
      <c r="V801" t="s">
        <v>33</v>
      </c>
      <c r="W801" t="s">
        <v>33</v>
      </c>
      <c r="X801">
        <v>10.6</v>
      </c>
      <c r="Y801">
        <v>29.5</v>
      </c>
      <c r="Z801">
        <v>0</v>
      </c>
      <c r="AA801">
        <v>15.3</v>
      </c>
      <c r="AB801">
        <f t="shared" si="24"/>
        <v>213.9</v>
      </c>
      <c r="AC801">
        <v>213.9</v>
      </c>
      <c r="AD801">
        <v>3</v>
      </c>
      <c r="AE801">
        <f t="shared" si="25"/>
        <v>10</v>
      </c>
      <c r="AF801">
        <v>7</v>
      </c>
      <c r="AG801">
        <v>4</v>
      </c>
      <c r="AH801">
        <v>2</v>
      </c>
      <c r="AI801">
        <v>0</v>
      </c>
      <c r="AJ801">
        <v>0.58823529411764708</v>
      </c>
      <c r="AK801">
        <v>0.5</v>
      </c>
      <c r="AL801">
        <v>0.2857142857142857</v>
      </c>
      <c r="AM801">
        <v>0.14285714285714285</v>
      </c>
      <c r="AN801">
        <v>0</v>
      </c>
    </row>
    <row r="802" spans="1:40" x14ac:dyDescent="0.25">
      <c r="A802">
        <v>2023</v>
      </c>
      <c r="B802" t="s">
        <v>220</v>
      </c>
      <c r="C802" t="str">
        <f>IF(COUNTIF('Rookies 22-25'!$B$2:$B$60,E802)&gt;0,"(R)","No")</f>
        <v>No</v>
      </c>
      <c r="D802">
        <v>16</v>
      </c>
      <c r="E802" t="s">
        <v>292</v>
      </c>
      <c r="F802" t="s">
        <v>32</v>
      </c>
      <c r="G802">
        <f>VLOOKUP(E802,'23 Draft ADP'!$B$3:$D$323,3,)</f>
        <v>159</v>
      </c>
      <c r="H802">
        <v>17</v>
      </c>
      <c r="I802">
        <v>1.6</v>
      </c>
      <c r="J802">
        <v>24.1</v>
      </c>
      <c r="K802">
        <v>19.100000000000001</v>
      </c>
      <c r="L802">
        <v>9.5</v>
      </c>
      <c r="M802" t="s">
        <v>22</v>
      </c>
      <c r="N802">
        <v>11.1</v>
      </c>
      <c r="O802">
        <v>17.399999999999999</v>
      </c>
      <c r="P802">
        <v>4.9000000000000004</v>
      </c>
      <c r="Q802">
        <v>12.7</v>
      </c>
      <c r="R802">
        <v>11.9</v>
      </c>
      <c r="S802">
        <v>11.9</v>
      </c>
      <c r="T802">
        <v>11.9</v>
      </c>
      <c r="U802">
        <v>14.2</v>
      </c>
      <c r="V802">
        <v>13.2</v>
      </c>
      <c r="W802">
        <v>7.1</v>
      </c>
      <c r="X802">
        <v>9.3000000000000007</v>
      </c>
      <c r="Y802">
        <v>26.1</v>
      </c>
      <c r="Z802">
        <v>5.2</v>
      </c>
      <c r="AA802">
        <v>12.4</v>
      </c>
      <c r="AB802">
        <f t="shared" si="24"/>
        <v>206</v>
      </c>
      <c r="AC802">
        <v>211.2</v>
      </c>
      <c r="AD802">
        <v>13</v>
      </c>
      <c r="AE802">
        <f t="shared" si="25"/>
        <v>11</v>
      </c>
      <c r="AF802">
        <v>4</v>
      </c>
      <c r="AG802">
        <v>2</v>
      </c>
      <c r="AH802">
        <v>1</v>
      </c>
      <c r="AI802">
        <v>0</v>
      </c>
      <c r="AJ802">
        <v>0.6470588235294118</v>
      </c>
      <c r="AK802">
        <v>0.23529411764705882</v>
      </c>
      <c r="AL802">
        <v>0.11764705882352941</v>
      </c>
      <c r="AM802">
        <v>5.8823529411764705E-2</v>
      </c>
      <c r="AN802">
        <v>0</v>
      </c>
    </row>
    <row r="803" spans="1:40" x14ac:dyDescent="0.25">
      <c r="A803">
        <v>2023</v>
      </c>
      <c r="B803" t="s">
        <v>220</v>
      </c>
      <c r="C803" t="str">
        <f>IF(COUNTIF('Rookies 22-25'!$B$2:$B$60,E803)&gt;0,"(R)","No")</f>
        <v>No</v>
      </c>
      <c r="D803">
        <v>17</v>
      </c>
      <c r="E803" t="s">
        <v>247</v>
      </c>
      <c r="F803" t="s">
        <v>75</v>
      </c>
      <c r="G803">
        <f>VLOOKUP(E803,'23 Draft ADP'!$B$3:$D$323,3,)</f>
        <v>71</v>
      </c>
      <c r="H803">
        <v>14</v>
      </c>
      <c r="I803">
        <v>13.4</v>
      </c>
      <c r="J803">
        <v>12.4</v>
      </c>
      <c r="K803" t="s">
        <v>33</v>
      </c>
      <c r="L803">
        <v>34.1</v>
      </c>
      <c r="M803">
        <v>20.9</v>
      </c>
      <c r="N803">
        <v>4.3</v>
      </c>
      <c r="O803" t="s">
        <v>33</v>
      </c>
      <c r="P803" t="s">
        <v>33</v>
      </c>
      <c r="Q803" t="s">
        <v>22</v>
      </c>
      <c r="R803">
        <v>17.600000000000001</v>
      </c>
      <c r="S803">
        <v>17.8</v>
      </c>
      <c r="T803">
        <v>15.1</v>
      </c>
      <c r="U803">
        <v>12.5</v>
      </c>
      <c r="V803">
        <v>11.5</v>
      </c>
      <c r="W803">
        <v>10.199999999999999</v>
      </c>
      <c r="X803">
        <v>14.9</v>
      </c>
      <c r="Y803">
        <v>12.5</v>
      </c>
      <c r="Z803">
        <v>10</v>
      </c>
      <c r="AA803">
        <v>14.8</v>
      </c>
      <c r="AB803">
        <f t="shared" si="24"/>
        <v>197.2</v>
      </c>
      <c r="AC803">
        <v>207.2</v>
      </c>
      <c r="AD803">
        <v>3</v>
      </c>
      <c r="AE803">
        <f t="shared" si="25"/>
        <v>12</v>
      </c>
      <c r="AF803">
        <v>5</v>
      </c>
      <c r="AG803">
        <v>2</v>
      </c>
      <c r="AH803">
        <v>1</v>
      </c>
      <c r="AI803">
        <v>1</v>
      </c>
      <c r="AJ803">
        <v>0.70588235294117652</v>
      </c>
      <c r="AK803">
        <v>0.35714285714285715</v>
      </c>
      <c r="AL803">
        <v>0.14285714285714285</v>
      </c>
      <c r="AM803">
        <v>7.1428571428571425E-2</v>
      </c>
      <c r="AN803">
        <v>7.1428571428571425E-2</v>
      </c>
    </row>
    <row r="804" spans="1:40" x14ac:dyDescent="0.25">
      <c r="A804">
        <v>2023</v>
      </c>
      <c r="B804" t="s">
        <v>220</v>
      </c>
      <c r="C804" t="str">
        <f>IF(COUNTIF('Rookies 22-25'!$B$2:$B$60,E804)&gt;0,"(R)","No")</f>
        <v>No</v>
      </c>
      <c r="D804">
        <v>18</v>
      </c>
      <c r="E804" t="s">
        <v>299</v>
      </c>
      <c r="F804" t="s">
        <v>21</v>
      </c>
      <c r="G804">
        <f>VLOOKUP(E804,'23 Draft ADP'!$B$3:$D$323,3,)</f>
        <v>82</v>
      </c>
      <c r="H804">
        <v>13</v>
      </c>
      <c r="I804">
        <v>12</v>
      </c>
      <c r="J804">
        <v>16.600000000000001</v>
      </c>
      <c r="K804">
        <v>19.600000000000001</v>
      </c>
      <c r="L804">
        <v>6.6</v>
      </c>
      <c r="M804">
        <v>4.5999999999999996</v>
      </c>
      <c r="N804" t="s">
        <v>33</v>
      </c>
      <c r="O804" t="s">
        <v>33</v>
      </c>
      <c r="P804" t="s">
        <v>33</v>
      </c>
      <c r="Q804" t="s">
        <v>33</v>
      </c>
      <c r="R804">
        <v>7.3</v>
      </c>
      <c r="S804">
        <v>8.3000000000000007</v>
      </c>
      <c r="T804">
        <v>7.2</v>
      </c>
      <c r="U804">
        <v>22.5</v>
      </c>
      <c r="V804" t="s">
        <v>22</v>
      </c>
      <c r="W804">
        <v>17.899999999999999</v>
      </c>
      <c r="X804">
        <v>22.2</v>
      </c>
      <c r="Y804">
        <v>26.3</v>
      </c>
      <c r="Z804">
        <v>30.4</v>
      </c>
      <c r="AA804">
        <v>15.5</v>
      </c>
      <c r="AB804">
        <f t="shared" si="24"/>
        <v>171.1</v>
      </c>
      <c r="AC804">
        <v>201.5</v>
      </c>
      <c r="AD804">
        <v>9</v>
      </c>
      <c r="AE804">
        <f t="shared" si="25"/>
        <v>7</v>
      </c>
      <c r="AF804">
        <v>7</v>
      </c>
      <c r="AG804">
        <v>4</v>
      </c>
      <c r="AH804">
        <v>2</v>
      </c>
      <c r="AI804">
        <v>1</v>
      </c>
      <c r="AJ804">
        <v>0.47058823529411764</v>
      </c>
      <c r="AK804">
        <v>0.53846153846153844</v>
      </c>
      <c r="AL804">
        <v>0.30769230769230771</v>
      </c>
      <c r="AM804">
        <v>0.15384615384615385</v>
      </c>
      <c r="AN804">
        <v>7.6923076923076927E-2</v>
      </c>
    </row>
    <row r="805" spans="1:40" x14ac:dyDescent="0.25">
      <c r="A805">
        <v>2023</v>
      </c>
      <c r="B805" t="s">
        <v>220</v>
      </c>
      <c r="C805" t="str">
        <f>IF(COUNTIF('Rookies 22-25'!$B$2:$B$60,E805)&gt;0,"(R)","No")</f>
        <v>No</v>
      </c>
      <c r="D805">
        <v>19</v>
      </c>
      <c r="E805" t="s">
        <v>242</v>
      </c>
      <c r="F805" t="s">
        <v>49</v>
      </c>
      <c r="G805">
        <f>VLOOKUP(E805,'23 Draft ADP'!$B$3:$D$323,3,)</f>
        <v>44</v>
      </c>
      <c r="H805">
        <v>15</v>
      </c>
      <c r="I805">
        <v>10.7</v>
      </c>
      <c r="J805">
        <v>18.399999999999999</v>
      </c>
      <c r="K805">
        <v>30.6</v>
      </c>
      <c r="L805">
        <v>13.9</v>
      </c>
      <c r="M805" t="s">
        <v>22</v>
      </c>
      <c r="N805">
        <v>17.899999999999999</v>
      </c>
      <c r="O805">
        <v>13.1</v>
      </c>
      <c r="P805">
        <v>8</v>
      </c>
      <c r="Q805">
        <v>2.7</v>
      </c>
      <c r="R805">
        <v>19.7</v>
      </c>
      <c r="S805">
        <v>2.6</v>
      </c>
      <c r="T805" t="s">
        <v>33</v>
      </c>
      <c r="U805" t="s">
        <v>33</v>
      </c>
      <c r="V805">
        <v>9.4</v>
      </c>
      <c r="W805">
        <v>20.2</v>
      </c>
      <c r="X805">
        <v>6.6</v>
      </c>
      <c r="Y805">
        <v>16.5</v>
      </c>
      <c r="Z805">
        <v>9.1</v>
      </c>
      <c r="AA805">
        <v>13.3</v>
      </c>
      <c r="AB805">
        <f t="shared" si="24"/>
        <v>190.3</v>
      </c>
      <c r="AC805">
        <v>199.4</v>
      </c>
      <c r="AD805">
        <v>7</v>
      </c>
      <c r="AE805">
        <f t="shared" si="25"/>
        <v>9</v>
      </c>
      <c r="AF805">
        <v>6</v>
      </c>
      <c r="AG805">
        <v>2</v>
      </c>
      <c r="AH805">
        <v>1</v>
      </c>
      <c r="AI805">
        <v>1</v>
      </c>
      <c r="AJ805">
        <v>0.52941176470588236</v>
      </c>
      <c r="AK805">
        <v>0.4</v>
      </c>
      <c r="AL805">
        <v>0.13333333333333333</v>
      </c>
      <c r="AM805">
        <v>6.6666666666666666E-2</v>
      </c>
      <c r="AN805">
        <v>6.6666666666666666E-2</v>
      </c>
    </row>
    <row r="806" spans="1:40" x14ac:dyDescent="0.25">
      <c r="A806">
        <v>2023</v>
      </c>
      <c r="B806" t="s">
        <v>220</v>
      </c>
      <c r="C806" t="str">
        <f>IF(COUNTIF('Rookies 22-25'!$B$2:$B$60,E806)&gt;0,"(R)","No")</f>
        <v>No</v>
      </c>
      <c r="D806">
        <v>20</v>
      </c>
      <c r="E806" t="s">
        <v>235</v>
      </c>
      <c r="F806" t="s">
        <v>35</v>
      </c>
      <c r="G806">
        <f>VLOOKUP(E806,'23 Draft ADP'!$B$3:$D$323,3,)</f>
        <v>67</v>
      </c>
      <c r="H806">
        <v>16</v>
      </c>
      <c r="I806">
        <v>1.3</v>
      </c>
      <c r="J806">
        <v>27.1</v>
      </c>
      <c r="K806">
        <v>14.8</v>
      </c>
      <c r="L806">
        <v>17.899999999999999</v>
      </c>
      <c r="M806">
        <v>16.8</v>
      </c>
      <c r="N806">
        <v>17.8</v>
      </c>
      <c r="O806">
        <v>10.5</v>
      </c>
      <c r="P806">
        <v>14.4</v>
      </c>
      <c r="Q806">
        <v>9.4</v>
      </c>
      <c r="R806" t="s">
        <v>22</v>
      </c>
      <c r="S806">
        <v>19.7</v>
      </c>
      <c r="T806">
        <v>9.4</v>
      </c>
      <c r="U806">
        <v>4</v>
      </c>
      <c r="V806">
        <v>3.9</v>
      </c>
      <c r="W806">
        <v>9.5</v>
      </c>
      <c r="X806">
        <v>15.2</v>
      </c>
      <c r="Y806">
        <v>7.6</v>
      </c>
      <c r="Z806">
        <v>0</v>
      </c>
      <c r="AA806">
        <v>12.5</v>
      </c>
      <c r="AB806">
        <f t="shared" si="24"/>
        <v>199.3</v>
      </c>
      <c r="AC806">
        <v>199.3</v>
      </c>
      <c r="AD806">
        <v>3</v>
      </c>
      <c r="AE806">
        <f t="shared" si="25"/>
        <v>9</v>
      </c>
      <c r="AF806">
        <v>6</v>
      </c>
      <c r="AG806">
        <v>1</v>
      </c>
      <c r="AH806">
        <v>1</v>
      </c>
      <c r="AI806">
        <v>0</v>
      </c>
      <c r="AJ806">
        <v>0.52941176470588236</v>
      </c>
      <c r="AK806">
        <v>0.375</v>
      </c>
      <c r="AL806">
        <v>6.25E-2</v>
      </c>
      <c r="AM806">
        <v>6.25E-2</v>
      </c>
      <c r="AN806">
        <v>0</v>
      </c>
    </row>
    <row r="807" spans="1:40" x14ac:dyDescent="0.25">
      <c r="A807">
        <v>2023</v>
      </c>
      <c r="B807" t="s">
        <v>220</v>
      </c>
      <c r="C807" t="str">
        <f>IF(COUNTIF('Rookies 22-25'!$B$2:$B$60,E807)&gt;0,"(R)","No")</f>
        <v>No</v>
      </c>
      <c r="D807">
        <v>21</v>
      </c>
      <c r="E807" t="s">
        <v>283</v>
      </c>
      <c r="F807" t="s">
        <v>59</v>
      </c>
      <c r="G807">
        <f>VLOOKUP(E807,'23 Draft ADP'!$B$3:$D$323,3,)</f>
        <v>95</v>
      </c>
      <c r="H807">
        <v>15</v>
      </c>
      <c r="I807">
        <v>13.6</v>
      </c>
      <c r="J807">
        <v>28.9</v>
      </c>
      <c r="K807">
        <v>7</v>
      </c>
      <c r="L807">
        <v>13.1</v>
      </c>
      <c r="M807">
        <v>8.3000000000000007</v>
      </c>
      <c r="N807">
        <v>13.6</v>
      </c>
      <c r="O807">
        <v>8.3000000000000007</v>
      </c>
      <c r="P807">
        <v>9.9</v>
      </c>
      <c r="Q807">
        <v>11.7</v>
      </c>
      <c r="R807">
        <v>27.7</v>
      </c>
      <c r="S807">
        <v>20.2</v>
      </c>
      <c r="T807">
        <v>8.4</v>
      </c>
      <c r="U807">
        <v>5.3</v>
      </c>
      <c r="V807" t="s">
        <v>22</v>
      </c>
      <c r="W807" t="s">
        <v>33</v>
      </c>
      <c r="X807" t="s">
        <v>33</v>
      </c>
      <c r="Y807">
        <v>11.6</v>
      </c>
      <c r="Z807">
        <v>10.5</v>
      </c>
      <c r="AA807">
        <v>13.2</v>
      </c>
      <c r="AB807">
        <f t="shared" si="24"/>
        <v>187.6</v>
      </c>
      <c r="AC807">
        <v>198.1</v>
      </c>
      <c r="AD807">
        <v>10</v>
      </c>
      <c r="AE807">
        <f t="shared" si="25"/>
        <v>8</v>
      </c>
      <c r="AF807">
        <v>3</v>
      </c>
      <c r="AG807">
        <v>3</v>
      </c>
      <c r="AH807">
        <v>2</v>
      </c>
      <c r="AI807">
        <v>0</v>
      </c>
      <c r="AJ807">
        <v>0.52941176470588236</v>
      </c>
      <c r="AK807">
        <v>0.2</v>
      </c>
      <c r="AL807">
        <v>0.2</v>
      </c>
      <c r="AM807">
        <v>0.13333333333333333</v>
      </c>
      <c r="AN807">
        <v>0</v>
      </c>
    </row>
    <row r="808" spans="1:40" x14ac:dyDescent="0.25">
      <c r="A808">
        <v>2023</v>
      </c>
      <c r="B808" t="s">
        <v>220</v>
      </c>
      <c r="C808" t="str">
        <f>IF(COUNTIF('Rookies 22-25'!$B$2:$B$60,E808)&gt;0,"(R)","No")</f>
        <v>No</v>
      </c>
      <c r="D808">
        <v>22</v>
      </c>
      <c r="E808" t="s">
        <v>237</v>
      </c>
      <c r="F808" t="s">
        <v>71</v>
      </c>
      <c r="G808">
        <f>VLOOKUP(E808,'23 Draft ADP'!$B$3:$D$323,3,)</f>
        <v>123</v>
      </c>
      <c r="H808">
        <v>17</v>
      </c>
      <c r="I808">
        <v>6.8</v>
      </c>
      <c r="J808">
        <v>12.6</v>
      </c>
      <c r="K808">
        <v>8.1999999999999993</v>
      </c>
      <c r="L808">
        <v>11.5</v>
      </c>
      <c r="M808">
        <v>10.9</v>
      </c>
      <c r="N808" t="s">
        <v>22</v>
      </c>
      <c r="O808">
        <v>10.1</v>
      </c>
      <c r="P808">
        <v>7.8</v>
      </c>
      <c r="Q808">
        <v>14.3</v>
      </c>
      <c r="R808">
        <v>19</v>
      </c>
      <c r="S808">
        <v>23.5</v>
      </c>
      <c r="T808">
        <v>7.2</v>
      </c>
      <c r="U808">
        <v>6.5</v>
      </c>
      <c r="V808">
        <v>8</v>
      </c>
      <c r="W808">
        <v>11.8</v>
      </c>
      <c r="X808">
        <v>10.4</v>
      </c>
      <c r="Y808">
        <v>19.8</v>
      </c>
      <c r="Z808">
        <v>8</v>
      </c>
      <c r="AA808">
        <v>11.6</v>
      </c>
      <c r="AB808">
        <f t="shared" si="24"/>
        <v>188.4</v>
      </c>
      <c r="AC808">
        <v>196.4</v>
      </c>
      <c r="AD808">
        <v>11</v>
      </c>
      <c r="AE808">
        <f t="shared" si="25"/>
        <v>10</v>
      </c>
      <c r="AF808">
        <v>3</v>
      </c>
      <c r="AG808">
        <v>1</v>
      </c>
      <c r="AH808">
        <v>0</v>
      </c>
      <c r="AI808">
        <v>0</v>
      </c>
      <c r="AJ808">
        <v>0.58823529411764708</v>
      </c>
      <c r="AK808">
        <v>0.17647058823529413</v>
      </c>
      <c r="AL808">
        <v>5.8823529411764705E-2</v>
      </c>
      <c r="AM808">
        <v>0</v>
      </c>
      <c r="AN808">
        <v>0</v>
      </c>
    </row>
    <row r="809" spans="1:40" x14ac:dyDescent="0.25">
      <c r="A809">
        <v>2023</v>
      </c>
      <c r="B809" t="s">
        <v>220</v>
      </c>
      <c r="C809" t="str">
        <f>IF(COUNTIF('Rookies 22-25'!$B$2:$B$60,E809)&gt;0,"(R)","No")</f>
        <v>No</v>
      </c>
      <c r="D809">
        <v>23</v>
      </c>
      <c r="E809" t="s">
        <v>323</v>
      </c>
      <c r="F809" t="s">
        <v>71</v>
      </c>
      <c r="G809">
        <f>VLOOKUP(E809,'23 Draft ADP'!$B$3:$D$323,3,)</f>
        <v>43</v>
      </c>
      <c r="H809">
        <v>17</v>
      </c>
      <c r="I809">
        <v>5.3</v>
      </c>
      <c r="J809">
        <v>5.3</v>
      </c>
      <c r="K809">
        <v>6.5</v>
      </c>
      <c r="L809">
        <v>11.3</v>
      </c>
      <c r="M809">
        <v>5</v>
      </c>
      <c r="N809" t="s">
        <v>22</v>
      </c>
      <c r="O809">
        <v>15.8</v>
      </c>
      <c r="P809">
        <v>10.5</v>
      </c>
      <c r="Q809">
        <v>15.6</v>
      </c>
      <c r="R809">
        <v>18.600000000000001</v>
      </c>
      <c r="S809">
        <v>4.5999999999999996</v>
      </c>
      <c r="T809">
        <v>15.9</v>
      </c>
      <c r="U809">
        <v>9.6999999999999993</v>
      </c>
      <c r="V809">
        <v>7.8</v>
      </c>
      <c r="W809">
        <v>1.3</v>
      </c>
      <c r="X809">
        <v>13.8</v>
      </c>
      <c r="Y809">
        <v>24.2</v>
      </c>
      <c r="Z809">
        <v>24.3</v>
      </c>
      <c r="AA809">
        <v>11.5</v>
      </c>
      <c r="AB809">
        <f t="shared" si="24"/>
        <v>171.2</v>
      </c>
      <c r="AC809">
        <v>195.5</v>
      </c>
      <c r="AD809">
        <v>2</v>
      </c>
      <c r="AE809">
        <f t="shared" si="25"/>
        <v>8</v>
      </c>
      <c r="AF809">
        <v>6</v>
      </c>
      <c r="AG809">
        <v>2</v>
      </c>
      <c r="AH809">
        <v>0</v>
      </c>
      <c r="AI809">
        <v>0</v>
      </c>
      <c r="AJ809">
        <v>0.52941176470588236</v>
      </c>
      <c r="AK809">
        <v>0.35294117647058826</v>
      </c>
      <c r="AL809">
        <v>0.11764705882352941</v>
      </c>
      <c r="AM809">
        <v>0</v>
      </c>
      <c r="AN809">
        <v>0</v>
      </c>
    </row>
    <row r="810" spans="1:40" x14ac:dyDescent="0.25">
      <c r="A810">
        <v>2023</v>
      </c>
      <c r="B810" t="s">
        <v>220</v>
      </c>
      <c r="C810" t="str">
        <f>IF(COUNTIF('Rookies 22-25'!$B$2:$B$60,E810)&gt;0,"(R)","No")</f>
        <v>(R)</v>
      </c>
      <c r="D810">
        <v>24</v>
      </c>
      <c r="E810" t="s">
        <v>225</v>
      </c>
      <c r="F810" t="s">
        <v>84</v>
      </c>
      <c r="G810">
        <f>VLOOKUP(E810,'23 Draft ADP'!$B$3:$D$323,3,)</f>
        <v>98</v>
      </c>
      <c r="H810">
        <v>11</v>
      </c>
      <c r="I810" t="s">
        <v>33</v>
      </c>
      <c r="J810">
        <v>1.9</v>
      </c>
      <c r="K810">
        <v>51.3</v>
      </c>
      <c r="L810">
        <v>27</v>
      </c>
      <c r="M810">
        <v>21.5</v>
      </c>
      <c r="N810" t="s">
        <v>33</v>
      </c>
      <c r="O810" t="s">
        <v>33</v>
      </c>
      <c r="P810" t="s">
        <v>33</v>
      </c>
      <c r="Q810" t="s">
        <v>33</v>
      </c>
      <c r="R810" t="s">
        <v>22</v>
      </c>
      <c r="S810">
        <v>1.5</v>
      </c>
      <c r="T810" t="s">
        <v>33</v>
      </c>
      <c r="U810">
        <v>25.3</v>
      </c>
      <c r="V810">
        <v>12.1</v>
      </c>
      <c r="W810">
        <v>9.1999999999999993</v>
      </c>
      <c r="X810">
        <v>4.0999999999999996</v>
      </c>
      <c r="Y810">
        <v>23.7</v>
      </c>
      <c r="Z810">
        <v>13.1</v>
      </c>
      <c r="AA810">
        <v>17.3</v>
      </c>
      <c r="AB810">
        <f t="shared" si="24"/>
        <v>177.6</v>
      </c>
      <c r="AC810">
        <v>190.7</v>
      </c>
      <c r="AD810">
        <v>4</v>
      </c>
      <c r="AE810">
        <f t="shared" si="25"/>
        <v>6</v>
      </c>
      <c r="AF810">
        <v>5</v>
      </c>
      <c r="AG810">
        <v>5</v>
      </c>
      <c r="AH810">
        <v>3</v>
      </c>
      <c r="AI810">
        <v>1</v>
      </c>
      <c r="AJ810">
        <v>0.41176470588235292</v>
      </c>
      <c r="AK810">
        <v>0.45454545454545453</v>
      </c>
      <c r="AL810">
        <v>0.45454545454545453</v>
      </c>
      <c r="AM810">
        <v>0.27272727272727271</v>
      </c>
      <c r="AN810">
        <v>9.0909090909090912E-2</v>
      </c>
    </row>
    <row r="811" spans="1:40" x14ac:dyDescent="0.25">
      <c r="A811">
        <v>2023</v>
      </c>
      <c r="B811" t="s">
        <v>220</v>
      </c>
      <c r="C811" t="str">
        <f>IF(COUNTIF('Rookies 22-25'!$B$2:$B$60,E811)&gt;0,"(R)","No")</f>
        <v>No</v>
      </c>
      <c r="D811">
        <v>25</v>
      </c>
      <c r="E811" t="s">
        <v>395</v>
      </c>
      <c r="F811" t="s">
        <v>53</v>
      </c>
      <c r="G811">
        <f>VLOOKUP(E811,'23 Draft ADP'!$B$3:$D$323,3,)</f>
        <v>149</v>
      </c>
      <c r="H811">
        <v>17</v>
      </c>
      <c r="I811">
        <v>5.2</v>
      </c>
      <c r="J811">
        <v>12.2</v>
      </c>
      <c r="K811">
        <v>5.0999999999999996</v>
      </c>
      <c r="L811">
        <v>6.9</v>
      </c>
      <c r="M811">
        <v>4.8</v>
      </c>
      <c r="N811">
        <v>6.3</v>
      </c>
      <c r="O811">
        <v>21.4</v>
      </c>
      <c r="P811">
        <v>29.4</v>
      </c>
      <c r="Q811">
        <v>17.2</v>
      </c>
      <c r="R811">
        <v>9.8000000000000007</v>
      </c>
      <c r="S811">
        <v>21</v>
      </c>
      <c r="T811">
        <v>4.7</v>
      </c>
      <c r="U811" t="s">
        <v>22</v>
      </c>
      <c r="V811">
        <v>1.5</v>
      </c>
      <c r="W811">
        <v>13.9</v>
      </c>
      <c r="X811">
        <v>14</v>
      </c>
      <c r="Y811">
        <v>10.8</v>
      </c>
      <c r="Z811">
        <v>2.8</v>
      </c>
      <c r="AA811">
        <v>11</v>
      </c>
      <c r="AB811">
        <f t="shared" si="24"/>
        <v>184.2</v>
      </c>
      <c r="AC811">
        <v>187</v>
      </c>
      <c r="AD811">
        <v>13</v>
      </c>
      <c r="AE811">
        <f t="shared" si="25"/>
        <v>8</v>
      </c>
      <c r="AF811">
        <v>4</v>
      </c>
      <c r="AG811">
        <v>3</v>
      </c>
      <c r="AH811">
        <v>1</v>
      </c>
      <c r="AI811">
        <v>0</v>
      </c>
      <c r="AJ811">
        <v>0.47058823529411764</v>
      </c>
      <c r="AK811">
        <v>0.23529411764705882</v>
      </c>
      <c r="AL811">
        <v>0.17647058823529413</v>
      </c>
      <c r="AM811">
        <v>5.8823529411764705E-2</v>
      </c>
      <c r="AN811">
        <v>0</v>
      </c>
    </row>
    <row r="812" spans="1:40" x14ac:dyDescent="0.25">
      <c r="A812">
        <v>2023</v>
      </c>
      <c r="B812" t="s">
        <v>220</v>
      </c>
      <c r="C812" t="str">
        <f>IF(COUNTIF('Rookies 22-25'!$B$2:$B$60,E812)&gt;0,"(R)","No")</f>
        <v>No</v>
      </c>
      <c r="D812">
        <v>26</v>
      </c>
      <c r="E812" t="s">
        <v>321</v>
      </c>
      <c r="F812" t="s">
        <v>51</v>
      </c>
      <c r="G812">
        <f>VLOOKUP(E812,'23 Draft ADP'!$B$3:$D$323,3,)</f>
        <v>4</v>
      </c>
      <c r="H812">
        <v>14</v>
      </c>
      <c r="I812">
        <v>26.4</v>
      </c>
      <c r="J812" t="s">
        <v>33</v>
      </c>
      <c r="K812" t="s">
        <v>33</v>
      </c>
      <c r="L812" t="s">
        <v>33</v>
      </c>
      <c r="M812" t="s">
        <v>22</v>
      </c>
      <c r="N812">
        <v>10.199999999999999</v>
      </c>
      <c r="O812">
        <v>5.6</v>
      </c>
      <c r="P812">
        <v>23.3</v>
      </c>
      <c r="Q812">
        <v>21</v>
      </c>
      <c r="R812">
        <v>21.5</v>
      </c>
      <c r="S812">
        <v>7</v>
      </c>
      <c r="T812">
        <v>9.4</v>
      </c>
      <c r="U812">
        <v>4.7</v>
      </c>
      <c r="V812">
        <v>21</v>
      </c>
      <c r="W812">
        <v>7.8</v>
      </c>
      <c r="X812">
        <v>11.6</v>
      </c>
      <c r="Y812">
        <v>4</v>
      </c>
      <c r="Z812">
        <v>11.9</v>
      </c>
      <c r="AA812">
        <v>13.2</v>
      </c>
      <c r="AB812">
        <f t="shared" si="24"/>
        <v>173.5</v>
      </c>
      <c r="AC812">
        <v>185.4</v>
      </c>
      <c r="AD812">
        <v>4</v>
      </c>
      <c r="AE812">
        <f t="shared" si="25"/>
        <v>7</v>
      </c>
      <c r="AF812">
        <v>5</v>
      </c>
      <c r="AG812">
        <v>5</v>
      </c>
      <c r="AH812">
        <v>1</v>
      </c>
      <c r="AI812">
        <v>0</v>
      </c>
      <c r="AJ812">
        <v>0.47058823529411764</v>
      </c>
      <c r="AK812">
        <v>0.35714285714285715</v>
      </c>
      <c r="AL812">
        <v>0.35714285714285715</v>
      </c>
      <c r="AM812">
        <v>7.1428571428571425E-2</v>
      </c>
      <c r="AN812">
        <v>0</v>
      </c>
    </row>
    <row r="813" spans="1:40" x14ac:dyDescent="0.25">
      <c r="A813">
        <v>2023</v>
      </c>
      <c r="B813" t="s">
        <v>220</v>
      </c>
      <c r="C813" t="str">
        <f>IF(COUNTIF('Rookies 22-25'!$B$2:$B$60,E813)&gt;0,"(R)","No")</f>
        <v>No</v>
      </c>
      <c r="D813">
        <v>27</v>
      </c>
      <c r="E813" t="s">
        <v>258</v>
      </c>
      <c r="F813" t="s">
        <v>95</v>
      </c>
      <c r="G813">
        <f>VLOOKUP(E813,'23 Draft ADP'!$B$3:$D$323,3,)</f>
        <v>185</v>
      </c>
      <c r="H813">
        <v>17</v>
      </c>
      <c r="I813">
        <v>8.9</v>
      </c>
      <c r="J813">
        <v>10</v>
      </c>
      <c r="K813">
        <v>2.4</v>
      </c>
      <c r="L813">
        <v>7.3</v>
      </c>
      <c r="M813">
        <v>4.5</v>
      </c>
      <c r="N813">
        <v>16</v>
      </c>
      <c r="O813" t="s">
        <v>22</v>
      </c>
      <c r="P813">
        <v>7.4</v>
      </c>
      <c r="Q813">
        <v>10.7</v>
      </c>
      <c r="R813">
        <v>5.9</v>
      </c>
      <c r="S813">
        <v>8.5</v>
      </c>
      <c r="T813">
        <v>20.2</v>
      </c>
      <c r="U813">
        <v>22.4</v>
      </c>
      <c r="V813">
        <v>11.6</v>
      </c>
      <c r="W813">
        <v>12.3</v>
      </c>
      <c r="X813">
        <v>12.1</v>
      </c>
      <c r="Y813">
        <v>11.1</v>
      </c>
      <c r="Z813">
        <v>11.2</v>
      </c>
      <c r="AA813">
        <v>10.7</v>
      </c>
      <c r="AB813">
        <f t="shared" si="24"/>
        <v>171.3</v>
      </c>
      <c r="AC813">
        <v>182.5</v>
      </c>
      <c r="AD813">
        <v>15</v>
      </c>
      <c r="AE813">
        <f t="shared" si="25"/>
        <v>8</v>
      </c>
      <c r="AF813">
        <v>3</v>
      </c>
      <c r="AG813">
        <v>2</v>
      </c>
      <c r="AH813">
        <v>0</v>
      </c>
      <c r="AI813">
        <v>0</v>
      </c>
      <c r="AJ813">
        <v>0.52941176470588236</v>
      </c>
      <c r="AK813">
        <v>0.17647058823529413</v>
      </c>
      <c r="AL813">
        <v>0.11764705882352941</v>
      </c>
      <c r="AM813">
        <v>0</v>
      </c>
      <c r="AN813">
        <v>0</v>
      </c>
    </row>
    <row r="814" spans="1:40" x14ac:dyDescent="0.25">
      <c r="A814">
        <v>2023</v>
      </c>
      <c r="B814" t="s">
        <v>220</v>
      </c>
      <c r="C814" t="str">
        <f>IF(COUNTIF('Rookies 22-25'!$B$2:$B$60,E814)&gt;0,"(R)","No")</f>
        <v>No</v>
      </c>
      <c r="D814">
        <v>28</v>
      </c>
      <c r="E814" t="s">
        <v>233</v>
      </c>
      <c r="F814" t="s">
        <v>43</v>
      </c>
      <c r="G814">
        <f>VLOOKUP(E814,'23 Draft ADP'!$B$3:$D$323,3,)</f>
        <v>23</v>
      </c>
      <c r="H814">
        <v>13</v>
      </c>
      <c r="I814">
        <v>9.1</v>
      </c>
      <c r="J814">
        <v>9.9</v>
      </c>
      <c r="K814">
        <v>11</v>
      </c>
      <c r="L814">
        <v>27.9</v>
      </c>
      <c r="M814">
        <v>19.899999999999999</v>
      </c>
      <c r="N814">
        <v>11.3</v>
      </c>
      <c r="O814">
        <v>5.0999999999999996</v>
      </c>
      <c r="P814">
        <v>16.8</v>
      </c>
      <c r="Q814">
        <v>21.8</v>
      </c>
      <c r="R814">
        <v>12.7</v>
      </c>
      <c r="S814">
        <v>6.1</v>
      </c>
      <c r="T814">
        <v>22.5</v>
      </c>
      <c r="U814" t="s">
        <v>22</v>
      </c>
      <c r="V814">
        <v>7</v>
      </c>
      <c r="W814" t="s">
        <v>33</v>
      </c>
      <c r="X814" t="s">
        <v>33</v>
      </c>
      <c r="Y814" t="s">
        <v>33</v>
      </c>
      <c r="Z814">
        <v>0</v>
      </c>
      <c r="AA814">
        <v>13.9</v>
      </c>
      <c r="AB814">
        <f t="shared" si="24"/>
        <v>181.1</v>
      </c>
      <c r="AC814">
        <v>181.1</v>
      </c>
      <c r="AD814">
        <v>6</v>
      </c>
      <c r="AE814">
        <f t="shared" si="25"/>
        <v>8</v>
      </c>
      <c r="AF814">
        <v>5</v>
      </c>
      <c r="AG814">
        <v>3</v>
      </c>
      <c r="AH814">
        <v>1</v>
      </c>
      <c r="AI814">
        <v>0</v>
      </c>
      <c r="AJ814">
        <v>0.47058823529411764</v>
      </c>
      <c r="AK814">
        <v>0.38461538461538464</v>
      </c>
      <c r="AL814">
        <v>0.23076923076923078</v>
      </c>
      <c r="AM814">
        <v>7.6923076923076927E-2</v>
      </c>
      <c r="AN814">
        <v>0</v>
      </c>
    </row>
    <row r="815" spans="1:40" x14ac:dyDescent="0.25">
      <c r="A815">
        <v>2023</v>
      </c>
      <c r="B815" t="s">
        <v>220</v>
      </c>
      <c r="C815" t="str">
        <f>IF(COUNTIF('Rookies 22-25'!$B$2:$B$60,E815)&gt;0,"(R)","No")</f>
        <v>No</v>
      </c>
      <c r="D815">
        <v>29</v>
      </c>
      <c r="E815" t="s">
        <v>232</v>
      </c>
      <c r="F815" t="s">
        <v>78</v>
      </c>
      <c r="G815">
        <f>VLOOKUP(E815,'23 Draft ADP'!$B$3:$D$323,3,)</f>
        <v>63</v>
      </c>
      <c r="H815">
        <v>16</v>
      </c>
      <c r="I815">
        <v>9.6999999999999993</v>
      </c>
      <c r="J815">
        <v>7.8</v>
      </c>
      <c r="K815">
        <v>8.5</v>
      </c>
      <c r="L815">
        <v>3.9</v>
      </c>
      <c r="M815" t="s">
        <v>33</v>
      </c>
      <c r="N815">
        <v>7.2</v>
      </c>
      <c r="O815">
        <v>12.6</v>
      </c>
      <c r="P815">
        <v>18.8</v>
      </c>
      <c r="Q815" t="s">
        <v>22</v>
      </c>
      <c r="R815">
        <v>21</v>
      </c>
      <c r="S815">
        <v>7.3</v>
      </c>
      <c r="T815">
        <v>10.1</v>
      </c>
      <c r="U815">
        <v>10</v>
      </c>
      <c r="V815">
        <v>18.100000000000001</v>
      </c>
      <c r="W815">
        <v>4</v>
      </c>
      <c r="X815">
        <v>10.9</v>
      </c>
      <c r="Y815">
        <v>8.8000000000000007</v>
      </c>
      <c r="Z815">
        <v>20.5</v>
      </c>
      <c r="AA815">
        <v>11.2</v>
      </c>
      <c r="AB815">
        <f t="shared" si="24"/>
        <v>158.69999999999999</v>
      </c>
      <c r="AC815">
        <v>179.2</v>
      </c>
      <c r="AD815">
        <v>9</v>
      </c>
      <c r="AE815">
        <f t="shared" si="25"/>
        <v>6</v>
      </c>
      <c r="AF815">
        <v>4</v>
      </c>
      <c r="AG815">
        <v>2</v>
      </c>
      <c r="AH815">
        <v>0</v>
      </c>
      <c r="AI815">
        <v>0</v>
      </c>
      <c r="AJ815">
        <v>0.41176470588235292</v>
      </c>
      <c r="AK815">
        <v>0.25</v>
      </c>
      <c r="AL815">
        <v>0.125</v>
      </c>
      <c r="AM815">
        <v>0</v>
      </c>
      <c r="AN815">
        <v>0</v>
      </c>
    </row>
    <row r="816" spans="1:40" x14ac:dyDescent="0.25">
      <c r="A816">
        <v>2023</v>
      </c>
      <c r="B816" t="s">
        <v>220</v>
      </c>
      <c r="C816" t="str">
        <f>IF(COUNTIF('Rookies 22-25'!$B$2:$B$60,E816)&gt;0,"(R)","No")</f>
        <v>No</v>
      </c>
      <c r="D816">
        <v>30</v>
      </c>
      <c r="E816" t="s">
        <v>396</v>
      </c>
      <c r="F816" t="s">
        <v>39</v>
      </c>
      <c r="G816">
        <f>VLOOKUP(E816,'23 Draft ADP'!$B$3:$D$323,3,)</f>
        <v>154</v>
      </c>
      <c r="H816">
        <v>17</v>
      </c>
      <c r="I816">
        <v>7.3</v>
      </c>
      <c r="J816">
        <v>1.3</v>
      </c>
      <c r="K816">
        <v>9.6999999999999993</v>
      </c>
      <c r="L816">
        <v>4.2</v>
      </c>
      <c r="M816">
        <v>7.8</v>
      </c>
      <c r="N816">
        <v>11.9</v>
      </c>
      <c r="O816">
        <v>9.1</v>
      </c>
      <c r="P816">
        <v>3.6</v>
      </c>
      <c r="Q816">
        <v>6.2</v>
      </c>
      <c r="R816">
        <v>10.8</v>
      </c>
      <c r="S816" t="s">
        <v>22</v>
      </c>
      <c r="T816">
        <v>7.2</v>
      </c>
      <c r="U816">
        <v>13.2</v>
      </c>
      <c r="V816">
        <v>27</v>
      </c>
      <c r="W816">
        <v>9.6</v>
      </c>
      <c r="X816">
        <v>21</v>
      </c>
      <c r="Y816">
        <v>11.5</v>
      </c>
      <c r="Z816">
        <v>13.1</v>
      </c>
      <c r="AA816">
        <v>10.3</v>
      </c>
      <c r="AB816">
        <f t="shared" si="24"/>
        <v>161.4</v>
      </c>
      <c r="AC816">
        <v>174.5</v>
      </c>
      <c r="AD816">
        <v>13</v>
      </c>
      <c r="AE816">
        <f t="shared" si="25"/>
        <v>6</v>
      </c>
      <c r="AF816">
        <v>2</v>
      </c>
      <c r="AG816">
        <v>2</v>
      </c>
      <c r="AH816">
        <v>1</v>
      </c>
      <c r="AI816">
        <v>0</v>
      </c>
      <c r="AJ816">
        <v>0.41176470588235292</v>
      </c>
      <c r="AK816">
        <v>0.11764705882352941</v>
      </c>
      <c r="AL816">
        <v>0.11764705882352941</v>
      </c>
      <c r="AM816">
        <v>5.8823529411764705E-2</v>
      </c>
      <c r="AN816">
        <v>0</v>
      </c>
    </row>
    <row r="817" spans="1:40" x14ac:dyDescent="0.25">
      <c r="A817">
        <v>2023</v>
      </c>
      <c r="B817" t="s">
        <v>220</v>
      </c>
      <c r="C817" t="str">
        <f>IF(COUNTIF('Rookies 22-25'!$B$2:$B$60,E817)&gt;0,"(R)","No")</f>
        <v>No</v>
      </c>
      <c r="D817">
        <v>31</v>
      </c>
      <c r="E817" t="s">
        <v>393</v>
      </c>
      <c r="F817" t="s">
        <v>28</v>
      </c>
      <c r="G817">
        <f>VLOOKUP(E817,'23 Draft ADP'!$B$3:$D$323,3,)</f>
        <v>226</v>
      </c>
      <c r="H817">
        <v>14</v>
      </c>
      <c r="I817" t="s">
        <v>33</v>
      </c>
      <c r="J817">
        <v>20.7</v>
      </c>
      <c r="K817">
        <v>22.5</v>
      </c>
      <c r="L817">
        <v>9</v>
      </c>
      <c r="M817">
        <v>33.5</v>
      </c>
      <c r="N817">
        <v>17.899999999999999</v>
      </c>
      <c r="O817">
        <v>7.2</v>
      </c>
      <c r="P817">
        <v>14.4</v>
      </c>
      <c r="Q817">
        <v>2.6</v>
      </c>
      <c r="R817">
        <v>0.2</v>
      </c>
      <c r="S817" t="s">
        <v>22</v>
      </c>
      <c r="T817">
        <v>9</v>
      </c>
      <c r="U817">
        <v>7.7</v>
      </c>
      <c r="V817">
        <v>9.6</v>
      </c>
      <c r="W817">
        <v>12.3</v>
      </c>
      <c r="X817" t="s">
        <v>33</v>
      </c>
      <c r="Y817" t="s">
        <v>33</v>
      </c>
      <c r="Z817">
        <v>3</v>
      </c>
      <c r="AA817">
        <v>12.1</v>
      </c>
      <c r="AB817">
        <f t="shared" si="24"/>
        <v>166.6</v>
      </c>
      <c r="AC817">
        <v>169.6</v>
      </c>
      <c r="AD817">
        <v>20</v>
      </c>
      <c r="AE817">
        <f t="shared" si="25"/>
        <v>6</v>
      </c>
      <c r="AF817">
        <v>4</v>
      </c>
      <c r="AG817">
        <v>3</v>
      </c>
      <c r="AH817">
        <v>1</v>
      </c>
      <c r="AI817">
        <v>1</v>
      </c>
      <c r="AJ817">
        <v>0.35294117647058826</v>
      </c>
      <c r="AK817">
        <v>0.2857142857142857</v>
      </c>
      <c r="AL817">
        <v>0.21428571428571427</v>
      </c>
      <c r="AM817">
        <v>7.1428571428571425E-2</v>
      </c>
      <c r="AN817">
        <v>7.1428571428571425E-2</v>
      </c>
    </row>
    <row r="818" spans="1:40" x14ac:dyDescent="0.25">
      <c r="A818">
        <v>2023</v>
      </c>
      <c r="B818" t="s">
        <v>220</v>
      </c>
      <c r="C818" t="str">
        <f>IF(COUNTIF('Rookies 22-25'!$B$2:$B$60,E818)&gt;0,"(R)","No")</f>
        <v>No</v>
      </c>
      <c r="D818">
        <v>32</v>
      </c>
      <c r="E818" t="s">
        <v>265</v>
      </c>
      <c r="F818" t="s">
        <v>41</v>
      </c>
      <c r="G818">
        <f>VLOOKUP(E818,'23 Draft ADP'!$B$3:$D$323,3,)</f>
        <v>146</v>
      </c>
      <c r="H818">
        <v>17</v>
      </c>
      <c r="I818">
        <v>1.5</v>
      </c>
      <c r="J818">
        <v>3.4</v>
      </c>
      <c r="K818">
        <v>6.5</v>
      </c>
      <c r="L818">
        <v>8.8000000000000007</v>
      </c>
      <c r="M818">
        <v>0</v>
      </c>
      <c r="N818">
        <v>7.2</v>
      </c>
      <c r="O818" t="s">
        <v>22</v>
      </c>
      <c r="P818">
        <v>6.3</v>
      </c>
      <c r="Q818">
        <v>4.5999999999999996</v>
      </c>
      <c r="R818">
        <v>23.1</v>
      </c>
      <c r="S818">
        <v>19.8</v>
      </c>
      <c r="T818">
        <v>13.2</v>
      </c>
      <c r="U818">
        <v>5</v>
      </c>
      <c r="V818">
        <v>12.5</v>
      </c>
      <c r="W818">
        <v>21</v>
      </c>
      <c r="X818">
        <v>9.3000000000000007</v>
      </c>
      <c r="Y818">
        <v>11.6</v>
      </c>
      <c r="Z818">
        <v>13.5</v>
      </c>
      <c r="AA818">
        <v>9.8000000000000007</v>
      </c>
      <c r="AB818">
        <f t="shared" si="24"/>
        <v>153.80000000000001</v>
      </c>
      <c r="AC818">
        <v>167.3</v>
      </c>
      <c r="AD818">
        <v>8</v>
      </c>
      <c r="AE818">
        <f t="shared" si="25"/>
        <v>6</v>
      </c>
      <c r="AF818">
        <v>3</v>
      </c>
      <c r="AG818">
        <v>2</v>
      </c>
      <c r="AH818">
        <v>0</v>
      </c>
      <c r="AI818">
        <v>0</v>
      </c>
      <c r="AJ818">
        <v>0.41176470588235292</v>
      </c>
      <c r="AK818">
        <v>0.17647058823529413</v>
      </c>
      <c r="AL818">
        <v>0.11764705882352941</v>
      </c>
      <c r="AM818">
        <v>0</v>
      </c>
      <c r="AN818">
        <v>0</v>
      </c>
    </row>
    <row r="819" spans="1:40" x14ac:dyDescent="0.25">
      <c r="A819">
        <v>2023</v>
      </c>
      <c r="B819" t="s">
        <v>220</v>
      </c>
      <c r="C819" t="str">
        <f>IF(COUNTIF('Rookies 22-25'!$B$2:$B$60,E819)&gt;0,"(R)","No")</f>
        <v>No</v>
      </c>
      <c r="D819">
        <v>33</v>
      </c>
      <c r="E819" t="s">
        <v>224</v>
      </c>
      <c r="F819" t="s">
        <v>28</v>
      </c>
      <c r="G819">
        <f>VLOOKUP(E819,'23 Draft ADP'!$B$3:$D$323,3,)</f>
        <v>49</v>
      </c>
      <c r="H819">
        <v>10</v>
      </c>
      <c r="I819" t="s">
        <v>33</v>
      </c>
      <c r="J819" t="s">
        <v>33</v>
      </c>
      <c r="K819" t="s">
        <v>33</v>
      </c>
      <c r="L819" t="s">
        <v>33</v>
      </c>
      <c r="M819">
        <v>4.4000000000000004</v>
      </c>
      <c r="N819">
        <v>11.5</v>
      </c>
      <c r="O819">
        <v>21</v>
      </c>
      <c r="P819">
        <v>10.7</v>
      </c>
      <c r="Q819">
        <v>17.899999999999999</v>
      </c>
      <c r="R819">
        <v>14.5</v>
      </c>
      <c r="S819" t="s">
        <v>22</v>
      </c>
      <c r="T819">
        <v>21.1</v>
      </c>
      <c r="U819" t="s">
        <v>33</v>
      </c>
      <c r="V819" t="s">
        <v>33</v>
      </c>
      <c r="W819" t="s">
        <v>33</v>
      </c>
      <c r="X819">
        <v>10.3</v>
      </c>
      <c r="Y819">
        <v>17.399999999999999</v>
      </c>
      <c r="Z819">
        <v>27.6</v>
      </c>
      <c r="AA819">
        <v>15.6</v>
      </c>
      <c r="AB819">
        <f t="shared" si="24"/>
        <v>128.80000000000001</v>
      </c>
      <c r="AC819">
        <v>156.4</v>
      </c>
      <c r="AD819">
        <v>8</v>
      </c>
      <c r="AE819">
        <f t="shared" si="25"/>
        <v>8</v>
      </c>
      <c r="AF819">
        <v>5</v>
      </c>
      <c r="AG819">
        <v>3</v>
      </c>
      <c r="AH819">
        <v>1</v>
      </c>
      <c r="AI819">
        <v>0</v>
      </c>
      <c r="AJ819">
        <v>0.52941176470588236</v>
      </c>
      <c r="AK819">
        <v>0.5</v>
      </c>
      <c r="AL819">
        <v>0.3</v>
      </c>
      <c r="AM819">
        <v>0.1</v>
      </c>
      <c r="AN819">
        <v>0</v>
      </c>
    </row>
    <row r="820" spans="1:40" x14ac:dyDescent="0.25">
      <c r="A820">
        <v>2023</v>
      </c>
      <c r="B820" t="s">
        <v>220</v>
      </c>
      <c r="C820" t="str">
        <f>IF(COUNTIF('Rookies 22-25'!$B$2:$B$60,E820)&gt;0,"(R)","No")</f>
        <v>(R)</v>
      </c>
      <c r="D820">
        <v>34</v>
      </c>
      <c r="E820" t="s">
        <v>264</v>
      </c>
      <c r="F820" t="s">
        <v>63</v>
      </c>
      <c r="G820">
        <f>VLOOKUP(E820,'23 Draft ADP'!$B$3:$D$323,3,)</f>
        <v>169</v>
      </c>
      <c r="H820">
        <v>17</v>
      </c>
      <c r="I820">
        <v>3.8</v>
      </c>
      <c r="J820">
        <v>7.5</v>
      </c>
      <c r="K820">
        <v>4.9000000000000004</v>
      </c>
      <c r="L820">
        <v>8.8000000000000007</v>
      </c>
      <c r="M820">
        <v>16.899999999999999</v>
      </c>
      <c r="N820">
        <v>7.3</v>
      </c>
      <c r="O820" t="s">
        <v>22</v>
      </c>
      <c r="P820">
        <v>6.6</v>
      </c>
      <c r="Q820">
        <v>6.2</v>
      </c>
      <c r="R820">
        <v>10</v>
      </c>
      <c r="S820">
        <v>4.5999999999999996</v>
      </c>
      <c r="T820">
        <v>1.7</v>
      </c>
      <c r="U820">
        <v>12.8</v>
      </c>
      <c r="V820">
        <v>17.8</v>
      </c>
      <c r="W820">
        <v>4.7</v>
      </c>
      <c r="X820">
        <v>11.7</v>
      </c>
      <c r="Y820">
        <v>6.9</v>
      </c>
      <c r="Z820">
        <v>21.6</v>
      </c>
      <c r="AA820">
        <v>9</v>
      </c>
      <c r="AB820">
        <f t="shared" si="24"/>
        <v>132.20000000000002</v>
      </c>
      <c r="AC820">
        <v>153.80000000000001</v>
      </c>
      <c r="AD820">
        <v>14</v>
      </c>
      <c r="AE820">
        <f t="shared" si="25"/>
        <v>4</v>
      </c>
      <c r="AF820">
        <v>3</v>
      </c>
      <c r="AG820">
        <v>1</v>
      </c>
      <c r="AH820">
        <v>0</v>
      </c>
      <c r="AI820">
        <v>0</v>
      </c>
      <c r="AJ820">
        <v>0.29411764705882354</v>
      </c>
      <c r="AK820">
        <v>0.17647058823529413</v>
      </c>
      <c r="AL820">
        <v>5.8823529411764705E-2</v>
      </c>
      <c r="AM820">
        <v>0</v>
      </c>
      <c r="AN820">
        <v>0</v>
      </c>
    </row>
    <row r="821" spans="1:40" x14ac:dyDescent="0.25">
      <c r="A821">
        <v>2023</v>
      </c>
      <c r="B821" t="s">
        <v>220</v>
      </c>
      <c r="C821" t="str">
        <f>IF(COUNTIF('Rookies 22-25'!$B$2:$B$60,E821)&gt;0,"(R)","No")</f>
        <v>No</v>
      </c>
      <c r="D821">
        <v>35</v>
      </c>
      <c r="E821" t="s">
        <v>245</v>
      </c>
      <c r="F821" t="s">
        <v>39</v>
      </c>
      <c r="G821">
        <f>VLOOKUP(E821,'23 Draft ADP'!$B$3:$D$323,3,)</f>
        <v>30</v>
      </c>
      <c r="H821">
        <v>12</v>
      </c>
      <c r="I821">
        <v>14.9</v>
      </c>
      <c r="J821">
        <v>15</v>
      </c>
      <c r="K821">
        <v>7.2</v>
      </c>
      <c r="L821">
        <v>6</v>
      </c>
      <c r="M821">
        <v>2.4</v>
      </c>
      <c r="N821">
        <v>18</v>
      </c>
      <c r="O821">
        <v>14.5</v>
      </c>
      <c r="P821">
        <v>7</v>
      </c>
      <c r="Q821">
        <v>22.9</v>
      </c>
      <c r="R821">
        <v>13.2</v>
      </c>
      <c r="S821" t="s">
        <v>22</v>
      </c>
      <c r="T821">
        <v>21.7</v>
      </c>
      <c r="U821">
        <v>2.9</v>
      </c>
      <c r="V821" t="s">
        <v>33</v>
      </c>
      <c r="W821" t="s">
        <v>33</v>
      </c>
      <c r="X821" t="s">
        <v>33</v>
      </c>
      <c r="Y821" t="s">
        <v>33</v>
      </c>
      <c r="Z821">
        <v>0</v>
      </c>
      <c r="AA821">
        <v>12.1</v>
      </c>
      <c r="AB821">
        <f t="shared" si="24"/>
        <v>145.69999999999999</v>
      </c>
      <c r="AC821">
        <v>145.69999999999999</v>
      </c>
      <c r="AD821">
        <v>6</v>
      </c>
      <c r="AE821">
        <f t="shared" si="25"/>
        <v>7</v>
      </c>
      <c r="AF821">
        <v>3</v>
      </c>
      <c r="AG821">
        <v>2</v>
      </c>
      <c r="AH821">
        <v>0</v>
      </c>
      <c r="AI821">
        <v>0</v>
      </c>
      <c r="AJ821">
        <v>0.41176470588235292</v>
      </c>
      <c r="AK821">
        <v>0.25</v>
      </c>
      <c r="AL821">
        <v>0.16666666666666666</v>
      </c>
      <c r="AM821">
        <v>0</v>
      </c>
      <c r="AN821">
        <v>0</v>
      </c>
    </row>
    <row r="822" spans="1:40" x14ac:dyDescent="0.25">
      <c r="A822">
        <v>2023</v>
      </c>
      <c r="B822" t="s">
        <v>220</v>
      </c>
      <c r="C822" t="str">
        <f>IF(COUNTIF('Rookies 22-25'!$B$2:$B$60,E822)&gt;0,"(R)","No")</f>
        <v>No</v>
      </c>
      <c r="D822">
        <v>36</v>
      </c>
      <c r="E822" t="s">
        <v>259</v>
      </c>
      <c r="F822" t="s">
        <v>24</v>
      </c>
      <c r="G822">
        <f>VLOOKUP(E822,'23 Draft ADP'!$B$3:$D$323,3,)</f>
        <v>147</v>
      </c>
      <c r="H822">
        <v>17</v>
      </c>
      <c r="I822">
        <v>24.4</v>
      </c>
      <c r="J822">
        <v>4.8</v>
      </c>
      <c r="K822">
        <v>4.9000000000000004</v>
      </c>
      <c r="L822">
        <v>2.2000000000000002</v>
      </c>
      <c r="M822">
        <v>6</v>
      </c>
      <c r="N822">
        <v>5.0999999999999996</v>
      </c>
      <c r="O822">
        <v>14.2</v>
      </c>
      <c r="P822">
        <v>3.1</v>
      </c>
      <c r="Q822">
        <v>11</v>
      </c>
      <c r="R822">
        <v>4.8</v>
      </c>
      <c r="S822" t="s">
        <v>22</v>
      </c>
      <c r="T822">
        <v>6.4</v>
      </c>
      <c r="U822">
        <v>2.6</v>
      </c>
      <c r="V822">
        <v>4</v>
      </c>
      <c r="W822">
        <v>6.1</v>
      </c>
      <c r="X822">
        <v>15.8</v>
      </c>
      <c r="Y822">
        <v>15.8</v>
      </c>
      <c r="Z822">
        <v>6.4</v>
      </c>
      <c r="AA822">
        <v>8.1</v>
      </c>
      <c r="AB822">
        <f t="shared" si="24"/>
        <v>131.19999999999999</v>
      </c>
      <c r="AC822">
        <v>137.6</v>
      </c>
      <c r="AD822">
        <v>12</v>
      </c>
      <c r="AE822">
        <f t="shared" si="25"/>
        <v>5</v>
      </c>
      <c r="AF822">
        <v>3</v>
      </c>
      <c r="AG822">
        <v>1</v>
      </c>
      <c r="AH822">
        <v>0</v>
      </c>
      <c r="AI822">
        <v>0</v>
      </c>
      <c r="AJ822">
        <v>0.29411764705882354</v>
      </c>
      <c r="AK822">
        <v>0.17647058823529413</v>
      </c>
      <c r="AL822">
        <v>5.8823529411764705E-2</v>
      </c>
      <c r="AM822">
        <v>0</v>
      </c>
      <c r="AN822">
        <v>0</v>
      </c>
    </row>
    <row r="823" spans="1:40" x14ac:dyDescent="0.25">
      <c r="A823">
        <v>2023</v>
      </c>
      <c r="B823" t="s">
        <v>220</v>
      </c>
      <c r="C823" t="str">
        <f>IF(COUNTIF('Rookies 22-25'!$B$2:$B$60,E823)&gt;0,"(R)","No")</f>
        <v>No</v>
      </c>
      <c r="D823">
        <v>37</v>
      </c>
      <c r="E823" t="s">
        <v>261</v>
      </c>
      <c r="F823" t="s">
        <v>69</v>
      </c>
      <c r="G823">
        <f>VLOOKUP(E823,'23 Draft ADP'!$B$3:$D$323,3,)</f>
        <v>48</v>
      </c>
      <c r="H823">
        <v>11</v>
      </c>
      <c r="I823">
        <v>26.7</v>
      </c>
      <c r="J823" t="s">
        <v>33</v>
      </c>
      <c r="K823" t="s">
        <v>33</v>
      </c>
      <c r="L823">
        <v>2.4</v>
      </c>
      <c r="M823" t="s">
        <v>33</v>
      </c>
      <c r="N823" t="s">
        <v>22</v>
      </c>
      <c r="O823">
        <v>8.6999999999999993</v>
      </c>
      <c r="P823">
        <v>8.6</v>
      </c>
      <c r="Q823">
        <v>17.899999999999999</v>
      </c>
      <c r="R823">
        <v>9.4</v>
      </c>
      <c r="S823">
        <v>2.7</v>
      </c>
      <c r="T823" t="s">
        <v>33</v>
      </c>
      <c r="U823" t="s">
        <v>33</v>
      </c>
      <c r="V823" t="s">
        <v>33</v>
      </c>
      <c r="W823">
        <v>10.9</v>
      </c>
      <c r="X823">
        <v>14.5</v>
      </c>
      <c r="Y823">
        <v>14</v>
      </c>
      <c r="Z823">
        <v>19.100000000000001</v>
      </c>
      <c r="AA823">
        <v>12.3</v>
      </c>
      <c r="AB823">
        <f t="shared" si="24"/>
        <v>115.80000000000001</v>
      </c>
      <c r="AC823">
        <v>134.9</v>
      </c>
      <c r="AD823">
        <v>2</v>
      </c>
      <c r="AE823">
        <f t="shared" si="25"/>
        <v>5</v>
      </c>
      <c r="AF823">
        <v>3</v>
      </c>
      <c r="AG823">
        <v>1</v>
      </c>
      <c r="AH823">
        <v>1</v>
      </c>
      <c r="AI823">
        <v>0</v>
      </c>
      <c r="AJ823">
        <v>0.35294117647058826</v>
      </c>
      <c r="AK823">
        <v>0.27272727272727271</v>
      </c>
      <c r="AL823">
        <v>9.0909090909090912E-2</v>
      </c>
      <c r="AM823">
        <v>9.0909090909090912E-2</v>
      </c>
      <c r="AN823">
        <v>0</v>
      </c>
    </row>
    <row r="824" spans="1:40" x14ac:dyDescent="0.25">
      <c r="A824">
        <v>2023</v>
      </c>
      <c r="B824" t="s">
        <v>220</v>
      </c>
      <c r="C824" t="str">
        <f>IF(COUNTIF('Rookies 22-25'!$B$2:$B$60,E824)&gt;0,"(R)","No")</f>
        <v>No</v>
      </c>
      <c r="D824">
        <v>38</v>
      </c>
      <c r="E824" t="s">
        <v>390</v>
      </c>
      <c r="F824" t="s">
        <v>73</v>
      </c>
      <c r="G824">
        <f>VLOOKUP(E824,'23 Draft ADP'!$B$3:$D$323,3,)</f>
        <v>59</v>
      </c>
      <c r="H824">
        <v>16</v>
      </c>
      <c r="I824">
        <v>13.4</v>
      </c>
      <c r="J824">
        <v>4.9000000000000004</v>
      </c>
      <c r="K824">
        <v>17.5</v>
      </c>
      <c r="L824">
        <v>10.8</v>
      </c>
      <c r="M824">
        <v>12.6</v>
      </c>
      <c r="N824">
        <v>11.2</v>
      </c>
      <c r="O824">
        <v>6.2</v>
      </c>
      <c r="P824">
        <v>4.3</v>
      </c>
      <c r="Q824">
        <v>17.3</v>
      </c>
      <c r="R824">
        <v>4.3</v>
      </c>
      <c r="S824">
        <v>7</v>
      </c>
      <c r="T824">
        <v>8.3000000000000007</v>
      </c>
      <c r="U824" t="s">
        <v>22</v>
      </c>
      <c r="V824">
        <v>6.6</v>
      </c>
      <c r="W824" t="s">
        <v>33</v>
      </c>
      <c r="X824">
        <v>-0.1</v>
      </c>
      <c r="Y824">
        <v>5</v>
      </c>
      <c r="Z824">
        <v>3.9</v>
      </c>
      <c r="AA824">
        <v>8.3000000000000007</v>
      </c>
      <c r="AB824">
        <f t="shared" si="24"/>
        <v>129.29999999999998</v>
      </c>
      <c r="AC824">
        <v>133.19999999999999</v>
      </c>
      <c r="AD824">
        <v>8</v>
      </c>
      <c r="AE824">
        <f t="shared" si="25"/>
        <v>6</v>
      </c>
      <c r="AF824">
        <v>2</v>
      </c>
      <c r="AG824">
        <v>0</v>
      </c>
      <c r="AH824">
        <v>0</v>
      </c>
      <c r="AI824">
        <v>0</v>
      </c>
      <c r="AJ824">
        <v>0.35294117647058826</v>
      </c>
      <c r="AK824">
        <v>0.125</v>
      </c>
      <c r="AL824">
        <v>0</v>
      </c>
      <c r="AM824">
        <v>0</v>
      </c>
      <c r="AN824">
        <v>0</v>
      </c>
    </row>
    <row r="825" spans="1:40" x14ac:dyDescent="0.25">
      <c r="A825">
        <v>2023</v>
      </c>
      <c r="B825" t="s">
        <v>220</v>
      </c>
      <c r="C825" t="str">
        <f>IF(COUNTIF('Rookies 22-25'!$B$2:$B$60,E825)&gt;0,"(R)","No")</f>
        <v>No</v>
      </c>
      <c r="D825">
        <v>39</v>
      </c>
      <c r="E825" t="s">
        <v>310</v>
      </c>
      <c r="F825" t="s">
        <v>59</v>
      </c>
      <c r="G825">
        <f>VLOOKUP(E825,'23 Draft ADP'!$B$3:$D$323,3,)</f>
        <v>97</v>
      </c>
      <c r="H825">
        <v>16</v>
      </c>
      <c r="I825">
        <v>0.9</v>
      </c>
      <c r="J825">
        <v>8.3000000000000007</v>
      </c>
      <c r="K825">
        <v>3.4</v>
      </c>
      <c r="L825">
        <v>3.6</v>
      </c>
      <c r="M825">
        <v>10.4</v>
      </c>
      <c r="N825">
        <v>8.6</v>
      </c>
      <c r="O825">
        <v>5.0999999999999996</v>
      </c>
      <c r="P825">
        <v>9.1999999999999993</v>
      </c>
      <c r="Q825">
        <v>12.6</v>
      </c>
      <c r="R825">
        <v>16.5</v>
      </c>
      <c r="S825" t="s">
        <v>33</v>
      </c>
      <c r="T825">
        <v>6.7</v>
      </c>
      <c r="U825">
        <v>11.2</v>
      </c>
      <c r="V825" t="s">
        <v>22</v>
      </c>
      <c r="W825">
        <v>8.5</v>
      </c>
      <c r="X825">
        <v>10.199999999999999</v>
      </c>
      <c r="Y825">
        <v>5.6</v>
      </c>
      <c r="Z825">
        <v>6.6</v>
      </c>
      <c r="AA825">
        <v>8</v>
      </c>
      <c r="AB825">
        <f t="shared" si="24"/>
        <v>120.80000000000001</v>
      </c>
      <c r="AC825">
        <v>127.4</v>
      </c>
      <c r="AD825">
        <v>10</v>
      </c>
      <c r="AE825">
        <f t="shared" si="25"/>
        <v>5</v>
      </c>
      <c r="AF825">
        <v>1</v>
      </c>
      <c r="AG825">
        <v>0</v>
      </c>
      <c r="AH825">
        <v>0</v>
      </c>
      <c r="AI825">
        <v>0</v>
      </c>
      <c r="AJ825">
        <v>0.29411764705882354</v>
      </c>
      <c r="AK825">
        <v>6.25E-2</v>
      </c>
      <c r="AL825">
        <v>0</v>
      </c>
      <c r="AM825">
        <v>0</v>
      </c>
      <c r="AN825">
        <v>0</v>
      </c>
    </row>
    <row r="826" spans="1:40" x14ac:dyDescent="0.25">
      <c r="A826">
        <v>2023</v>
      </c>
      <c r="B826" t="s">
        <v>220</v>
      </c>
      <c r="C826" t="str">
        <f>IF(COUNTIF('Rookies 22-25'!$B$2:$B$60,E826)&gt;0,"(R)","No")</f>
        <v>No</v>
      </c>
      <c r="D826">
        <v>40</v>
      </c>
      <c r="E826" t="s">
        <v>277</v>
      </c>
      <c r="F826" t="s">
        <v>78</v>
      </c>
      <c r="G826">
        <f>VLOOKUP(E826,'23 Draft ADP'!$B$3:$D$323,3,)</f>
        <v>124</v>
      </c>
      <c r="H826">
        <v>17</v>
      </c>
      <c r="I826">
        <v>11.8</v>
      </c>
      <c r="J826">
        <v>5.4</v>
      </c>
      <c r="K826">
        <v>4.4000000000000004</v>
      </c>
      <c r="L826">
        <v>5.5</v>
      </c>
      <c r="M826">
        <v>11.5</v>
      </c>
      <c r="N826">
        <v>1.6</v>
      </c>
      <c r="O826">
        <v>7.1</v>
      </c>
      <c r="P826">
        <v>4.0999999999999996</v>
      </c>
      <c r="Q826" t="s">
        <v>22</v>
      </c>
      <c r="R826">
        <v>7.3</v>
      </c>
      <c r="S826">
        <v>13.7</v>
      </c>
      <c r="T826">
        <v>13.6</v>
      </c>
      <c r="U826">
        <v>2.6</v>
      </c>
      <c r="V826">
        <v>9.4</v>
      </c>
      <c r="W826">
        <v>5.8</v>
      </c>
      <c r="X826">
        <v>6.9</v>
      </c>
      <c r="Y826">
        <v>4.5999999999999996</v>
      </c>
      <c r="Z826">
        <v>6</v>
      </c>
      <c r="AA826">
        <v>7.1</v>
      </c>
      <c r="AB826">
        <f t="shared" si="24"/>
        <v>115.3</v>
      </c>
      <c r="AC826">
        <v>121.3</v>
      </c>
      <c r="AD826">
        <v>11</v>
      </c>
      <c r="AE826">
        <f t="shared" si="25"/>
        <v>4</v>
      </c>
      <c r="AF826">
        <v>0</v>
      </c>
      <c r="AG826">
        <v>0</v>
      </c>
      <c r="AH826">
        <v>0</v>
      </c>
      <c r="AI826">
        <v>0</v>
      </c>
      <c r="AJ826">
        <v>0.23529411764705882</v>
      </c>
      <c r="AK826">
        <v>0</v>
      </c>
      <c r="AL826">
        <v>0</v>
      </c>
      <c r="AM826">
        <v>0</v>
      </c>
      <c r="AN826">
        <v>0</v>
      </c>
    </row>
    <row r="827" spans="1:40" x14ac:dyDescent="0.25">
      <c r="A827">
        <v>2023</v>
      </c>
      <c r="B827" t="s">
        <v>220</v>
      </c>
      <c r="C827" t="str">
        <f>IF(COUNTIF('Rookies 22-25'!$B$2:$B$60,E827)&gt;0,"(R)","No")</f>
        <v>No</v>
      </c>
      <c r="D827">
        <v>41</v>
      </c>
      <c r="E827" t="s">
        <v>251</v>
      </c>
      <c r="F827" t="s">
        <v>32</v>
      </c>
      <c r="G827">
        <f>VLOOKUP(E827,'23 Draft ADP'!$B$3:$D$323,3,)</f>
        <v>164</v>
      </c>
      <c r="H827">
        <v>15</v>
      </c>
      <c r="I827" t="s">
        <v>33</v>
      </c>
      <c r="J827" t="s">
        <v>33</v>
      </c>
      <c r="K827">
        <v>5.5</v>
      </c>
      <c r="L827">
        <v>1.2</v>
      </c>
      <c r="M827" t="s">
        <v>22</v>
      </c>
      <c r="N827">
        <v>16.100000000000001</v>
      </c>
      <c r="O827">
        <v>15.1</v>
      </c>
      <c r="P827">
        <v>13.7</v>
      </c>
      <c r="Q827">
        <v>9.8000000000000007</v>
      </c>
      <c r="R827">
        <v>9.1999999999999993</v>
      </c>
      <c r="S827">
        <v>6.7</v>
      </c>
      <c r="T827">
        <v>2.2000000000000002</v>
      </c>
      <c r="U827">
        <v>5.8</v>
      </c>
      <c r="V827">
        <v>10</v>
      </c>
      <c r="W827">
        <v>3</v>
      </c>
      <c r="X827">
        <v>9.6</v>
      </c>
      <c r="Y827">
        <v>9.1</v>
      </c>
      <c r="Z827">
        <v>1.5</v>
      </c>
      <c r="AA827">
        <v>7.9</v>
      </c>
      <c r="AB827">
        <f t="shared" si="24"/>
        <v>117</v>
      </c>
      <c r="AC827">
        <v>118.5</v>
      </c>
      <c r="AD827">
        <v>14</v>
      </c>
      <c r="AE827">
        <f t="shared" si="25"/>
        <v>3</v>
      </c>
      <c r="AF827">
        <v>2</v>
      </c>
      <c r="AG827">
        <v>0</v>
      </c>
      <c r="AH827">
        <v>0</v>
      </c>
      <c r="AI827">
        <v>0</v>
      </c>
      <c r="AJ827">
        <v>0.17647058823529413</v>
      </c>
      <c r="AK827">
        <v>0.13333333333333333</v>
      </c>
      <c r="AL827">
        <v>0</v>
      </c>
      <c r="AM827">
        <v>0</v>
      </c>
      <c r="AN827">
        <v>0</v>
      </c>
    </row>
    <row r="828" spans="1:40" x14ac:dyDescent="0.25">
      <c r="A828">
        <v>2023</v>
      </c>
      <c r="B828" t="s">
        <v>220</v>
      </c>
      <c r="C828" t="str">
        <f>IF(COUNTIF('Rookies 22-25'!$B$2:$B$60,E828)&gt;0,"(R)","No")</f>
        <v>No</v>
      </c>
      <c r="D828">
        <v>42</v>
      </c>
      <c r="E828" t="s">
        <v>488</v>
      </c>
      <c r="F828" t="s">
        <v>69</v>
      </c>
      <c r="G828">
        <f>VLOOKUP(E828,'23 Draft ADP'!$B$3:$D$323,3,)</f>
        <v>99</v>
      </c>
      <c r="H828">
        <v>15</v>
      </c>
      <c r="I828">
        <v>5.6</v>
      </c>
      <c r="J828">
        <v>7.3</v>
      </c>
      <c r="K828">
        <v>3.3</v>
      </c>
      <c r="L828">
        <v>1.1000000000000001</v>
      </c>
      <c r="M828">
        <v>13.6</v>
      </c>
      <c r="N828" t="s">
        <v>22</v>
      </c>
      <c r="O828">
        <v>11.5</v>
      </c>
      <c r="P828">
        <v>10.199999999999999</v>
      </c>
      <c r="Q828">
        <v>5.3</v>
      </c>
      <c r="R828">
        <v>9.1</v>
      </c>
      <c r="S828">
        <v>10.1</v>
      </c>
      <c r="T828">
        <v>11.1</v>
      </c>
      <c r="U828">
        <v>9.6999999999999993</v>
      </c>
      <c r="V828">
        <v>9.8000000000000007</v>
      </c>
      <c r="W828" t="s">
        <v>33</v>
      </c>
      <c r="X828">
        <v>7.2</v>
      </c>
      <c r="Y828">
        <v>2.7</v>
      </c>
      <c r="Z828">
        <v>0</v>
      </c>
      <c r="AA828">
        <v>7.8</v>
      </c>
      <c r="AB828">
        <f t="shared" si="24"/>
        <v>117.6</v>
      </c>
      <c r="AC828">
        <v>117.6</v>
      </c>
      <c r="AD828">
        <v>10</v>
      </c>
      <c r="AE828">
        <f t="shared" si="25"/>
        <v>5</v>
      </c>
      <c r="AF828">
        <v>0</v>
      </c>
      <c r="AG828">
        <v>0</v>
      </c>
      <c r="AH828">
        <v>0</v>
      </c>
      <c r="AI828">
        <v>0</v>
      </c>
      <c r="AJ828">
        <v>0.29411764705882354</v>
      </c>
      <c r="AK828">
        <v>0</v>
      </c>
      <c r="AL828">
        <v>0</v>
      </c>
      <c r="AM828">
        <v>0</v>
      </c>
      <c r="AN828">
        <v>0</v>
      </c>
    </row>
    <row r="829" spans="1:40" x14ac:dyDescent="0.25">
      <c r="A829">
        <v>2023</v>
      </c>
      <c r="B829" t="s">
        <v>220</v>
      </c>
      <c r="C829" t="str">
        <f>IF(COUNTIF('Rookies 22-25'!$B$2:$B$60,E829)&gt;0,"(R)","No")</f>
        <v>No</v>
      </c>
      <c r="D829">
        <v>43</v>
      </c>
      <c r="E829" t="s">
        <v>405</v>
      </c>
      <c r="F829" t="s">
        <v>45</v>
      </c>
      <c r="G829">
        <f>VLOOKUP(E829,'23 Draft ADP'!$B$3:$D$323,3,)</f>
        <v>90</v>
      </c>
      <c r="H829">
        <v>12</v>
      </c>
      <c r="I829">
        <v>11.4</v>
      </c>
      <c r="J829">
        <v>6.8</v>
      </c>
      <c r="K829">
        <v>3.5</v>
      </c>
      <c r="L829">
        <v>22.2</v>
      </c>
      <c r="M829">
        <v>7.6</v>
      </c>
      <c r="N829" t="s">
        <v>33</v>
      </c>
      <c r="O829" t="s">
        <v>33</v>
      </c>
      <c r="P829" t="s">
        <v>33</v>
      </c>
      <c r="Q829" t="s">
        <v>33</v>
      </c>
      <c r="R829" t="s">
        <v>33</v>
      </c>
      <c r="S829">
        <v>6.1</v>
      </c>
      <c r="T829">
        <v>5.8</v>
      </c>
      <c r="U829" t="s">
        <v>22</v>
      </c>
      <c r="V829">
        <v>0.8</v>
      </c>
      <c r="W829">
        <v>2.2000000000000002</v>
      </c>
      <c r="X829">
        <v>19.100000000000001</v>
      </c>
      <c r="Y829">
        <v>20.9</v>
      </c>
      <c r="Z829">
        <v>6.1</v>
      </c>
      <c r="AA829">
        <v>9.4</v>
      </c>
      <c r="AB829">
        <f t="shared" si="24"/>
        <v>106.4</v>
      </c>
      <c r="AC829">
        <v>112.5</v>
      </c>
      <c r="AD829">
        <v>10</v>
      </c>
      <c r="AE829">
        <f t="shared" si="25"/>
        <v>4</v>
      </c>
      <c r="AF829">
        <v>3</v>
      </c>
      <c r="AG829">
        <v>2</v>
      </c>
      <c r="AH829">
        <v>0</v>
      </c>
      <c r="AI829">
        <v>0</v>
      </c>
      <c r="AJ829">
        <v>0.23529411764705882</v>
      </c>
      <c r="AK829">
        <v>0.25</v>
      </c>
      <c r="AL829">
        <v>0.16666666666666666</v>
      </c>
      <c r="AM829">
        <v>0</v>
      </c>
      <c r="AN829">
        <v>0</v>
      </c>
    </row>
    <row r="830" spans="1:40" x14ac:dyDescent="0.25">
      <c r="A830">
        <v>2023</v>
      </c>
      <c r="B830" t="s">
        <v>220</v>
      </c>
      <c r="C830" t="str">
        <f>IF(COUNTIF('Rookies 22-25'!$B$2:$B$60,E830)&gt;0,"(R)","No")</f>
        <v>No</v>
      </c>
      <c r="D830">
        <v>44</v>
      </c>
      <c r="E830" t="s">
        <v>280</v>
      </c>
      <c r="F830" t="s">
        <v>53</v>
      </c>
      <c r="G830">
        <f>VLOOKUP(E830,'23 Draft ADP'!$B$3:$D$323,3,)</f>
        <v>208</v>
      </c>
      <c r="H830">
        <v>16</v>
      </c>
      <c r="I830">
        <v>12.9</v>
      </c>
      <c r="J830">
        <v>8.3000000000000007</v>
      </c>
      <c r="K830" t="s">
        <v>33</v>
      </c>
      <c r="L830">
        <v>3.3</v>
      </c>
      <c r="M830">
        <v>12.5</v>
      </c>
      <c r="N830">
        <v>6.5</v>
      </c>
      <c r="O830">
        <v>5.8</v>
      </c>
      <c r="P830">
        <v>9.5</v>
      </c>
      <c r="Q830">
        <v>4</v>
      </c>
      <c r="R830">
        <v>0.7</v>
      </c>
      <c r="S830">
        <v>1.7</v>
      </c>
      <c r="T830">
        <v>3.1</v>
      </c>
      <c r="U830" t="s">
        <v>22</v>
      </c>
      <c r="V830">
        <v>2.2000000000000002</v>
      </c>
      <c r="W830">
        <v>2.2999999999999998</v>
      </c>
      <c r="X830">
        <v>8.6999999999999993</v>
      </c>
      <c r="Y830">
        <v>22.2</v>
      </c>
      <c r="Z830">
        <v>5.6</v>
      </c>
      <c r="AA830">
        <v>6.8</v>
      </c>
      <c r="AB830">
        <f t="shared" si="24"/>
        <v>103.7</v>
      </c>
      <c r="AC830">
        <v>109.3</v>
      </c>
      <c r="AD830">
        <v>16</v>
      </c>
      <c r="AE830">
        <f t="shared" si="25"/>
        <v>3</v>
      </c>
      <c r="AF830">
        <v>1</v>
      </c>
      <c r="AG830">
        <v>1</v>
      </c>
      <c r="AH830">
        <v>0</v>
      </c>
      <c r="AI830">
        <v>0</v>
      </c>
      <c r="AJ830">
        <v>0.17647058823529413</v>
      </c>
      <c r="AK830">
        <v>6.25E-2</v>
      </c>
      <c r="AL830">
        <v>6.25E-2</v>
      </c>
      <c r="AM830">
        <v>0</v>
      </c>
      <c r="AN830">
        <v>0</v>
      </c>
    </row>
    <row r="831" spans="1:40" x14ac:dyDescent="0.25">
      <c r="A831">
        <v>2023</v>
      </c>
      <c r="B831" t="s">
        <v>220</v>
      </c>
      <c r="C831" t="str">
        <f>IF(COUNTIF('Rookies 22-25'!$B$2:$B$60,E831)&gt;0,"(R)","No")</f>
        <v>(R)</v>
      </c>
      <c r="D831">
        <v>45</v>
      </c>
      <c r="E831" t="s">
        <v>244</v>
      </c>
      <c r="F831" t="s">
        <v>49</v>
      </c>
      <c r="G831">
        <f>VLOOKUP(E831,'23 Draft ADP'!$B$3:$D$323,3,)</f>
        <v>116</v>
      </c>
      <c r="H831">
        <v>16</v>
      </c>
      <c r="I831">
        <v>1.1000000000000001</v>
      </c>
      <c r="J831">
        <v>5</v>
      </c>
      <c r="K831">
        <v>5.5</v>
      </c>
      <c r="L831">
        <v>5</v>
      </c>
      <c r="M831" t="s">
        <v>22</v>
      </c>
      <c r="N831">
        <v>3.9</v>
      </c>
      <c r="O831" t="s">
        <v>33</v>
      </c>
      <c r="P831">
        <v>8.4</v>
      </c>
      <c r="Q831">
        <v>2.2999999999999998</v>
      </c>
      <c r="R831">
        <v>10.199999999999999</v>
      </c>
      <c r="S831">
        <v>12.9</v>
      </c>
      <c r="T831">
        <v>9.8000000000000007</v>
      </c>
      <c r="U831">
        <v>16.899999999999999</v>
      </c>
      <c r="V831">
        <v>5.8</v>
      </c>
      <c r="W831">
        <v>1.6</v>
      </c>
      <c r="X831">
        <v>0.6</v>
      </c>
      <c r="Y831">
        <v>9.1</v>
      </c>
      <c r="Z831">
        <v>8</v>
      </c>
      <c r="AA831">
        <v>6.6</v>
      </c>
      <c r="AB831">
        <f t="shared" si="24"/>
        <v>98.1</v>
      </c>
      <c r="AC831">
        <v>106.1</v>
      </c>
      <c r="AD831">
        <v>11</v>
      </c>
      <c r="AE831">
        <f t="shared" si="25"/>
        <v>3</v>
      </c>
      <c r="AF831">
        <v>1</v>
      </c>
      <c r="AG831">
        <v>0</v>
      </c>
      <c r="AH831">
        <v>0</v>
      </c>
      <c r="AI831">
        <v>0</v>
      </c>
      <c r="AJ831">
        <v>0.17647058823529413</v>
      </c>
      <c r="AK831">
        <v>6.25E-2</v>
      </c>
      <c r="AL831">
        <v>0</v>
      </c>
      <c r="AM831">
        <v>0</v>
      </c>
      <c r="AN831">
        <v>0</v>
      </c>
    </row>
    <row r="832" spans="1:40" x14ac:dyDescent="0.25">
      <c r="A832">
        <v>2023</v>
      </c>
      <c r="B832" t="s">
        <v>220</v>
      </c>
      <c r="C832" t="str">
        <f>IF(COUNTIF('Rookies 22-25'!$B$2:$B$60,E832)&gt;0,"(R)","No")</f>
        <v>No</v>
      </c>
      <c r="D832">
        <v>46</v>
      </c>
      <c r="E832" t="s">
        <v>302</v>
      </c>
      <c r="F832" t="s">
        <v>78</v>
      </c>
      <c r="G832">
        <v>296</v>
      </c>
      <c r="H832">
        <v>17</v>
      </c>
      <c r="I832">
        <v>0.3</v>
      </c>
      <c r="J832">
        <v>6.5</v>
      </c>
      <c r="K832">
        <v>1.5</v>
      </c>
      <c r="L832">
        <v>19.399999999999999</v>
      </c>
      <c r="M832">
        <v>17.899999999999999</v>
      </c>
      <c r="N832">
        <v>6.2</v>
      </c>
      <c r="O832">
        <v>5.6</v>
      </c>
      <c r="P832">
        <v>5.9</v>
      </c>
      <c r="Q832" t="s">
        <v>22</v>
      </c>
      <c r="R832">
        <v>3.2</v>
      </c>
      <c r="S832">
        <v>6.5</v>
      </c>
      <c r="T832">
        <v>0.4</v>
      </c>
      <c r="U832">
        <v>4.0999999999999996</v>
      </c>
      <c r="V832">
        <v>4.2</v>
      </c>
      <c r="W832">
        <v>3.8</v>
      </c>
      <c r="X832">
        <v>10.7</v>
      </c>
      <c r="Y832">
        <v>9.1999999999999993</v>
      </c>
      <c r="Z832">
        <v>0.6</v>
      </c>
      <c r="AA832">
        <v>6.2</v>
      </c>
      <c r="AB832">
        <f t="shared" si="24"/>
        <v>105.4</v>
      </c>
      <c r="AC832">
        <v>106</v>
      </c>
      <c r="AD832">
        <v>20</v>
      </c>
      <c r="AE832">
        <f t="shared" si="25"/>
        <v>3</v>
      </c>
      <c r="AF832">
        <v>2</v>
      </c>
      <c r="AG832">
        <v>0</v>
      </c>
      <c r="AH832">
        <v>0</v>
      </c>
      <c r="AI832">
        <v>0</v>
      </c>
      <c r="AJ832">
        <v>0.17647058823529413</v>
      </c>
      <c r="AK832">
        <v>0.11764705882352941</v>
      </c>
      <c r="AL832">
        <v>0</v>
      </c>
      <c r="AM832">
        <v>0</v>
      </c>
      <c r="AN832">
        <v>0</v>
      </c>
    </row>
    <row r="833" spans="1:40" x14ac:dyDescent="0.25">
      <c r="A833">
        <v>2023</v>
      </c>
      <c r="B833" t="s">
        <v>220</v>
      </c>
      <c r="C833" t="str">
        <f>IF(COUNTIF('Rookies 22-25'!$B$2:$B$60,E833)&gt;0,"(R)","No")</f>
        <v>(R)</v>
      </c>
      <c r="D833">
        <v>47</v>
      </c>
      <c r="E833" t="s">
        <v>394</v>
      </c>
      <c r="F833" t="s">
        <v>45</v>
      </c>
      <c r="G833">
        <f>VLOOKUP(E833,'23 Draft ADP'!$B$3:$D$323,3,)</f>
        <v>161</v>
      </c>
      <c r="H833">
        <v>15</v>
      </c>
      <c r="I833">
        <v>17.5</v>
      </c>
      <c r="J833">
        <v>6.2</v>
      </c>
      <c r="K833">
        <v>6.9</v>
      </c>
      <c r="L833">
        <v>2.5</v>
      </c>
      <c r="M833">
        <v>1.9</v>
      </c>
      <c r="N833" t="s">
        <v>33</v>
      </c>
      <c r="O833" t="s">
        <v>33</v>
      </c>
      <c r="P833">
        <v>6.1</v>
      </c>
      <c r="Q833">
        <v>2.5</v>
      </c>
      <c r="R833">
        <v>7.2</v>
      </c>
      <c r="S833">
        <v>3</v>
      </c>
      <c r="T833">
        <v>12.5</v>
      </c>
      <c r="U833" t="s">
        <v>22</v>
      </c>
      <c r="V833">
        <v>0.6</v>
      </c>
      <c r="W833">
        <v>10</v>
      </c>
      <c r="X833">
        <v>8.3000000000000007</v>
      </c>
      <c r="Y833">
        <v>14.9</v>
      </c>
      <c r="Z833">
        <v>2</v>
      </c>
      <c r="AA833">
        <v>6.8</v>
      </c>
      <c r="AB833">
        <f t="shared" si="24"/>
        <v>100.1</v>
      </c>
      <c r="AC833">
        <v>102.1</v>
      </c>
      <c r="AD833">
        <v>13</v>
      </c>
      <c r="AE833">
        <f t="shared" si="25"/>
        <v>3</v>
      </c>
      <c r="AF833">
        <v>1</v>
      </c>
      <c r="AG833">
        <v>0</v>
      </c>
      <c r="AH833">
        <v>0</v>
      </c>
      <c r="AI833">
        <v>0</v>
      </c>
      <c r="AJ833">
        <v>0.17647058823529413</v>
      </c>
      <c r="AK833">
        <v>6.6666666666666666E-2</v>
      </c>
      <c r="AL833">
        <v>0</v>
      </c>
      <c r="AM833">
        <v>0</v>
      </c>
      <c r="AN833">
        <v>0</v>
      </c>
    </row>
    <row r="834" spans="1:40" x14ac:dyDescent="0.25">
      <c r="A834">
        <v>2023</v>
      </c>
      <c r="B834" t="s">
        <v>220</v>
      </c>
      <c r="C834" t="str">
        <f>IF(COUNTIF('Rookies 22-25'!$B$2:$B$60,E834)&gt;0,"(R)","No")</f>
        <v>No</v>
      </c>
      <c r="D834">
        <v>48</v>
      </c>
      <c r="E834" t="s">
        <v>489</v>
      </c>
      <c r="F834" t="s">
        <v>73</v>
      </c>
      <c r="G834">
        <f>VLOOKUP(E834,'23 Draft ADP'!$B$3:$D$323,3,)</f>
        <v>216</v>
      </c>
      <c r="H834">
        <v>16</v>
      </c>
      <c r="I834">
        <v>2.8</v>
      </c>
      <c r="J834">
        <v>2.9</v>
      </c>
      <c r="K834">
        <v>4.0999999999999996</v>
      </c>
      <c r="L834">
        <v>0</v>
      </c>
      <c r="M834">
        <v>1.5</v>
      </c>
      <c r="N834">
        <v>0</v>
      </c>
      <c r="O834">
        <v>2.2000000000000002</v>
      </c>
      <c r="P834">
        <v>0</v>
      </c>
      <c r="Q834" t="s">
        <v>33</v>
      </c>
      <c r="R834">
        <v>10.5</v>
      </c>
      <c r="S834">
        <v>15</v>
      </c>
      <c r="T834">
        <v>2.1</v>
      </c>
      <c r="U834" t="s">
        <v>22</v>
      </c>
      <c r="V834">
        <v>7.2</v>
      </c>
      <c r="W834">
        <v>24.7</v>
      </c>
      <c r="X834">
        <v>7.7</v>
      </c>
      <c r="Y834">
        <v>9.4</v>
      </c>
      <c r="Z834">
        <v>10.9</v>
      </c>
      <c r="AA834">
        <v>6.3</v>
      </c>
      <c r="AB834">
        <f t="shared" si="24"/>
        <v>90.1</v>
      </c>
      <c r="AC834">
        <v>101</v>
      </c>
      <c r="AD834">
        <v>19</v>
      </c>
      <c r="AE834">
        <f t="shared" si="25"/>
        <v>3</v>
      </c>
      <c r="AF834">
        <v>1</v>
      </c>
      <c r="AG834">
        <v>1</v>
      </c>
      <c r="AH834">
        <v>0</v>
      </c>
      <c r="AI834">
        <v>0</v>
      </c>
      <c r="AJ834">
        <v>0.23529411764705882</v>
      </c>
      <c r="AK834">
        <v>6.25E-2</v>
      </c>
      <c r="AL834">
        <v>6.25E-2</v>
      </c>
      <c r="AM834">
        <v>0</v>
      </c>
      <c r="AN834">
        <v>0</v>
      </c>
    </row>
    <row r="835" spans="1:40" x14ac:dyDescent="0.25">
      <c r="A835">
        <v>2023</v>
      </c>
      <c r="B835" t="s">
        <v>220</v>
      </c>
      <c r="C835" t="str">
        <f>IF(COUNTIF('Rookies 22-25'!$B$2:$B$60,E835)&gt;0,"(R)","No")</f>
        <v>No</v>
      </c>
      <c r="D835">
        <v>49</v>
      </c>
      <c r="E835" t="s">
        <v>236</v>
      </c>
      <c r="F835" t="s">
        <v>35</v>
      </c>
      <c r="G835">
        <f>VLOOKUP(E835,'23 Draft ADP'!$B$3:$D$323,3,)</f>
        <v>127</v>
      </c>
      <c r="H835">
        <v>16</v>
      </c>
      <c r="I835">
        <v>11.4</v>
      </c>
      <c r="J835" t="s">
        <v>33</v>
      </c>
      <c r="K835">
        <v>5.8</v>
      </c>
      <c r="L835">
        <v>6.1</v>
      </c>
      <c r="M835">
        <v>3.4</v>
      </c>
      <c r="N835">
        <v>2.7</v>
      </c>
      <c r="O835">
        <v>7.6</v>
      </c>
      <c r="P835">
        <v>5.6</v>
      </c>
      <c r="Q835">
        <v>9.3000000000000007</v>
      </c>
      <c r="R835" t="s">
        <v>22</v>
      </c>
      <c r="S835">
        <v>1.5</v>
      </c>
      <c r="T835">
        <v>5.6</v>
      </c>
      <c r="U835">
        <v>9.6999999999999993</v>
      </c>
      <c r="V835">
        <v>2.8</v>
      </c>
      <c r="W835">
        <v>2.1</v>
      </c>
      <c r="X835">
        <v>10.9</v>
      </c>
      <c r="Y835">
        <v>6.7</v>
      </c>
      <c r="Z835">
        <v>6.2</v>
      </c>
      <c r="AA835">
        <v>6.1</v>
      </c>
      <c r="AB835">
        <f t="shared" ref="AB835:AB898" si="26">AC835-Z835</f>
        <v>91.2</v>
      </c>
      <c r="AC835">
        <v>97.4</v>
      </c>
      <c r="AD835">
        <v>6</v>
      </c>
      <c r="AE835">
        <f t="shared" ref="AE835:AE898" si="27">COUNTIF(I835:Y835,"&gt;10")</f>
        <v>2</v>
      </c>
      <c r="AF835">
        <v>0</v>
      </c>
      <c r="AG835">
        <v>0</v>
      </c>
      <c r="AH835">
        <v>0</v>
      </c>
      <c r="AI835">
        <v>0</v>
      </c>
      <c r="AJ835">
        <v>0.11764705882352941</v>
      </c>
      <c r="AK835">
        <v>0</v>
      </c>
      <c r="AL835">
        <v>0</v>
      </c>
      <c r="AM835">
        <v>0</v>
      </c>
      <c r="AN835">
        <v>0</v>
      </c>
    </row>
    <row r="836" spans="1:40" x14ac:dyDescent="0.25">
      <c r="A836">
        <v>2023</v>
      </c>
      <c r="B836" t="s">
        <v>220</v>
      </c>
      <c r="C836" t="str">
        <f>IF(COUNTIF('Rookies 22-25'!$B$2:$B$60,E836)&gt;0,"(R)","No")</f>
        <v>No</v>
      </c>
      <c r="D836">
        <v>50</v>
      </c>
      <c r="E836" t="s">
        <v>238</v>
      </c>
      <c r="F836" t="s">
        <v>30</v>
      </c>
      <c r="G836">
        <f>VLOOKUP(E836,'23 Draft ADP'!$B$3:$D$323,3,)</f>
        <v>201</v>
      </c>
      <c r="H836">
        <v>16</v>
      </c>
      <c r="I836">
        <v>2.4</v>
      </c>
      <c r="J836">
        <v>5.3</v>
      </c>
      <c r="K836">
        <v>13.6</v>
      </c>
      <c r="L836">
        <v>2.7</v>
      </c>
      <c r="M836">
        <v>1.5</v>
      </c>
      <c r="N836">
        <v>1.2</v>
      </c>
      <c r="O836" t="s">
        <v>22</v>
      </c>
      <c r="P836">
        <v>4.5</v>
      </c>
      <c r="Q836">
        <v>0.8</v>
      </c>
      <c r="R836">
        <v>13.9</v>
      </c>
      <c r="S836">
        <v>4</v>
      </c>
      <c r="T836">
        <v>9.6</v>
      </c>
      <c r="U836">
        <v>3.2</v>
      </c>
      <c r="V836">
        <v>12.2</v>
      </c>
      <c r="W836">
        <v>3.2</v>
      </c>
      <c r="X836">
        <v>0.4</v>
      </c>
      <c r="Y836" t="s">
        <v>33</v>
      </c>
      <c r="Z836">
        <v>13</v>
      </c>
      <c r="AA836">
        <v>5.7</v>
      </c>
      <c r="AB836">
        <f t="shared" si="26"/>
        <v>78.5</v>
      </c>
      <c r="AC836">
        <v>91.5</v>
      </c>
      <c r="AD836">
        <v>16</v>
      </c>
      <c r="AE836">
        <f t="shared" si="27"/>
        <v>3</v>
      </c>
      <c r="AF836">
        <v>0</v>
      </c>
      <c r="AG836">
        <v>0</v>
      </c>
      <c r="AH836">
        <v>0</v>
      </c>
      <c r="AI836">
        <v>0</v>
      </c>
      <c r="AJ836">
        <v>0.23529411764705882</v>
      </c>
      <c r="AK836">
        <v>0</v>
      </c>
      <c r="AL836">
        <v>0</v>
      </c>
      <c r="AM836">
        <v>0</v>
      </c>
      <c r="AN836">
        <v>0</v>
      </c>
    </row>
    <row r="837" spans="1:40" x14ac:dyDescent="0.25">
      <c r="A837">
        <v>2023</v>
      </c>
      <c r="B837" t="s">
        <v>220</v>
      </c>
      <c r="C837" t="str">
        <f>IF(COUNTIF('Rookies 22-25'!$B$2:$B$60,E837)&gt;0,"(R)","No")</f>
        <v>No</v>
      </c>
      <c r="D837">
        <v>51</v>
      </c>
      <c r="E837" t="s">
        <v>404</v>
      </c>
      <c r="F837" t="s">
        <v>45</v>
      </c>
      <c r="G837">
        <f>VLOOKUP(E837,'23 Draft ADP'!$B$3:$D$323,3,)</f>
        <v>189</v>
      </c>
      <c r="H837">
        <v>9</v>
      </c>
      <c r="I837">
        <v>4.4000000000000004</v>
      </c>
      <c r="J837" t="s">
        <v>33</v>
      </c>
      <c r="K837" t="s">
        <v>33</v>
      </c>
      <c r="L837" t="s">
        <v>33</v>
      </c>
      <c r="M837" t="s">
        <v>33</v>
      </c>
      <c r="N837">
        <v>7.7</v>
      </c>
      <c r="O837">
        <v>33</v>
      </c>
      <c r="P837">
        <v>4.5999999999999996</v>
      </c>
      <c r="Q837">
        <v>8.3000000000000007</v>
      </c>
      <c r="R837">
        <v>17.2</v>
      </c>
      <c r="S837">
        <v>7.4</v>
      </c>
      <c r="T837" t="s">
        <v>33</v>
      </c>
      <c r="U837" t="s">
        <v>22</v>
      </c>
      <c r="V837">
        <v>9.1999999999999993</v>
      </c>
      <c r="W837">
        <v>-0.6</v>
      </c>
      <c r="X837" t="s">
        <v>33</v>
      </c>
      <c r="Y837" t="s">
        <v>33</v>
      </c>
      <c r="Z837">
        <v>0</v>
      </c>
      <c r="AA837">
        <v>10.1</v>
      </c>
      <c r="AB837">
        <f t="shared" si="26"/>
        <v>91.2</v>
      </c>
      <c r="AC837">
        <v>91.2</v>
      </c>
      <c r="AD837">
        <v>15</v>
      </c>
      <c r="AE837">
        <f t="shared" si="27"/>
        <v>2</v>
      </c>
      <c r="AF837">
        <v>2</v>
      </c>
      <c r="AG837">
        <v>1</v>
      </c>
      <c r="AH837">
        <v>1</v>
      </c>
      <c r="AI837">
        <v>1</v>
      </c>
      <c r="AJ837">
        <v>0.11764705882352941</v>
      </c>
      <c r="AK837">
        <v>0.22222222222222221</v>
      </c>
      <c r="AL837">
        <v>0.1111111111111111</v>
      </c>
      <c r="AM837">
        <v>0.1111111111111111</v>
      </c>
      <c r="AN837">
        <v>0.1111111111111111</v>
      </c>
    </row>
    <row r="838" spans="1:40" x14ac:dyDescent="0.25">
      <c r="A838">
        <v>2023</v>
      </c>
      <c r="B838" t="s">
        <v>220</v>
      </c>
      <c r="C838" t="str">
        <f>IF(COUNTIF('Rookies 22-25'!$B$2:$B$60,E838)&gt;0,"(R)","No")</f>
        <v>No</v>
      </c>
      <c r="D838">
        <v>52</v>
      </c>
      <c r="E838" t="s">
        <v>305</v>
      </c>
      <c r="F838" t="s">
        <v>95</v>
      </c>
      <c r="G838">
        <f>VLOOKUP(E838,'23 Draft ADP'!$B$3:$D$323,3,)</f>
        <v>62</v>
      </c>
      <c r="H838">
        <v>16</v>
      </c>
      <c r="I838">
        <v>11.8</v>
      </c>
      <c r="J838">
        <v>7.7</v>
      </c>
      <c r="K838">
        <v>17.2</v>
      </c>
      <c r="L838">
        <v>6.2</v>
      </c>
      <c r="M838">
        <v>1.2</v>
      </c>
      <c r="N838" t="s">
        <v>33</v>
      </c>
      <c r="O838" t="s">
        <v>22</v>
      </c>
      <c r="P838">
        <v>0</v>
      </c>
      <c r="Q838">
        <v>9.1</v>
      </c>
      <c r="R838">
        <v>3</v>
      </c>
      <c r="S838">
        <v>6.2</v>
      </c>
      <c r="T838">
        <v>2.8</v>
      </c>
      <c r="U838">
        <v>3.9</v>
      </c>
      <c r="V838">
        <v>7.4</v>
      </c>
      <c r="W838">
        <v>3.3</v>
      </c>
      <c r="X838">
        <v>1.8</v>
      </c>
      <c r="Y838">
        <v>4.2</v>
      </c>
      <c r="Z838">
        <v>1.8</v>
      </c>
      <c r="AA838">
        <v>5.5</v>
      </c>
      <c r="AB838">
        <f t="shared" si="26"/>
        <v>85.8</v>
      </c>
      <c r="AC838">
        <v>87.6</v>
      </c>
      <c r="AD838">
        <v>9</v>
      </c>
      <c r="AE838">
        <f t="shared" si="27"/>
        <v>2</v>
      </c>
      <c r="AF838">
        <v>1</v>
      </c>
      <c r="AG838">
        <v>0</v>
      </c>
      <c r="AH838">
        <v>0</v>
      </c>
      <c r="AI838">
        <v>0</v>
      </c>
      <c r="AJ838">
        <v>0.11764705882352941</v>
      </c>
      <c r="AK838">
        <v>6.25E-2</v>
      </c>
      <c r="AL838">
        <v>0</v>
      </c>
      <c r="AM838">
        <v>0</v>
      </c>
      <c r="AN838">
        <v>0</v>
      </c>
    </row>
    <row r="839" spans="1:40" x14ac:dyDescent="0.25">
      <c r="A839">
        <v>2023</v>
      </c>
      <c r="B839" t="s">
        <v>220</v>
      </c>
      <c r="C839" t="str">
        <f>IF(COUNTIF('Rookies 22-25'!$B$2:$B$60,E839)&gt;0,"(R)","No")</f>
        <v>No</v>
      </c>
      <c r="D839">
        <v>53</v>
      </c>
      <c r="E839" t="s">
        <v>490</v>
      </c>
      <c r="F839" t="s">
        <v>26</v>
      </c>
      <c r="G839">
        <f>VLOOKUP(E839,'23 Draft ADP'!$B$3:$D$323,3,)</f>
        <v>113</v>
      </c>
      <c r="H839">
        <v>12</v>
      </c>
      <c r="I839">
        <v>2</v>
      </c>
      <c r="J839">
        <v>5.2</v>
      </c>
      <c r="K839">
        <v>17.8</v>
      </c>
      <c r="L839">
        <v>0.7</v>
      </c>
      <c r="M839">
        <v>4.5</v>
      </c>
      <c r="N839">
        <v>5</v>
      </c>
      <c r="O839">
        <v>4.5999999999999996</v>
      </c>
      <c r="P839">
        <v>1.8</v>
      </c>
      <c r="Q839">
        <v>10.4</v>
      </c>
      <c r="R839" t="s">
        <v>22</v>
      </c>
      <c r="S839">
        <v>3.5</v>
      </c>
      <c r="T839" t="s">
        <v>33</v>
      </c>
      <c r="U839" t="s">
        <v>33</v>
      </c>
      <c r="V839">
        <v>12.7</v>
      </c>
      <c r="W839">
        <v>16.2</v>
      </c>
      <c r="X839" t="s">
        <v>33</v>
      </c>
      <c r="Y839" t="s">
        <v>33</v>
      </c>
      <c r="Z839">
        <v>0</v>
      </c>
      <c r="AA839">
        <v>7</v>
      </c>
      <c r="AB839">
        <f t="shared" si="26"/>
        <v>84.4</v>
      </c>
      <c r="AC839">
        <v>84.4</v>
      </c>
      <c r="AD839">
        <v>5</v>
      </c>
      <c r="AE839">
        <f t="shared" si="27"/>
        <v>4</v>
      </c>
      <c r="AF839">
        <v>2</v>
      </c>
      <c r="AG839">
        <v>0</v>
      </c>
      <c r="AH839">
        <v>0</v>
      </c>
      <c r="AI839">
        <v>0</v>
      </c>
      <c r="AJ839">
        <v>0.23529411764705882</v>
      </c>
      <c r="AK839">
        <v>0.16666666666666666</v>
      </c>
      <c r="AL839">
        <v>0</v>
      </c>
      <c r="AM839">
        <v>0</v>
      </c>
      <c r="AN839">
        <v>0</v>
      </c>
    </row>
    <row r="840" spans="1:40" x14ac:dyDescent="0.25">
      <c r="A840">
        <v>2023</v>
      </c>
      <c r="B840" t="s">
        <v>220</v>
      </c>
      <c r="C840" t="str">
        <f>IF(COUNTIF('Rookies 22-25'!$B$2:$B$60,E840)&gt;0,"(R)","No")</f>
        <v>No</v>
      </c>
      <c r="D840">
        <v>54</v>
      </c>
      <c r="E840" t="s">
        <v>491</v>
      </c>
      <c r="F840" t="s">
        <v>61</v>
      </c>
      <c r="G840">
        <f>VLOOKUP(E840,'23 Draft ADP'!$B$3:$D$323,3,)</f>
        <v>213</v>
      </c>
      <c r="H840">
        <v>16</v>
      </c>
      <c r="I840">
        <v>2.7</v>
      </c>
      <c r="J840">
        <v>11.1</v>
      </c>
      <c r="K840">
        <v>9.1</v>
      </c>
      <c r="L840">
        <v>7.6</v>
      </c>
      <c r="M840">
        <v>1.7</v>
      </c>
      <c r="N840">
        <v>4.5</v>
      </c>
      <c r="O840">
        <v>4.8</v>
      </c>
      <c r="P840">
        <v>2.1</v>
      </c>
      <c r="Q840">
        <v>2</v>
      </c>
      <c r="R840">
        <v>14.9</v>
      </c>
      <c r="S840">
        <v>3.5</v>
      </c>
      <c r="T840">
        <v>7.8</v>
      </c>
      <c r="U840" t="s">
        <v>22</v>
      </c>
      <c r="V840">
        <v>4</v>
      </c>
      <c r="W840">
        <v>7.1</v>
      </c>
      <c r="X840">
        <v>0</v>
      </c>
      <c r="Y840">
        <v>0</v>
      </c>
      <c r="Z840">
        <v>0</v>
      </c>
      <c r="AA840">
        <v>5.2</v>
      </c>
      <c r="AB840">
        <f t="shared" si="26"/>
        <v>82.9</v>
      </c>
      <c r="AC840">
        <v>82.9</v>
      </c>
      <c r="AD840">
        <v>16</v>
      </c>
      <c r="AE840">
        <f t="shared" si="27"/>
        <v>2</v>
      </c>
      <c r="AF840">
        <v>0</v>
      </c>
      <c r="AG840">
        <v>0</v>
      </c>
      <c r="AH840">
        <v>0</v>
      </c>
      <c r="AI840">
        <v>0</v>
      </c>
      <c r="AJ840">
        <v>0.11764705882352941</v>
      </c>
      <c r="AK840">
        <v>0</v>
      </c>
      <c r="AL840">
        <v>0</v>
      </c>
      <c r="AM840">
        <v>0</v>
      </c>
      <c r="AN840">
        <v>0</v>
      </c>
    </row>
    <row r="841" spans="1:40" x14ac:dyDescent="0.25">
      <c r="A841">
        <v>2023</v>
      </c>
      <c r="B841" t="s">
        <v>220</v>
      </c>
      <c r="C841" t="str">
        <f>IF(COUNTIF('Rookies 22-25'!$B$2:$B$60,E841)&gt;0,"(R)","No")</f>
        <v>No</v>
      </c>
      <c r="D841">
        <v>55</v>
      </c>
      <c r="E841" t="s">
        <v>399</v>
      </c>
      <c r="F841" t="s">
        <v>41</v>
      </c>
      <c r="G841">
        <f>VLOOKUP(E841,'23 Draft ADP'!$B$3:$D$323,3,)</f>
        <v>47</v>
      </c>
      <c r="H841">
        <v>14</v>
      </c>
      <c r="I841">
        <v>6.7</v>
      </c>
      <c r="J841">
        <v>5.5</v>
      </c>
      <c r="K841">
        <v>14.9</v>
      </c>
      <c r="L841">
        <v>11.8</v>
      </c>
      <c r="M841">
        <v>9.1999999999999993</v>
      </c>
      <c r="N841">
        <v>3.4</v>
      </c>
      <c r="O841" t="s">
        <v>22</v>
      </c>
      <c r="P841">
        <v>4.5999999999999996</v>
      </c>
      <c r="Q841" t="s">
        <v>33</v>
      </c>
      <c r="R841" t="s">
        <v>33</v>
      </c>
      <c r="S841" t="s">
        <v>33</v>
      </c>
      <c r="T841">
        <v>2.8</v>
      </c>
      <c r="U841">
        <v>10.1</v>
      </c>
      <c r="V841">
        <v>1.7</v>
      </c>
      <c r="W841">
        <v>0.3</v>
      </c>
      <c r="X841">
        <v>8.6</v>
      </c>
      <c r="Y841">
        <v>3.1</v>
      </c>
      <c r="Z841">
        <v>0</v>
      </c>
      <c r="AA841">
        <v>5.9</v>
      </c>
      <c r="AB841">
        <f t="shared" si="26"/>
        <v>82.7</v>
      </c>
      <c r="AC841">
        <v>82.7</v>
      </c>
      <c r="AD841">
        <v>8</v>
      </c>
      <c r="AE841">
        <f t="shared" si="27"/>
        <v>3</v>
      </c>
      <c r="AF841">
        <v>0</v>
      </c>
      <c r="AG841">
        <v>0</v>
      </c>
      <c r="AH841">
        <v>0</v>
      </c>
      <c r="AI841">
        <v>0</v>
      </c>
      <c r="AJ841">
        <v>0.17647058823529413</v>
      </c>
      <c r="AK841">
        <v>0</v>
      </c>
      <c r="AL841">
        <v>0</v>
      </c>
      <c r="AM841">
        <v>0</v>
      </c>
      <c r="AN841">
        <v>0</v>
      </c>
    </row>
    <row r="842" spans="1:40" x14ac:dyDescent="0.25">
      <c r="A842">
        <v>2023</v>
      </c>
      <c r="B842" t="s">
        <v>220</v>
      </c>
      <c r="C842" t="str">
        <f>IF(COUNTIF('Rookies 22-25'!$B$2:$B$60,E842)&gt;0,"(R)","No")</f>
        <v>No</v>
      </c>
      <c r="D842">
        <v>56</v>
      </c>
      <c r="E842" t="s">
        <v>328</v>
      </c>
      <c r="F842" t="s">
        <v>43</v>
      </c>
      <c r="G842">
        <f>VLOOKUP(E842,'23 Draft ADP'!$B$3:$D$323,3,)</f>
        <v>215</v>
      </c>
      <c r="H842">
        <v>15</v>
      </c>
      <c r="I842">
        <v>1.7</v>
      </c>
      <c r="J842">
        <v>0.2</v>
      </c>
      <c r="K842">
        <v>0</v>
      </c>
      <c r="L842">
        <v>1.5</v>
      </c>
      <c r="M842" t="s">
        <v>33</v>
      </c>
      <c r="N842">
        <v>2.9</v>
      </c>
      <c r="O842">
        <v>5.8</v>
      </c>
      <c r="P842">
        <v>0</v>
      </c>
      <c r="Q842">
        <v>-0.2</v>
      </c>
      <c r="R842">
        <v>0.5</v>
      </c>
      <c r="S842" t="s">
        <v>33</v>
      </c>
      <c r="T842">
        <v>0</v>
      </c>
      <c r="U842" t="s">
        <v>22</v>
      </c>
      <c r="V842">
        <v>0.8</v>
      </c>
      <c r="W842">
        <v>17.5</v>
      </c>
      <c r="X842">
        <v>14.5</v>
      </c>
      <c r="Y842">
        <v>15.6</v>
      </c>
      <c r="Z842">
        <v>13.1</v>
      </c>
      <c r="AA842">
        <v>4.9000000000000004</v>
      </c>
      <c r="AB842">
        <f t="shared" si="26"/>
        <v>60.800000000000004</v>
      </c>
      <c r="AC842">
        <v>73.900000000000006</v>
      </c>
      <c r="AD842">
        <v>19</v>
      </c>
      <c r="AE842">
        <f t="shared" si="27"/>
        <v>3</v>
      </c>
      <c r="AF842">
        <v>2</v>
      </c>
      <c r="AG842">
        <v>0</v>
      </c>
      <c r="AH842">
        <v>0</v>
      </c>
      <c r="AI842">
        <v>0</v>
      </c>
      <c r="AJ842">
        <v>0.23529411764705882</v>
      </c>
      <c r="AK842">
        <v>0.13333333333333333</v>
      </c>
      <c r="AL842">
        <v>0</v>
      </c>
      <c r="AM842">
        <v>0</v>
      </c>
      <c r="AN842">
        <v>0</v>
      </c>
    </row>
    <row r="843" spans="1:40" x14ac:dyDescent="0.25">
      <c r="A843">
        <v>2023</v>
      </c>
      <c r="B843" t="s">
        <v>220</v>
      </c>
      <c r="C843" t="str">
        <f>IF(COUNTIF('Rookies 22-25'!$B$2:$B$60,E843)&gt;0,"(R)","No")</f>
        <v>No</v>
      </c>
      <c r="D843">
        <v>57</v>
      </c>
      <c r="E843" t="s">
        <v>285</v>
      </c>
      <c r="F843" t="s">
        <v>21</v>
      </c>
      <c r="G843">
        <v>300</v>
      </c>
      <c r="H843">
        <v>14</v>
      </c>
      <c r="I843">
        <v>0</v>
      </c>
      <c r="J843">
        <v>2.5</v>
      </c>
      <c r="K843">
        <v>0.2</v>
      </c>
      <c r="L843">
        <v>5.4</v>
      </c>
      <c r="M843">
        <v>12.7</v>
      </c>
      <c r="N843">
        <v>2.7</v>
      </c>
      <c r="O843">
        <v>11.5</v>
      </c>
      <c r="P843">
        <v>8.9</v>
      </c>
      <c r="Q843" t="s">
        <v>33</v>
      </c>
      <c r="R843" t="s">
        <v>33</v>
      </c>
      <c r="S843" t="s">
        <v>33</v>
      </c>
      <c r="T843">
        <v>1.5</v>
      </c>
      <c r="U843">
        <v>0</v>
      </c>
      <c r="V843" t="s">
        <v>22</v>
      </c>
      <c r="W843">
        <v>14</v>
      </c>
      <c r="X843">
        <v>12</v>
      </c>
      <c r="Y843">
        <v>1.9</v>
      </c>
      <c r="Z843">
        <v>0</v>
      </c>
      <c r="AA843">
        <v>5.2</v>
      </c>
      <c r="AB843">
        <f t="shared" si="26"/>
        <v>73.3</v>
      </c>
      <c r="AC843">
        <v>73.3</v>
      </c>
      <c r="AD843">
        <v>20</v>
      </c>
      <c r="AE843">
        <f t="shared" si="27"/>
        <v>4</v>
      </c>
      <c r="AF843">
        <v>0</v>
      </c>
      <c r="AG843">
        <v>0</v>
      </c>
      <c r="AH843">
        <v>0</v>
      </c>
      <c r="AI843">
        <v>0</v>
      </c>
      <c r="AJ843">
        <v>0.23529411764705882</v>
      </c>
      <c r="AK843">
        <v>0</v>
      </c>
      <c r="AL843">
        <v>0</v>
      </c>
      <c r="AM843">
        <v>0</v>
      </c>
      <c r="AN843">
        <v>0</v>
      </c>
    </row>
    <row r="844" spans="1:40" x14ac:dyDescent="0.25">
      <c r="A844">
        <v>2023</v>
      </c>
      <c r="B844" t="s">
        <v>220</v>
      </c>
      <c r="C844" t="str">
        <f>IF(COUNTIF('Rookies 22-25'!$B$2:$B$60,E844)&gt;0,"(R)","No")</f>
        <v>No</v>
      </c>
      <c r="D844">
        <v>58</v>
      </c>
      <c r="E844" t="s">
        <v>492</v>
      </c>
      <c r="F844" t="s">
        <v>26</v>
      </c>
      <c r="G844">
        <f>VLOOKUP(E844,'23 Draft ADP'!$B$3:$D$323,3,)</f>
        <v>168</v>
      </c>
      <c r="H844">
        <v>15</v>
      </c>
      <c r="I844">
        <v>3.9</v>
      </c>
      <c r="J844">
        <v>3.7</v>
      </c>
      <c r="K844">
        <v>12.7</v>
      </c>
      <c r="L844">
        <v>2.2999999999999998</v>
      </c>
      <c r="M844">
        <v>0.4</v>
      </c>
      <c r="N844">
        <v>2.6</v>
      </c>
      <c r="O844">
        <v>0.5</v>
      </c>
      <c r="P844">
        <v>0.4</v>
      </c>
      <c r="Q844" t="s">
        <v>33</v>
      </c>
      <c r="R844" t="s">
        <v>22</v>
      </c>
      <c r="S844">
        <v>2</v>
      </c>
      <c r="T844">
        <v>0.5</v>
      </c>
      <c r="U844">
        <v>2.4</v>
      </c>
      <c r="V844">
        <v>8.8000000000000007</v>
      </c>
      <c r="W844">
        <v>20.100000000000001</v>
      </c>
      <c r="X844">
        <v>7.8</v>
      </c>
      <c r="Y844" t="s">
        <v>33</v>
      </c>
      <c r="Z844">
        <v>2</v>
      </c>
      <c r="AA844">
        <v>4.7</v>
      </c>
      <c r="AB844">
        <f t="shared" si="26"/>
        <v>68.099999999999994</v>
      </c>
      <c r="AC844">
        <v>70.099999999999994</v>
      </c>
      <c r="AD844">
        <v>14</v>
      </c>
      <c r="AE844">
        <f t="shared" si="27"/>
        <v>2</v>
      </c>
      <c r="AF844">
        <v>1</v>
      </c>
      <c r="AG844">
        <v>1</v>
      </c>
      <c r="AH844">
        <v>0</v>
      </c>
      <c r="AI844">
        <v>0</v>
      </c>
      <c r="AJ844">
        <v>0.11764705882352941</v>
      </c>
      <c r="AK844">
        <v>6.6666666666666666E-2</v>
      </c>
      <c r="AL844">
        <v>6.6666666666666666E-2</v>
      </c>
      <c r="AM844">
        <v>0</v>
      </c>
      <c r="AN844">
        <v>0</v>
      </c>
    </row>
    <row r="845" spans="1:40" x14ac:dyDescent="0.25">
      <c r="A845">
        <v>2023</v>
      </c>
      <c r="B845" t="s">
        <v>220</v>
      </c>
      <c r="C845" t="str">
        <f>IF(COUNTIF('Rookies 22-25'!$B$2:$B$60,E845)&gt;0,"(R)","No")</f>
        <v>(R)</v>
      </c>
      <c r="D845">
        <v>59</v>
      </c>
      <c r="E845" t="s">
        <v>287</v>
      </c>
      <c r="F845" t="s">
        <v>53</v>
      </c>
      <c r="G845">
        <v>300</v>
      </c>
      <c r="H845">
        <v>7</v>
      </c>
      <c r="I845" t="s">
        <v>33</v>
      </c>
      <c r="J845" t="s">
        <v>33</v>
      </c>
      <c r="K845" t="s">
        <v>33</v>
      </c>
      <c r="L845" t="s">
        <v>33</v>
      </c>
      <c r="M845" t="s">
        <v>33</v>
      </c>
      <c r="N845" t="s">
        <v>33</v>
      </c>
      <c r="O845">
        <v>1.9</v>
      </c>
      <c r="P845" t="s">
        <v>33</v>
      </c>
      <c r="Q845">
        <v>20.399999999999999</v>
      </c>
      <c r="R845">
        <v>13.6</v>
      </c>
      <c r="S845">
        <v>5.0999999999999996</v>
      </c>
      <c r="T845">
        <v>10.9</v>
      </c>
      <c r="U845" t="s">
        <v>22</v>
      </c>
      <c r="V845">
        <v>7.2</v>
      </c>
      <c r="W845">
        <v>10.8</v>
      </c>
      <c r="X845" t="s">
        <v>33</v>
      </c>
      <c r="Y845" t="s">
        <v>33</v>
      </c>
      <c r="Z845">
        <v>0</v>
      </c>
      <c r="AA845">
        <v>10</v>
      </c>
      <c r="AB845">
        <f t="shared" si="26"/>
        <v>69.900000000000006</v>
      </c>
      <c r="AC845">
        <v>69.900000000000006</v>
      </c>
      <c r="AD845">
        <v>20</v>
      </c>
      <c r="AE845">
        <f t="shared" si="27"/>
        <v>4</v>
      </c>
      <c r="AF845">
        <v>1</v>
      </c>
      <c r="AG845">
        <v>1</v>
      </c>
      <c r="AH845">
        <v>0</v>
      </c>
      <c r="AI845">
        <v>0</v>
      </c>
      <c r="AJ845">
        <v>0.23529411764705882</v>
      </c>
      <c r="AK845">
        <v>0.14285714285714285</v>
      </c>
      <c r="AL845">
        <v>0.14285714285714285</v>
      </c>
      <c r="AM845">
        <v>0</v>
      </c>
      <c r="AN845">
        <v>0</v>
      </c>
    </row>
    <row r="846" spans="1:40" x14ac:dyDescent="0.25">
      <c r="A846">
        <v>2023</v>
      </c>
      <c r="B846" t="s">
        <v>220</v>
      </c>
      <c r="C846" t="str">
        <f>IF(COUNTIF('Rookies 22-25'!$B$2:$B$60,E846)&gt;0,"(R)","No")</f>
        <v>No</v>
      </c>
      <c r="D846">
        <v>60</v>
      </c>
      <c r="E846" t="s">
        <v>493</v>
      </c>
      <c r="F846" t="s">
        <v>51</v>
      </c>
      <c r="G846">
        <f>VLOOKUP(E846,'23 Draft ADP'!$B$3:$D$323,3,)</f>
        <v>239</v>
      </c>
      <c r="H846">
        <v>17</v>
      </c>
      <c r="I846">
        <v>15.1</v>
      </c>
      <c r="J846">
        <v>3.9</v>
      </c>
      <c r="K846">
        <v>2.7</v>
      </c>
      <c r="L846">
        <v>6.5</v>
      </c>
      <c r="M846" t="s">
        <v>22</v>
      </c>
      <c r="N846">
        <v>1.4</v>
      </c>
      <c r="O846">
        <v>13.5</v>
      </c>
      <c r="P846">
        <v>2.1</v>
      </c>
      <c r="Q846">
        <v>3.2</v>
      </c>
      <c r="R846">
        <v>1.6</v>
      </c>
      <c r="S846">
        <v>1.3</v>
      </c>
      <c r="T846">
        <v>3.4</v>
      </c>
      <c r="U846">
        <v>4.5</v>
      </c>
      <c r="V846">
        <v>0.6</v>
      </c>
      <c r="W846">
        <v>1.8</v>
      </c>
      <c r="X846">
        <v>-0.2</v>
      </c>
      <c r="Y846">
        <v>0.2</v>
      </c>
      <c r="Z846">
        <v>0.1</v>
      </c>
      <c r="AA846">
        <v>3.6</v>
      </c>
      <c r="AB846">
        <f t="shared" si="26"/>
        <v>61.6</v>
      </c>
      <c r="AC846">
        <v>61.7</v>
      </c>
      <c r="AD846">
        <v>20</v>
      </c>
      <c r="AE846">
        <f t="shared" si="27"/>
        <v>2</v>
      </c>
      <c r="AF846">
        <v>1</v>
      </c>
      <c r="AG846">
        <v>0</v>
      </c>
      <c r="AH846">
        <v>0</v>
      </c>
      <c r="AI846">
        <v>0</v>
      </c>
      <c r="AJ846">
        <v>0.11764705882352941</v>
      </c>
      <c r="AK846">
        <v>5.8823529411764705E-2</v>
      </c>
      <c r="AL846">
        <v>0</v>
      </c>
      <c r="AM846">
        <v>0</v>
      </c>
      <c r="AN846">
        <v>0</v>
      </c>
    </row>
    <row r="847" spans="1:40" x14ac:dyDescent="0.25">
      <c r="A847">
        <v>2023</v>
      </c>
      <c r="B847" t="s">
        <v>220</v>
      </c>
      <c r="C847" t="str">
        <f>IF(COUNTIF('Rookies 22-25'!$B$2:$B$60,E847)&gt;0,"(R)","No")</f>
        <v>No</v>
      </c>
      <c r="D847">
        <v>61</v>
      </c>
      <c r="E847" t="s">
        <v>401</v>
      </c>
      <c r="F847" t="s">
        <v>37</v>
      </c>
      <c r="G847">
        <f>VLOOKUP(E847,'23 Draft ADP'!$B$3:$D$323,3,)</f>
        <v>120</v>
      </c>
      <c r="H847">
        <v>13</v>
      </c>
      <c r="I847">
        <v>7.2</v>
      </c>
      <c r="J847">
        <v>2.9</v>
      </c>
      <c r="K847" t="s">
        <v>33</v>
      </c>
      <c r="L847" t="s">
        <v>33</v>
      </c>
      <c r="M847" t="s">
        <v>33</v>
      </c>
      <c r="N847" t="s">
        <v>33</v>
      </c>
      <c r="O847">
        <v>1.4</v>
      </c>
      <c r="P847">
        <v>4.8</v>
      </c>
      <c r="Q847">
        <v>3.2</v>
      </c>
      <c r="R847">
        <v>2</v>
      </c>
      <c r="S847" t="s">
        <v>22</v>
      </c>
      <c r="T847">
        <v>3</v>
      </c>
      <c r="U847">
        <v>2.6</v>
      </c>
      <c r="V847">
        <v>4.3</v>
      </c>
      <c r="W847">
        <v>3.6</v>
      </c>
      <c r="X847">
        <v>2.2999999999999998</v>
      </c>
      <c r="Y847">
        <v>11.1</v>
      </c>
      <c r="Z847">
        <v>12.4</v>
      </c>
      <c r="AA847">
        <v>4.7</v>
      </c>
      <c r="AB847">
        <f t="shared" si="26"/>
        <v>48.4</v>
      </c>
      <c r="AC847">
        <v>60.8</v>
      </c>
      <c r="AD847">
        <v>11</v>
      </c>
      <c r="AE847">
        <f t="shared" si="27"/>
        <v>1</v>
      </c>
      <c r="AF847">
        <v>0</v>
      </c>
      <c r="AG847">
        <v>0</v>
      </c>
      <c r="AH847">
        <v>0</v>
      </c>
      <c r="AI847">
        <v>0</v>
      </c>
      <c r="AJ847">
        <v>0.11764705882352941</v>
      </c>
      <c r="AK847">
        <v>0</v>
      </c>
      <c r="AL847">
        <v>0</v>
      </c>
      <c r="AM847">
        <v>0</v>
      </c>
      <c r="AN847">
        <v>0</v>
      </c>
    </row>
    <row r="848" spans="1:40" x14ac:dyDescent="0.25">
      <c r="A848">
        <v>2023</v>
      </c>
      <c r="B848" t="s">
        <v>220</v>
      </c>
      <c r="C848" t="str">
        <f>IF(COUNTIF('Rookies 22-25'!$B$2:$B$60,E848)&gt;0,"(R)","No")</f>
        <v>No</v>
      </c>
      <c r="D848">
        <v>62</v>
      </c>
      <c r="E848" t="s">
        <v>268</v>
      </c>
      <c r="F848" t="s">
        <v>21</v>
      </c>
      <c r="G848">
        <f>VLOOKUP(E848,'23 Draft ADP'!$B$3:$D$323,3,)</f>
        <v>260</v>
      </c>
      <c r="H848">
        <v>15</v>
      </c>
      <c r="I848">
        <v>3.8</v>
      </c>
      <c r="J848">
        <v>2.1</v>
      </c>
      <c r="K848">
        <v>1.3</v>
      </c>
      <c r="L848">
        <v>4.0999999999999996</v>
      </c>
      <c r="M848">
        <v>5.2</v>
      </c>
      <c r="N848">
        <v>0.5</v>
      </c>
      <c r="O848" t="s">
        <v>33</v>
      </c>
      <c r="P848">
        <v>0.2</v>
      </c>
      <c r="Q848">
        <v>8.4</v>
      </c>
      <c r="R848">
        <v>0</v>
      </c>
      <c r="S848" t="s">
        <v>33</v>
      </c>
      <c r="T848">
        <v>7.4</v>
      </c>
      <c r="U848">
        <v>2.5</v>
      </c>
      <c r="V848" t="s">
        <v>22</v>
      </c>
      <c r="W848">
        <v>6.7</v>
      </c>
      <c r="X848">
        <v>0</v>
      </c>
      <c r="Y848">
        <v>13.7</v>
      </c>
      <c r="Z848">
        <v>2.9</v>
      </c>
      <c r="AA848">
        <v>3.9</v>
      </c>
      <c r="AB848">
        <f t="shared" si="26"/>
        <v>55.9</v>
      </c>
      <c r="AC848">
        <v>58.8</v>
      </c>
      <c r="AD848">
        <v>20</v>
      </c>
      <c r="AE848">
        <f t="shared" si="27"/>
        <v>1</v>
      </c>
      <c r="AF848">
        <v>0</v>
      </c>
      <c r="AG848">
        <v>0</v>
      </c>
      <c r="AH848">
        <v>0</v>
      </c>
      <c r="AI848">
        <v>0</v>
      </c>
      <c r="AJ848">
        <v>5.8823529411764705E-2</v>
      </c>
      <c r="AK848">
        <v>0</v>
      </c>
      <c r="AL848">
        <v>0</v>
      </c>
      <c r="AM848">
        <v>0</v>
      </c>
      <c r="AN848">
        <v>0</v>
      </c>
    </row>
    <row r="849" spans="1:40" x14ac:dyDescent="0.25">
      <c r="A849">
        <v>2023</v>
      </c>
      <c r="B849" t="s">
        <v>220</v>
      </c>
      <c r="C849" t="str">
        <f>IF(COUNTIF('Rookies 22-25'!$B$2:$B$60,E849)&gt;0,"(R)","No")</f>
        <v>(R)</v>
      </c>
      <c r="D849">
        <v>63</v>
      </c>
      <c r="E849" t="s">
        <v>227</v>
      </c>
      <c r="F849" t="s">
        <v>89</v>
      </c>
      <c r="G849">
        <f>VLOOKUP(E849,'23 Draft ADP'!$B$3:$D$323,3,)</f>
        <v>243</v>
      </c>
      <c r="H849">
        <v>12</v>
      </c>
      <c r="I849" t="s">
        <v>33</v>
      </c>
      <c r="J849">
        <v>0.2</v>
      </c>
      <c r="K849">
        <v>0</v>
      </c>
      <c r="L849">
        <v>0.7</v>
      </c>
      <c r="M849">
        <v>1.2</v>
      </c>
      <c r="N849">
        <v>2.2000000000000002</v>
      </c>
      <c r="O849" t="s">
        <v>22</v>
      </c>
      <c r="P849" t="s">
        <v>33</v>
      </c>
      <c r="Q849" t="s">
        <v>33</v>
      </c>
      <c r="R849" t="s">
        <v>33</v>
      </c>
      <c r="S849" t="s">
        <v>33</v>
      </c>
      <c r="T849">
        <v>0</v>
      </c>
      <c r="U849">
        <v>6.1</v>
      </c>
      <c r="V849">
        <v>19.5</v>
      </c>
      <c r="W849">
        <v>8.1</v>
      </c>
      <c r="X849">
        <v>4.4000000000000004</v>
      </c>
      <c r="Y849">
        <v>4.8</v>
      </c>
      <c r="Z849">
        <v>6.3</v>
      </c>
      <c r="AA849">
        <v>4.5</v>
      </c>
      <c r="AB849">
        <f t="shared" si="26"/>
        <v>47.2</v>
      </c>
      <c r="AC849">
        <v>53.5</v>
      </c>
      <c r="AD849">
        <v>20</v>
      </c>
      <c r="AE849">
        <f t="shared" si="27"/>
        <v>1</v>
      </c>
      <c r="AF849">
        <v>1</v>
      </c>
      <c r="AG849">
        <v>0</v>
      </c>
      <c r="AH849">
        <v>0</v>
      </c>
      <c r="AI849">
        <v>0</v>
      </c>
      <c r="AJ849">
        <v>5.8823529411764705E-2</v>
      </c>
      <c r="AK849">
        <v>8.3333333333333329E-2</v>
      </c>
      <c r="AL849">
        <v>0</v>
      </c>
      <c r="AM849">
        <v>0</v>
      </c>
      <c r="AN849">
        <v>0</v>
      </c>
    </row>
    <row r="850" spans="1:40" x14ac:dyDescent="0.25">
      <c r="A850">
        <v>2023</v>
      </c>
      <c r="B850" t="s">
        <v>220</v>
      </c>
      <c r="C850" t="str">
        <f>IF(COUNTIF('Rookies 22-25'!$B$2:$B$60,E850)&gt;0,"(R)","No")</f>
        <v>No</v>
      </c>
      <c r="D850">
        <v>64</v>
      </c>
      <c r="E850" t="s">
        <v>494</v>
      </c>
      <c r="F850" t="s">
        <v>47</v>
      </c>
      <c r="G850">
        <f>VLOOKUP(E850,'23 Draft ADP'!$B$3:$D$323,3,)</f>
        <v>122</v>
      </c>
      <c r="H850">
        <v>11</v>
      </c>
      <c r="I850">
        <v>1</v>
      </c>
      <c r="J850" t="s">
        <v>33</v>
      </c>
      <c r="K850">
        <v>7.4</v>
      </c>
      <c r="L850" t="s">
        <v>33</v>
      </c>
      <c r="M850" t="s">
        <v>33</v>
      </c>
      <c r="N850">
        <v>-0.3</v>
      </c>
      <c r="O850">
        <v>-0.1</v>
      </c>
      <c r="P850">
        <v>0.2</v>
      </c>
      <c r="Q850" t="s">
        <v>22</v>
      </c>
      <c r="R850">
        <v>2.2999999999999998</v>
      </c>
      <c r="S850">
        <v>2.4</v>
      </c>
      <c r="T850">
        <v>4.5999999999999996</v>
      </c>
      <c r="U850">
        <v>1.3</v>
      </c>
      <c r="V850" t="s">
        <v>33</v>
      </c>
      <c r="W850" t="s">
        <v>33</v>
      </c>
      <c r="X850" t="s">
        <v>33</v>
      </c>
      <c r="Y850">
        <v>14</v>
      </c>
      <c r="Z850">
        <v>14.7</v>
      </c>
      <c r="AA850">
        <v>4.3</v>
      </c>
      <c r="AB850">
        <f t="shared" si="26"/>
        <v>32.799999999999997</v>
      </c>
      <c r="AC850">
        <v>47.5</v>
      </c>
      <c r="AD850">
        <v>6</v>
      </c>
      <c r="AE850">
        <f t="shared" si="27"/>
        <v>1</v>
      </c>
      <c r="AF850">
        <v>0</v>
      </c>
      <c r="AG850">
        <v>0</v>
      </c>
      <c r="AH850">
        <v>0</v>
      </c>
      <c r="AI850">
        <v>0</v>
      </c>
      <c r="AJ850">
        <v>0.11764705882352941</v>
      </c>
      <c r="AK850">
        <v>0</v>
      </c>
      <c r="AL850">
        <v>0</v>
      </c>
      <c r="AM850">
        <v>0</v>
      </c>
      <c r="AN850">
        <v>0</v>
      </c>
    </row>
    <row r="851" spans="1:40" x14ac:dyDescent="0.25">
      <c r="A851">
        <v>2023</v>
      </c>
      <c r="B851" t="s">
        <v>220</v>
      </c>
      <c r="C851" t="str">
        <f>IF(COUNTIF('Rookies 22-25'!$B$2:$B$60,E851)&gt;0,"(R)","No")</f>
        <v>No</v>
      </c>
      <c r="D851">
        <v>65</v>
      </c>
      <c r="E851" t="s">
        <v>495</v>
      </c>
      <c r="F851" t="s">
        <v>57</v>
      </c>
      <c r="G851">
        <f>VLOOKUP(E851,'23 Draft ADP'!$B$3:$D$323,3,)</f>
        <v>286</v>
      </c>
      <c r="H851">
        <v>17</v>
      </c>
      <c r="I851">
        <v>1.6</v>
      </c>
      <c r="J851">
        <v>0.5</v>
      </c>
      <c r="K851">
        <v>10.8</v>
      </c>
      <c r="L851">
        <v>12.8</v>
      </c>
      <c r="M851">
        <v>3.4</v>
      </c>
      <c r="N851">
        <v>1.3</v>
      </c>
      <c r="O851">
        <v>1.9</v>
      </c>
      <c r="P851">
        <v>2.7</v>
      </c>
      <c r="Q851">
        <v>2.1</v>
      </c>
      <c r="R851">
        <v>0.3</v>
      </c>
      <c r="S851">
        <v>-0.1</v>
      </c>
      <c r="T851">
        <v>2.6</v>
      </c>
      <c r="U851" t="s">
        <v>22</v>
      </c>
      <c r="V851">
        <v>1.6</v>
      </c>
      <c r="W851">
        <v>4.0999999999999996</v>
      </c>
      <c r="X851">
        <v>1.3</v>
      </c>
      <c r="Y851">
        <v>0</v>
      </c>
      <c r="Z851">
        <v>0</v>
      </c>
      <c r="AA851">
        <v>2.8</v>
      </c>
      <c r="AB851">
        <f t="shared" si="26"/>
        <v>46.9</v>
      </c>
      <c r="AC851">
        <v>46.9</v>
      </c>
      <c r="AD851">
        <v>20</v>
      </c>
      <c r="AE851">
        <f t="shared" si="27"/>
        <v>2</v>
      </c>
      <c r="AF851">
        <v>0</v>
      </c>
      <c r="AG851">
        <v>0</v>
      </c>
      <c r="AH851">
        <v>0</v>
      </c>
      <c r="AI851">
        <v>0</v>
      </c>
      <c r="AJ851">
        <v>0.11764705882352941</v>
      </c>
      <c r="AK851">
        <v>0</v>
      </c>
      <c r="AL851">
        <v>0</v>
      </c>
      <c r="AM851">
        <v>0</v>
      </c>
      <c r="AN851">
        <v>0</v>
      </c>
    </row>
    <row r="852" spans="1:40" x14ac:dyDescent="0.25">
      <c r="A852">
        <v>2023</v>
      </c>
      <c r="B852" t="s">
        <v>220</v>
      </c>
      <c r="C852" t="str">
        <f>IF(COUNTIF('Rookies 22-25'!$B$2:$B$60,E852)&gt;0,"(R)","No")</f>
        <v>No</v>
      </c>
      <c r="D852">
        <v>66</v>
      </c>
      <c r="E852" t="s">
        <v>392</v>
      </c>
      <c r="F852" t="s">
        <v>73</v>
      </c>
      <c r="G852">
        <f>VLOOKUP(E852,'23 Draft ADP'!$B$3:$D$323,3,)</f>
        <v>69</v>
      </c>
      <c r="H852">
        <v>7</v>
      </c>
      <c r="I852">
        <v>8.9</v>
      </c>
      <c r="J852" t="s">
        <v>33</v>
      </c>
      <c r="K852" t="s">
        <v>33</v>
      </c>
      <c r="L852">
        <v>7.1</v>
      </c>
      <c r="M852">
        <v>3.8</v>
      </c>
      <c r="N852">
        <v>2.5</v>
      </c>
      <c r="O852">
        <v>8.1</v>
      </c>
      <c r="P852">
        <v>9.5</v>
      </c>
      <c r="Q852">
        <v>6.8</v>
      </c>
      <c r="R852" t="s">
        <v>33</v>
      </c>
      <c r="S852" t="s">
        <v>33</v>
      </c>
      <c r="T852" t="s">
        <v>33</v>
      </c>
      <c r="U852" t="s">
        <v>22</v>
      </c>
      <c r="V852" t="s">
        <v>33</v>
      </c>
      <c r="W852" t="s">
        <v>33</v>
      </c>
      <c r="X852" t="s">
        <v>33</v>
      </c>
      <c r="Y852" t="s">
        <v>33</v>
      </c>
      <c r="Z852">
        <v>0</v>
      </c>
      <c r="AA852">
        <v>6.7</v>
      </c>
      <c r="AB852">
        <f t="shared" si="26"/>
        <v>46.7</v>
      </c>
      <c r="AC852">
        <v>46.7</v>
      </c>
      <c r="AD852">
        <v>9</v>
      </c>
      <c r="AE852">
        <f t="shared" si="27"/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</row>
    <row r="853" spans="1:40" x14ac:dyDescent="0.25">
      <c r="A853">
        <v>2023</v>
      </c>
      <c r="B853" t="s">
        <v>220</v>
      </c>
      <c r="C853" t="str">
        <f>IF(COUNTIF('Rookies 22-25'!$B$2:$B$60,E853)&gt;0,"(R)","No")</f>
        <v>No</v>
      </c>
      <c r="D853">
        <v>67</v>
      </c>
      <c r="E853" t="s">
        <v>496</v>
      </c>
      <c r="F853" t="s">
        <v>55</v>
      </c>
      <c r="G853">
        <v>290</v>
      </c>
      <c r="H853">
        <v>11</v>
      </c>
      <c r="I853" t="s">
        <v>33</v>
      </c>
      <c r="J853" t="s">
        <v>33</v>
      </c>
      <c r="K853">
        <v>0</v>
      </c>
      <c r="L853">
        <v>0</v>
      </c>
      <c r="M853" t="s">
        <v>33</v>
      </c>
      <c r="N853" t="s">
        <v>33</v>
      </c>
      <c r="O853">
        <v>6.6</v>
      </c>
      <c r="P853">
        <v>10.4</v>
      </c>
      <c r="Q853">
        <v>3.2</v>
      </c>
      <c r="R853" t="s">
        <v>22</v>
      </c>
      <c r="S853">
        <v>7.3</v>
      </c>
      <c r="T853">
        <v>13.7</v>
      </c>
      <c r="U853">
        <v>0</v>
      </c>
      <c r="V853">
        <v>0.9</v>
      </c>
      <c r="W853">
        <v>1.6</v>
      </c>
      <c r="X853" t="s">
        <v>33</v>
      </c>
      <c r="Y853" t="s">
        <v>33</v>
      </c>
      <c r="Z853">
        <v>2.5</v>
      </c>
      <c r="AA853">
        <v>4.2</v>
      </c>
      <c r="AB853">
        <f t="shared" si="26"/>
        <v>43.7</v>
      </c>
      <c r="AC853">
        <v>46.2</v>
      </c>
      <c r="AD853">
        <v>20</v>
      </c>
      <c r="AE853">
        <f t="shared" si="27"/>
        <v>2</v>
      </c>
      <c r="AF853">
        <v>0</v>
      </c>
      <c r="AG853">
        <v>0</v>
      </c>
      <c r="AH853">
        <v>0</v>
      </c>
      <c r="AI853">
        <v>0</v>
      </c>
      <c r="AJ853">
        <v>0.11764705882352941</v>
      </c>
      <c r="AK853">
        <v>0</v>
      </c>
      <c r="AL853">
        <v>0</v>
      </c>
      <c r="AM853">
        <v>0</v>
      </c>
      <c r="AN853">
        <v>0</v>
      </c>
    </row>
    <row r="854" spans="1:40" x14ac:dyDescent="0.25">
      <c r="A854">
        <v>2023</v>
      </c>
      <c r="B854" t="s">
        <v>220</v>
      </c>
      <c r="C854" t="str">
        <f>IF(COUNTIF('Rookies 22-25'!$B$2:$B$60,E854)&gt;0,"(R)","No")</f>
        <v>No</v>
      </c>
      <c r="D854">
        <v>68</v>
      </c>
      <c r="E854" t="s">
        <v>256</v>
      </c>
      <c r="F854" t="s">
        <v>47</v>
      </c>
      <c r="G854">
        <f>VLOOKUP(E854,'23 Draft ADP'!$B$3:$D$323,3,)</f>
        <v>236</v>
      </c>
      <c r="H854">
        <v>16</v>
      </c>
      <c r="I854" t="s">
        <v>33</v>
      </c>
      <c r="J854">
        <v>0</v>
      </c>
      <c r="K854">
        <v>1.1000000000000001</v>
      </c>
      <c r="L854">
        <v>3.3</v>
      </c>
      <c r="M854">
        <v>12.9</v>
      </c>
      <c r="N854">
        <v>8.6999999999999993</v>
      </c>
      <c r="O854">
        <v>0</v>
      </c>
      <c r="P854">
        <v>0</v>
      </c>
      <c r="Q854" t="s">
        <v>22</v>
      </c>
      <c r="R854">
        <v>0</v>
      </c>
      <c r="S854">
        <v>0</v>
      </c>
      <c r="T854">
        <v>0</v>
      </c>
      <c r="U854">
        <v>1</v>
      </c>
      <c r="V854">
        <v>9.6</v>
      </c>
      <c r="W854">
        <v>2</v>
      </c>
      <c r="X854">
        <v>0</v>
      </c>
      <c r="Y854">
        <v>0.3</v>
      </c>
      <c r="Z854">
        <v>5.8</v>
      </c>
      <c r="AA854">
        <v>2.8</v>
      </c>
      <c r="AB854">
        <f t="shared" si="26"/>
        <v>38.900000000000006</v>
      </c>
      <c r="AC854">
        <v>44.7</v>
      </c>
      <c r="AD854">
        <v>17</v>
      </c>
      <c r="AE854">
        <f t="shared" si="27"/>
        <v>1</v>
      </c>
      <c r="AF854">
        <v>0</v>
      </c>
      <c r="AG854">
        <v>0</v>
      </c>
      <c r="AH854">
        <v>0</v>
      </c>
      <c r="AI854">
        <v>0</v>
      </c>
      <c r="AJ854">
        <v>5.8823529411764705E-2</v>
      </c>
      <c r="AK854">
        <v>0</v>
      </c>
      <c r="AL854">
        <v>0</v>
      </c>
      <c r="AM854">
        <v>0</v>
      </c>
      <c r="AN854">
        <v>0</v>
      </c>
    </row>
    <row r="855" spans="1:40" x14ac:dyDescent="0.25">
      <c r="A855">
        <v>2023</v>
      </c>
      <c r="B855" t="s">
        <v>220</v>
      </c>
      <c r="C855" t="str">
        <f>IF(COUNTIF('Rookies 22-25'!$B$2:$B$60,E855)&gt;0,"(R)","No")</f>
        <v>No</v>
      </c>
      <c r="D855">
        <v>69</v>
      </c>
      <c r="E855" t="s">
        <v>497</v>
      </c>
      <c r="F855" t="s">
        <v>55</v>
      </c>
      <c r="G855">
        <v>300</v>
      </c>
      <c r="H855">
        <v>4</v>
      </c>
      <c r="I855" t="s">
        <v>33</v>
      </c>
      <c r="J855" t="s">
        <v>33</v>
      </c>
      <c r="K855" t="s">
        <v>33</v>
      </c>
      <c r="L855" t="s">
        <v>33</v>
      </c>
      <c r="M855" t="s">
        <v>33</v>
      </c>
      <c r="N855" t="s">
        <v>33</v>
      </c>
      <c r="O855">
        <v>13.6</v>
      </c>
      <c r="P855">
        <v>11.5</v>
      </c>
      <c r="Q855">
        <v>5.5</v>
      </c>
      <c r="R855" t="s">
        <v>22</v>
      </c>
      <c r="S855">
        <v>12.9</v>
      </c>
      <c r="T855" t="s">
        <v>33</v>
      </c>
      <c r="U855" t="s">
        <v>33</v>
      </c>
      <c r="V855" t="s">
        <v>33</v>
      </c>
      <c r="W855" t="s">
        <v>33</v>
      </c>
      <c r="X855" t="s">
        <v>33</v>
      </c>
      <c r="Y855" t="s">
        <v>33</v>
      </c>
      <c r="Z855">
        <v>0</v>
      </c>
      <c r="AA855">
        <v>10.9</v>
      </c>
      <c r="AB855">
        <f t="shared" si="26"/>
        <v>43.5</v>
      </c>
      <c r="AC855">
        <v>43.5</v>
      </c>
      <c r="AD855">
        <v>20</v>
      </c>
      <c r="AE855">
        <f t="shared" si="27"/>
        <v>3</v>
      </c>
      <c r="AF855">
        <v>0</v>
      </c>
      <c r="AG855">
        <v>0</v>
      </c>
      <c r="AH855">
        <v>0</v>
      </c>
      <c r="AI855">
        <v>0</v>
      </c>
      <c r="AJ855">
        <v>0.17647058823529413</v>
      </c>
      <c r="AK855">
        <v>0</v>
      </c>
      <c r="AL855">
        <v>0</v>
      </c>
      <c r="AM855">
        <v>0</v>
      </c>
      <c r="AN855">
        <v>0</v>
      </c>
    </row>
    <row r="856" spans="1:40" x14ac:dyDescent="0.25">
      <c r="A856">
        <v>2023</v>
      </c>
      <c r="B856" t="s">
        <v>220</v>
      </c>
      <c r="C856" t="str">
        <f>IF(COUNTIF('Rookies 22-25'!$B$2:$B$60,E856)&gt;0,"(R)","No")</f>
        <v>(R)</v>
      </c>
      <c r="D856">
        <v>70</v>
      </c>
      <c r="E856" t="s">
        <v>300</v>
      </c>
      <c r="F856" t="s">
        <v>37</v>
      </c>
      <c r="G856">
        <f>VLOOKUP(E856,'23 Draft ADP'!$B$3:$D$323,3,)</f>
        <v>179</v>
      </c>
      <c r="H856">
        <v>8</v>
      </c>
      <c r="I856" t="s">
        <v>33</v>
      </c>
      <c r="J856" t="s">
        <v>33</v>
      </c>
      <c r="K856">
        <v>4.4000000000000004</v>
      </c>
      <c r="L856">
        <v>1.8</v>
      </c>
      <c r="M856">
        <v>13</v>
      </c>
      <c r="N856">
        <v>2.2000000000000002</v>
      </c>
      <c r="O856">
        <v>0</v>
      </c>
      <c r="P856">
        <v>2.9</v>
      </c>
      <c r="Q856">
        <v>4.0999999999999996</v>
      </c>
      <c r="R856" t="s">
        <v>33</v>
      </c>
      <c r="S856" t="s">
        <v>22</v>
      </c>
      <c r="T856" t="s">
        <v>33</v>
      </c>
      <c r="U856" t="s">
        <v>33</v>
      </c>
      <c r="V856" t="s">
        <v>33</v>
      </c>
      <c r="W856" t="s">
        <v>33</v>
      </c>
      <c r="X856" t="s">
        <v>33</v>
      </c>
      <c r="Y856" t="s">
        <v>33</v>
      </c>
      <c r="Z856">
        <v>14.9</v>
      </c>
      <c r="AA856">
        <v>5.4</v>
      </c>
      <c r="AB856">
        <f t="shared" si="26"/>
        <v>28.4</v>
      </c>
      <c r="AC856">
        <v>43.3</v>
      </c>
      <c r="AD856">
        <v>17</v>
      </c>
      <c r="AE856">
        <f t="shared" si="27"/>
        <v>1</v>
      </c>
      <c r="AF856">
        <v>0</v>
      </c>
      <c r="AG856">
        <v>0</v>
      </c>
      <c r="AH856">
        <v>0</v>
      </c>
      <c r="AI856">
        <v>0</v>
      </c>
      <c r="AJ856">
        <v>0.11764705882352941</v>
      </c>
      <c r="AK856">
        <v>0</v>
      </c>
      <c r="AL856">
        <v>0</v>
      </c>
      <c r="AM856">
        <v>0</v>
      </c>
      <c r="AN856">
        <v>0</v>
      </c>
    </row>
    <row r="857" spans="1:40" x14ac:dyDescent="0.25">
      <c r="A857">
        <v>2023</v>
      </c>
      <c r="B857" t="s">
        <v>220</v>
      </c>
      <c r="C857" t="str">
        <f>IF(COUNTIF('Rookies 22-25'!$B$2:$B$60,E857)&gt;0,"(R)","No")</f>
        <v>No</v>
      </c>
      <c r="D857">
        <v>71</v>
      </c>
      <c r="E857" t="s">
        <v>498</v>
      </c>
      <c r="F857" t="s">
        <v>84</v>
      </c>
      <c r="G857">
        <f>VLOOKUP(E857,'23 Draft ADP'!$B$3:$D$323,3,)</f>
        <v>297</v>
      </c>
      <c r="H857">
        <v>8</v>
      </c>
      <c r="I857">
        <v>1.1000000000000001</v>
      </c>
      <c r="J857">
        <v>7.1</v>
      </c>
      <c r="K857" t="s">
        <v>33</v>
      </c>
      <c r="L857" t="s">
        <v>33</v>
      </c>
      <c r="M857" t="s">
        <v>33</v>
      </c>
      <c r="N857">
        <v>12.4</v>
      </c>
      <c r="O857">
        <v>1.3</v>
      </c>
      <c r="P857">
        <v>5.7</v>
      </c>
      <c r="Q857">
        <v>3.2</v>
      </c>
      <c r="R857" t="s">
        <v>22</v>
      </c>
      <c r="S857">
        <v>12.1</v>
      </c>
      <c r="T857">
        <v>0</v>
      </c>
      <c r="U857" t="s">
        <v>33</v>
      </c>
      <c r="V857" t="s">
        <v>33</v>
      </c>
      <c r="W857" t="s">
        <v>33</v>
      </c>
      <c r="X857" t="s">
        <v>33</v>
      </c>
      <c r="Y857" t="s">
        <v>33</v>
      </c>
      <c r="Z857">
        <v>0</v>
      </c>
      <c r="AA857">
        <v>5.4</v>
      </c>
      <c r="AB857">
        <f t="shared" si="26"/>
        <v>42.9</v>
      </c>
      <c r="AC857">
        <v>42.9</v>
      </c>
      <c r="AD857">
        <v>20</v>
      </c>
      <c r="AE857">
        <f t="shared" si="27"/>
        <v>2</v>
      </c>
      <c r="AF857">
        <v>0</v>
      </c>
      <c r="AG857">
        <v>0</v>
      </c>
      <c r="AH857">
        <v>0</v>
      </c>
      <c r="AI857">
        <v>0</v>
      </c>
      <c r="AJ857">
        <v>0.11764705882352941</v>
      </c>
      <c r="AK857">
        <v>0</v>
      </c>
      <c r="AL857">
        <v>0</v>
      </c>
      <c r="AM857">
        <v>0</v>
      </c>
      <c r="AN857">
        <v>0</v>
      </c>
    </row>
    <row r="858" spans="1:40" x14ac:dyDescent="0.25">
      <c r="A858">
        <v>2023</v>
      </c>
      <c r="B858" t="s">
        <v>220</v>
      </c>
      <c r="C858" t="str">
        <f>IF(COUNTIF('Rookies 22-25'!$B$2:$B$60,E858)&gt;0,"(R)","No")</f>
        <v>No</v>
      </c>
      <c r="D858">
        <v>72</v>
      </c>
      <c r="E858" t="s">
        <v>403</v>
      </c>
      <c r="F858" t="s">
        <v>32</v>
      </c>
      <c r="G858">
        <f>VLOOKUP(E858,'23 Draft ADP'!$B$3:$D$323,3,)</f>
        <v>265</v>
      </c>
      <c r="H858">
        <v>17</v>
      </c>
      <c r="I858">
        <v>0</v>
      </c>
      <c r="J858">
        <v>6.1</v>
      </c>
      <c r="K858">
        <v>2.7</v>
      </c>
      <c r="L858">
        <v>4.9000000000000004</v>
      </c>
      <c r="M858" t="s">
        <v>22</v>
      </c>
      <c r="N858">
        <v>0</v>
      </c>
      <c r="O858">
        <v>2.5</v>
      </c>
      <c r="P858">
        <v>9.1999999999999993</v>
      </c>
      <c r="Q858">
        <v>1.2</v>
      </c>
      <c r="R858">
        <v>0</v>
      </c>
      <c r="S858">
        <v>1.5</v>
      </c>
      <c r="T858">
        <v>0</v>
      </c>
      <c r="U858">
        <v>2</v>
      </c>
      <c r="V858">
        <v>0</v>
      </c>
      <c r="W858">
        <v>3.1</v>
      </c>
      <c r="X858">
        <v>2.2000000000000002</v>
      </c>
      <c r="Y858">
        <v>0.9</v>
      </c>
      <c r="Z858">
        <v>6.5</v>
      </c>
      <c r="AA858">
        <v>2.5</v>
      </c>
      <c r="AB858">
        <f t="shared" si="26"/>
        <v>36.299999999999997</v>
      </c>
      <c r="AC858">
        <v>42.8</v>
      </c>
      <c r="AD858">
        <v>20</v>
      </c>
      <c r="AE858">
        <f t="shared" si="27"/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</row>
    <row r="859" spans="1:40" x14ac:dyDescent="0.25">
      <c r="A859">
        <v>2023</v>
      </c>
      <c r="B859" t="s">
        <v>220</v>
      </c>
      <c r="C859" t="str">
        <f>IF(COUNTIF('Rookies 22-25'!$B$2:$B$60,E859)&gt;0,"(R)","No")</f>
        <v>No</v>
      </c>
      <c r="D859">
        <v>73</v>
      </c>
      <c r="E859" t="s">
        <v>499</v>
      </c>
      <c r="F859" t="s">
        <v>84</v>
      </c>
      <c r="G859">
        <f>VLOOKUP(E859,'23 Draft ADP'!$B$3:$D$323,3,)</f>
        <v>181</v>
      </c>
      <c r="H859">
        <v>10</v>
      </c>
      <c r="I859" t="s">
        <v>33</v>
      </c>
      <c r="J859" t="s">
        <v>33</v>
      </c>
      <c r="K859" t="s">
        <v>33</v>
      </c>
      <c r="L859" t="s">
        <v>33</v>
      </c>
      <c r="M859" t="s">
        <v>33</v>
      </c>
      <c r="N859" t="s">
        <v>33</v>
      </c>
      <c r="O859">
        <v>1.4</v>
      </c>
      <c r="P859">
        <v>5.7</v>
      </c>
      <c r="Q859">
        <v>6.8</v>
      </c>
      <c r="R859" t="s">
        <v>22</v>
      </c>
      <c r="S859" t="s">
        <v>33</v>
      </c>
      <c r="T859">
        <v>10.3</v>
      </c>
      <c r="U859">
        <v>1.1000000000000001</v>
      </c>
      <c r="V859">
        <v>0</v>
      </c>
      <c r="W859">
        <v>1.6</v>
      </c>
      <c r="X859">
        <v>3.5</v>
      </c>
      <c r="Y859">
        <v>6.4</v>
      </c>
      <c r="Z859">
        <v>4.5</v>
      </c>
      <c r="AA859">
        <v>4.0999999999999996</v>
      </c>
      <c r="AB859">
        <f t="shared" si="26"/>
        <v>36.799999999999997</v>
      </c>
      <c r="AC859">
        <v>41.3</v>
      </c>
      <c r="AD859">
        <v>17</v>
      </c>
      <c r="AE859">
        <f t="shared" si="27"/>
        <v>1</v>
      </c>
      <c r="AF859">
        <v>0</v>
      </c>
      <c r="AG859">
        <v>0</v>
      </c>
      <c r="AH859">
        <v>0</v>
      </c>
      <c r="AI859">
        <v>0</v>
      </c>
      <c r="AJ859">
        <v>5.8823529411764705E-2</v>
      </c>
      <c r="AK859">
        <v>0</v>
      </c>
      <c r="AL859">
        <v>0</v>
      </c>
      <c r="AM859">
        <v>0</v>
      </c>
      <c r="AN859">
        <v>0</v>
      </c>
    </row>
    <row r="860" spans="1:40" x14ac:dyDescent="0.25">
      <c r="A860">
        <v>2023</v>
      </c>
      <c r="B860" t="s">
        <v>220</v>
      </c>
      <c r="C860" t="str">
        <f>IF(COUNTIF('Rookies 22-25'!$B$2:$B$60,E860)&gt;0,"(R)","No")</f>
        <v>No</v>
      </c>
      <c r="D860">
        <v>74</v>
      </c>
      <c r="E860" t="s">
        <v>296</v>
      </c>
      <c r="F860" t="s">
        <v>43</v>
      </c>
      <c r="G860">
        <v>301</v>
      </c>
      <c r="H860">
        <v>17</v>
      </c>
      <c r="I860">
        <v>0</v>
      </c>
      <c r="J860">
        <v>1.5</v>
      </c>
      <c r="K860">
        <v>3.6</v>
      </c>
      <c r="L860">
        <v>3.4</v>
      </c>
      <c r="M860">
        <v>2.5</v>
      </c>
      <c r="N860">
        <v>0</v>
      </c>
      <c r="O860">
        <v>0</v>
      </c>
      <c r="P860">
        <v>2.9</v>
      </c>
      <c r="Q860">
        <v>4.5</v>
      </c>
      <c r="R860">
        <v>1.4</v>
      </c>
      <c r="S860">
        <v>1.4</v>
      </c>
      <c r="T860">
        <v>2.2999999999999998</v>
      </c>
      <c r="U860" t="s">
        <v>22</v>
      </c>
      <c r="V860">
        <v>3.9</v>
      </c>
      <c r="W860">
        <v>6.5</v>
      </c>
      <c r="X860">
        <v>2.2000000000000002</v>
      </c>
      <c r="Y860">
        <v>3.2</v>
      </c>
      <c r="Z860">
        <v>1.7</v>
      </c>
      <c r="AA860">
        <v>2.4</v>
      </c>
      <c r="AB860">
        <f t="shared" si="26"/>
        <v>39.299999999999997</v>
      </c>
      <c r="AC860">
        <v>41</v>
      </c>
      <c r="AD860">
        <v>20</v>
      </c>
      <c r="AE860">
        <f t="shared" si="27"/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</row>
    <row r="861" spans="1:40" x14ac:dyDescent="0.25">
      <c r="A861">
        <v>2023</v>
      </c>
      <c r="B861" t="s">
        <v>220</v>
      </c>
      <c r="C861" t="str">
        <f>IF(COUNTIF('Rookies 22-25'!$B$2:$B$60,E861)&gt;0,"(R)","No")</f>
        <v>No</v>
      </c>
      <c r="D861">
        <v>75</v>
      </c>
      <c r="E861" t="s">
        <v>500</v>
      </c>
      <c r="F861" t="s">
        <v>53</v>
      </c>
      <c r="G861">
        <f>VLOOKUP(E861,'23 Draft ADP'!$B$3:$D$323,3,)</f>
        <v>86</v>
      </c>
      <c r="H861">
        <v>15</v>
      </c>
      <c r="I861">
        <v>8.9</v>
      </c>
      <c r="J861">
        <v>0.2</v>
      </c>
      <c r="K861">
        <v>5.9</v>
      </c>
      <c r="L861">
        <v>2.8</v>
      </c>
      <c r="M861">
        <v>2.2999999999999998</v>
      </c>
      <c r="N861">
        <v>2.4</v>
      </c>
      <c r="O861" t="s">
        <v>33</v>
      </c>
      <c r="P861">
        <v>0.5</v>
      </c>
      <c r="Q861">
        <v>1.8</v>
      </c>
      <c r="R861">
        <v>2.6</v>
      </c>
      <c r="S861">
        <v>1.3</v>
      </c>
      <c r="T861">
        <v>4.0999999999999996</v>
      </c>
      <c r="U861">
        <v>3.6</v>
      </c>
      <c r="V861">
        <v>1.8</v>
      </c>
      <c r="W861">
        <v>2</v>
      </c>
      <c r="X861">
        <v>0</v>
      </c>
      <c r="Y861" t="s">
        <v>33</v>
      </c>
      <c r="Z861">
        <v>0</v>
      </c>
      <c r="AA861">
        <v>2.7</v>
      </c>
      <c r="AB861">
        <f t="shared" si="26"/>
        <v>40.200000000000003</v>
      </c>
      <c r="AC861">
        <v>40.200000000000003</v>
      </c>
      <c r="AD861">
        <v>4</v>
      </c>
      <c r="AE861">
        <f t="shared" si="27"/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</row>
    <row r="862" spans="1:40" x14ac:dyDescent="0.25">
      <c r="A862">
        <v>2023</v>
      </c>
      <c r="B862" t="s">
        <v>220</v>
      </c>
      <c r="C862" t="str">
        <f>IF(COUNTIF('Rookies 22-25'!$B$2:$B$60,E862)&gt;0,"(R)","No")</f>
        <v>No</v>
      </c>
      <c r="D862">
        <v>76</v>
      </c>
      <c r="E862" t="s">
        <v>501</v>
      </c>
      <c r="F862" t="s">
        <v>65</v>
      </c>
      <c r="G862">
        <f>VLOOKUP(E862,'23 Draft ADP'!$B$3:$D$323,3,)</f>
        <v>267</v>
      </c>
      <c r="H862">
        <v>13</v>
      </c>
      <c r="I862">
        <v>0.8</v>
      </c>
      <c r="J862">
        <v>1.2</v>
      </c>
      <c r="K862" t="s">
        <v>33</v>
      </c>
      <c r="L862" t="s">
        <v>33</v>
      </c>
      <c r="M862" t="s">
        <v>22</v>
      </c>
      <c r="N862" t="s">
        <v>33</v>
      </c>
      <c r="O862" t="s">
        <v>33</v>
      </c>
      <c r="P862">
        <v>4.0999999999999996</v>
      </c>
      <c r="Q862">
        <v>0.4</v>
      </c>
      <c r="R862">
        <v>1.7</v>
      </c>
      <c r="S862">
        <v>2.9</v>
      </c>
      <c r="T862">
        <v>1.1000000000000001</v>
      </c>
      <c r="U862">
        <v>1.9</v>
      </c>
      <c r="V862">
        <v>7.8</v>
      </c>
      <c r="W862">
        <v>1.3</v>
      </c>
      <c r="X862">
        <v>2.5</v>
      </c>
      <c r="Y862">
        <v>10.6</v>
      </c>
      <c r="Z862">
        <v>3.4</v>
      </c>
      <c r="AA862">
        <v>3.1</v>
      </c>
      <c r="AB862">
        <f t="shared" si="26"/>
        <v>36.300000000000004</v>
      </c>
      <c r="AC862">
        <v>39.700000000000003</v>
      </c>
      <c r="AD862">
        <v>20</v>
      </c>
      <c r="AE862">
        <f t="shared" si="27"/>
        <v>1</v>
      </c>
      <c r="AF862">
        <v>0</v>
      </c>
      <c r="AG862">
        <v>0</v>
      </c>
      <c r="AH862">
        <v>0</v>
      </c>
      <c r="AI862">
        <v>0</v>
      </c>
      <c r="AJ862">
        <v>5.8823529411764705E-2</v>
      </c>
      <c r="AK862">
        <v>0</v>
      </c>
      <c r="AL862">
        <v>0</v>
      </c>
      <c r="AM862">
        <v>0</v>
      </c>
      <c r="AN862">
        <v>0</v>
      </c>
    </row>
    <row r="863" spans="1:40" x14ac:dyDescent="0.25">
      <c r="A863">
        <v>2023</v>
      </c>
      <c r="B863" t="s">
        <v>220</v>
      </c>
      <c r="C863" t="str">
        <f>IF(COUNTIF('Rookies 22-25'!$B$2:$B$60,E863)&gt;0,"(R)","No")</f>
        <v>No</v>
      </c>
      <c r="D863">
        <v>77</v>
      </c>
      <c r="E863" t="s">
        <v>286</v>
      </c>
      <c r="F863" t="s">
        <v>47</v>
      </c>
      <c r="G863">
        <v>302</v>
      </c>
      <c r="H863">
        <v>17</v>
      </c>
      <c r="I863">
        <v>0</v>
      </c>
      <c r="J863">
        <v>0</v>
      </c>
      <c r="K863">
        <v>0.3</v>
      </c>
      <c r="L863">
        <v>1.7</v>
      </c>
      <c r="M863">
        <v>12.6</v>
      </c>
      <c r="N863">
        <v>1.9</v>
      </c>
      <c r="O863">
        <v>0</v>
      </c>
      <c r="P863">
        <v>0</v>
      </c>
      <c r="Q863" t="s">
        <v>22</v>
      </c>
      <c r="R863">
        <v>10.6</v>
      </c>
      <c r="S863">
        <v>0</v>
      </c>
      <c r="T863">
        <v>0</v>
      </c>
      <c r="U863">
        <v>0</v>
      </c>
      <c r="V863">
        <v>0</v>
      </c>
      <c r="W863">
        <v>4.5999999999999996</v>
      </c>
      <c r="X863">
        <v>1.5</v>
      </c>
      <c r="Y863">
        <v>5.3</v>
      </c>
      <c r="Z863">
        <v>0</v>
      </c>
      <c r="AA863">
        <v>2.2999999999999998</v>
      </c>
      <c r="AB863">
        <f t="shared" si="26"/>
        <v>38.5</v>
      </c>
      <c r="AC863">
        <v>38.5</v>
      </c>
      <c r="AD863">
        <v>20</v>
      </c>
      <c r="AE863">
        <f t="shared" si="27"/>
        <v>2</v>
      </c>
      <c r="AF863">
        <v>0</v>
      </c>
      <c r="AG863">
        <v>0</v>
      </c>
      <c r="AH863">
        <v>0</v>
      </c>
      <c r="AI863">
        <v>0</v>
      </c>
      <c r="AJ863">
        <v>0.11764705882352941</v>
      </c>
      <c r="AK863">
        <v>0</v>
      </c>
      <c r="AL863">
        <v>0</v>
      </c>
      <c r="AM863">
        <v>0</v>
      </c>
      <c r="AN863">
        <v>0</v>
      </c>
    </row>
    <row r="864" spans="1:40" x14ac:dyDescent="0.25">
      <c r="A864">
        <v>2023</v>
      </c>
      <c r="B864" t="s">
        <v>220</v>
      </c>
      <c r="C864" t="str">
        <f>IF(COUNTIF('Rookies 22-25'!$B$2:$B$60,E864)&gt;0,"(R)","No")</f>
        <v>No</v>
      </c>
      <c r="D864">
        <v>78</v>
      </c>
      <c r="E864" t="s">
        <v>271</v>
      </c>
      <c r="F864" t="s">
        <v>59</v>
      </c>
      <c r="G864">
        <v>303</v>
      </c>
      <c r="H864">
        <v>11</v>
      </c>
      <c r="I864">
        <v>0.7</v>
      </c>
      <c r="J864">
        <v>0</v>
      </c>
      <c r="K864">
        <v>0</v>
      </c>
      <c r="L864" t="s">
        <v>33</v>
      </c>
      <c r="M864" t="s">
        <v>33</v>
      </c>
      <c r="N864">
        <v>2.2999999999999998</v>
      </c>
      <c r="O864">
        <v>3.1</v>
      </c>
      <c r="P864" t="s">
        <v>33</v>
      </c>
      <c r="Q864">
        <v>0</v>
      </c>
      <c r="R864" t="s">
        <v>33</v>
      </c>
      <c r="S864">
        <v>3.8</v>
      </c>
      <c r="T864">
        <v>2.1</v>
      </c>
      <c r="U864">
        <v>2.9</v>
      </c>
      <c r="V864" t="s">
        <v>22</v>
      </c>
      <c r="W864">
        <v>3.5</v>
      </c>
      <c r="X864">
        <v>19.5</v>
      </c>
      <c r="Y864" t="s">
        <v>33</v>
      </c>
      <c r="Z864">
        <v>0</v>
      </c>
      <c r="AA864">
        <v>3.4</v>
      </c>
      <c r="AB864">
        <f t="shared" si="26"/>
        <v>37.9</v>
      </c>
      <c r="AC864">
        <v>37.9</v>
      </c>
      <c r="AD864">
        <v>20</v>
      </c>
      <c r="AE864">
        <f t="shared" si="27"/>
        <v>1</v>
      </c>
      <c r="AF864">
        <v>1</v>
      </c>
      <c r="AG864">
        <v>0</v>
      </c>
      <c r="AH864">
        <v>0</v>
      </c>
      <c r="AI864">
        <v>0</v>
      </c>
      <c r="AJ864">
        <v>5.8823529411764705E-2</v>
      </c>
      <c r="AK864">
        <v>9.0909090909090912E-2</v>
      </c>
      <c r="AL864">
        <v>0</v>
      </c>
      <c r="AM864">
        <v>0</v>
      </c>
      <c r="AN864">
        <v>0</v>
      </c>
    </row>
    <row r="865" spans="1:40" x14ac:dyDescent="0.25">
      <c r="A865">
        <v>2023</v>
      </c>
      <c r="B865" t="s">
        <v>220</v>
      </c>
      <c r="C865" t="str">
        <f>IF(COUNTIF('Rookies 22-25'!$B$2:$B$60,E865)&gt;0,"(R)","No")</f>
        <v>No</v>
      </c>
      <c r="D865">
        <v>79</v>
      </c>
      <c r="E865" t="s">
        <v>400</v>
      </c>
      <c r="F865" t="s">
        <v>24</v>
      </c>
      <c r="G865">
        <f>VLOOKUP(E865,'23 Draft ADP'!$B$3:$D$323,3,)</f>
        <v>232</v>
      </c>
      <c r="H865">
        <v>13</v>
      </c>
      <c r="I865" t="s">
        <v>33</v>
      </c>
      <c r="J865" t="s">
        <v>33</v>
      </c>
      <c r="K865" t="s">
        <v>33</v>
      </c>
      <c r="L865" t="s">
        <v>33</v>
      </c>
      <c r="M865">
        <v>1.7</v>
      </c>
      <c r="N865">
        <v>1.6</v>
      </c>
      <c r="O865">
        <v>5.6</v>
      </c>
      <c r="P865">
        <v>0.7</v>
      </c>
      <c r="Q865">
        <v>1.3</v>
      </c>
      <c r="R865">
        <v>4</v>
      </c>
      <c r="S865" t="s">
        <v>22</v>
      </c>
      <c r="T865">
        <v>4.3</v>
      </c>
      <c r="U865">
        <v>2.7</v>
      </c>
      <c r="V865">
        <v>0.7</v>
      </c>
      <c r="W865">
        <v>7</v>
      </c>
      <c r="X865">
        <v>5.3</v>
      </c>
      <c r="Y865">
        <v>0</v>
      </c>
      <c r="Z865">
        <v>2</v>
      </c>
      <c r="AA865">
        <v>2.8</v>
      </c>
      <c r="AB865">
        <f t="shared" si="26"/>
        <v>34.9</v>
      </c>
      <c r="AC865">
        <v>36.9</v>
      </c>
      <c r="AD865">
        <v>20</v>
      </c>
      <c r="AE865">
        <f t="shared" si="27"/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</row>
    <row r="866" spans="1:40" x14ac:dyDescent="0.25">
      <c r="A866">
        <v>2023</v>
      </c>
      <c r="B866" t="s">
        <v>220</v>
      </c>
      <c r="C866" t="str">
        <f>IF(COUNTIF('Rookies 22-25'!$B$2:$B$60,E866)&gt;0,"(R)","No")</f>
        <v>No</v>
      </c>
      <c r="D866">
        <v>80</v>
      </c>
      <c r="E866" t="s">
        <v>402</v>
      </c>
      <c r="F866" t="s">
        <v>67</v>
      </c>
      <c r="G866">
        <v>306</v>
      </c>
      <c r="H866">
        <v>17</v>
      </c>
      <c r="I866">
        <v>-0.4</v>
      </c>
      <c r="J866">
        <v>2.7</v>
      </c>
      <c r="K866">
        <v>3.2</v>
      </c>
      <c r="L866">
        <v>-0.2</v>
      </c>
      <c r="M866">
        <v>0</v>
      </c>
      <c r="N866">
        <v>1.9</v>
      </c>
      <c r="O866">
        <v>0</v>
      </c>
      <c r="P866">
        <v>0.8</v>
      </c>
      <c r="Q866" t="s">
        <v>22</v>
      </c>
      <c r="R866">
        <v>6</v>
      </c>
      <c r="S866">
        <v>6.4</v>
      </c>
      <c r="T866">
        <v>7.1</v>
      </c>
      <c r="U866">
        <v>1.9</v>
      </c>
      <c r="V866">
        <v>4.8</v>
      </c>
      <c r="W866">
        <v>0.5</v>
      </c>
      <c r="X866">
        <v>0.2</v>
      </c>
      <c r="Y866">
        <v>0</v>
      </c>
      <c r="Z866">
        <v>-0.1</v>
      </c>
      <c r="AA866">
        <v>2</v>
      </c>
      <c r="AB866">
        <f t="shared" si="26"/>
        <v>34.9</v>
      </c>
      <c r="AC866">
        <v>34.799999999999997</v>
      </c>
      <c r="AD866">
        <v>20</v>
      </c>
      <c r="AE866">
        <f t="shared" si="27"/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</row>
    <row r="867" spans="1:40" x14ac:dyDescent="0.25">
      <c r="A867">
        <v>2023</v>
      </c>
      <c r="B867" t="s">
        <v>220</v>
      </c>
      <c r="C867" t="str">
        <f>IF(COUNTIF('Rookies 22-25'!$B$2:$B$60,E867)&gt;0,"(R)","No")</f>
        <v>No</v>
      </c>
      <c r="D867">
        <v>81</v>
      </c>
      <c r="E867" t="s">
        <v>267</v>
      </c>
      <c r="F867" t="s">
        <v>61</v>
      </c>
      <c r="G867">
        <v>306</v>
      </c>
      <c r="H867">
        <v>9</v>
      </c>
      <c r="I867" t="s">
        <v>33</v>
      </c>
      <c r="J867" t="s">
        <v>33</v>
      </c>
      <c r="K867" t="s">
        <v>33</v>
      </c>
      <c r="L867" t="s">
        <v>33</v>
      </c>
      <c r="M867" t="s">
        <v>33</v>
      </c>
      <c r="N867" t="s">
        <v>33</v>
      </c>
      <c r="O867">
        <v>0</v>
      </c>
      <c r="P867" t="s">
        <v>33</v>
      </c>
      <c r="Q867">
        <v>0</v>
      </c>
      <c r="R867">
        <v>0.2</v>
      </c>
      <c r="S867">
        <v>14.8</v>
      </c>
      <c r="T867">
        <v>1.9</v>
      </c>
      <c r="U867" t="s">
        <v>22</v>
      </c>
      <c r="V867">
        <v>4.0999999999999996</v>
      </c>
      <c r="W867">
        <v>6.8</v>
      </c>
      <c r="X867" t="s">
        <v>33</v>
      </c>
      <c r="Y867">
        <v>2.2000000000000002</v>
      </c>
      <c r="Z867">
        <v>2.4</v>
      </c>
      <c r="AA867">
        <v>3.6</v>
      </c>
      <c r="AB867">
        <f t="shared" si="26"/>
        <v>30</v>
      </c>
      <c r="AC867">
        <v>32.4</v>
      </c>
      <c r="AD867">
        <v>20</v>
      </c>
      <c r="AE867">
        <f t="shared" si="27"/>
        <v>1</v>
      </c>
      <c r="AF867">
        <v>0</v>
      </c>
      <c r="AG867">
        <v>0</v>
      </c>
      <c r="AH867">
        <v>0</v>
      </c>
      <c r="AI867">
        <v>0</v>
      </c>
      <c r="AJ867">
        <v>5.8823529411764705E-2</v>
      </c>
      <c r="AK867">
        <v>0</v>
      </c>
      <c r="AL867">
        <v>0</v>
      </c>
      <c r="AM867">
        <v>0</v>
      </c>
      <c r="AN867">
        <v>0</v>
      </c>
    </row>
    <row r="868" spans="1:40" x14ac:dyDescent="0.25">
      <c r="A868">
        <v>2023</v>
      </c>
      <c r="B868" t="s">
        <v>220</v>
      </c>
      <c r="C868" t="str">
        <f>IF(COUNTIF('Rookies 22-25'!$B$2:$B$60,E868)&gt;0,"(R)","No")</f>
        <v>No</v>
      </c>
      <c r="D868">
        <v>82</v>
      </c>
      <c r="E868" t="s">
        <v>502</v>
      </c>
      <c r="F868" t="s">
        <v>21</v>
      </c>
      <c r="G868">
        <v>306</v>
      </c>
      <c r="H868">
        <v>6</v>
      </c>
      <c r="I868">
        <v>0.5</v>
      </c>
      <c r="J868">
        <v>15.4</v>
      </c>
      <c r="K868">
        <v>9.1999999999999993</v>
      </c>
      <c r="L868" t="s">
        <v>33</v>
      </c>
      <c r="M868" t="s">
        <v>33</v>
      </c>
      <c r="N868" t="s">
        <v>33</v>
      </c>
      <c r="O868" t="s">
        <v>33</v>
      </c>
      <c r="P868" t="s">
        <v>33</v>
      </c>
      <c r="Q868">
        <v>2.7</v>
      </c>
      <c r="R868">
        <v>1.3</v>
      </c>
      <c r="S868">
        <v>3.1</v>
      </c>
      <c r="T868" t="s">
        <v>33</v>
      </c>
      <c r="U868" t="s">
        <v>33</v>
      </c>
      <c r="V868" t="s">
        <v>22</v>
      </c>
      <c r="W868" t="s">
        <v>33</v>
      </c>
      <c r="X868" t="s">
        <v>33</v>
      </c>
      <c r="Y868" t="s">
        <v>33</v>
      </c>
      <c r="Z868">
        <v>0</v>
      </c>
      <c r="AA868">
        <v>5.4</v>
      </c>
      <c r="AB868">
        <f t="shared" si="26"/>
        <v>32.200000000000003</v>
      </c>
      <c r="AC868">
        <v>32.200000000000003</v>
      </c>
      <c r="AD868">
        <v>20</v>
      </c>
      <c r="AE868">
        <f t="shared" si="27"/>
        <v>1</v>
      </c>
      <c r="AF868">
        <v>1</v>
      </c>
      <c r="AG868">
        <v>0</v>
      </c>
      <c r="AH868">
        <v>0</v>
      </c>
      <c r="AI868">
        <v>0</v>
      </c>
      <c r="AJ868">
        <v>5.8823529411764705E-2</v>
      </c>
      <c r="AK868">
        <v>0.16666666666666666</v>
      </c>
      <c r="AL868">
        <v>0</v>
      </c>
      <c r="AM868">
        <v>0</v>
      </c>
      <c r="AN868">
        <v>0</v>
      </c>
    </row>
    <row r="869" spans="1:40" x14ac:dyDescent="0.25">
      <c r="A869">
        <v>2023</v>
      </c>
      <c r="B869" t="s">
        <v>220</v>
      </c>
      <c r="C869" t="str">
        <f>IF(COUNTIF('Rookies 22-25'!$B$2:$B$60,E869)&gt;0,"(R)","No")</f>
        <v>No</v>
      </c>
      <c r="D869">
        <v>83</v>
      </c>
      <c r="E869" t="s">
        <v>406</v>
      </c>
      <c r="F869" t="s">
        <v>69</v>
      </c>
      <c r="G869">
        <v>306</v>
      </c>
      <c r="H869">
        <v>11</v>
      </c>
      <c r="I869">
        <v>2.2000000000000002</v>
      </c>
      <c r="J869">
        <v>0.1</v>
      </c>
      <c r="K869">
        <v>5.9</v>
      </c>
      <c r="L869" t="s">
        <v>33</v>
      </c>
      <c r="M869">
        <v>2.7</v>
      </c>
      <c r="N869" t="s">
        <v>22</v>
      </c>
      <c r="O869" t="s">
        <v>33</v>
      </c>
      <c r="P869" t="s">
        <v>33</v>
      </c>
      <c r="Q869" t="s">
        <v>33</v>
      </c>
      <c r="R869" t="s">
        <v>33</v>
      </c>
      <c r="S869" t="s">
        <v>33</v>
      </c>
      <c r="T869">
        <v>2.5</v>
      </c>
      <c r="U869">
        <v>2.9</v>
      </c>
      <c r="V869">
        <v>7.2</v>
      </c>
      <c r="W869">
        <v>2.2000000000000002</v>
      </c>
      <c r="X869">
        <v>1.3</v>
      </c>
      <c r="Y869">
        <v>3</v>
      </c>
      <c r="Z869">
        <v>0</v>
      </c>
      <c r="AA869">
        <v>2.7</v>
      </c>
      <c r="AB869">
        <f t="shared" si="26"/>
        <v>30</v>
      </c>
      <c r="AC869">
        <v>30</v>
      </c>
      <c r="AD869">
        <v>20</v>
      </c>
      <c r="AE869">
        <f t="shared" si="27"/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</row>
    <row r="870" spans="1:40" x14ac:dyDescent="0.25">
      <c r="A870">
        <v>2023</v>
      </c>
      <c r="B870" t="s">
        <v>220</v>
      </c>
      <c r="C870" t="str">
        <f>IF(COUNTIF('Rookies 22-25'!$B$2:$B$60,E870)&gt;0,"(R)","No")</f>
        <v>No</v>
      </c>
      <c r="D870">
        <v>83</v>
      </c>
      <c r="E870" t="s">
        <v>503</v>
      </c>
      <c r="F870" t="s">
        <v>84</v>
      </c>
      <c r="G870">
        <v>306</v>
      </c>
      <c r="H870">
        <v>6</v>
      </c>
      <c r="I870" t="s">
        <v>33</v>
      </c>
      <c r="J870" t="s">
        <v>33</v>
      </c>
      <c r="K870" t="s">
        <v>33</v>
      </c>
      <c r="L870" t="s">
        <v>33</v>
      </c>
      <c r="M870" t="s">
        <v>33</v>
      </c>
      <c r="N870">
        <v>4.4000000000000004</v>
      </c>
      <c r="O870">
        <v>6.4</v>
      </c>
      <c r="P870">
        <v>13</v>
      </c>
      <c r="Q870">
        <v>4.0999999999999996</v>
      </c>
      <c r="R870">
        <v>0.5</v>
      </c>
      <c r="S870" t="s">
        <v>33</v>
      </c>
      <c r="T870">
        <v>1.6</v>
      </c>
      <c r="U870" t="s">
        <v>33</v>
      </c>
      <c r="V870" t="s">
        <v>33</v>
      </c>
      <c r="W870" t="s">
        <v>33</v>
      </c>
      <c r="X870" t="s">
        <v>33</v>
      </c>
      <c r="Y870" t="s">
        <v>33</v>
      </c>
      <c r="Z870">
        <v>0</v>
      </c>
      <c r="AA870">
        <v>5</v>
      </c>
      <c r="AB870">
        <f t="shared" si="26"/>
        <v>30</v>
      </c>
      <c r="AC870">
        <v>30</v>
      </c>
      <c r="AD870">
        <v>20</v>
      </c>
      <c r="AE870">
        <f t="shared" si="27"/>
        <v>1</v>
      </c>
      <c r="AF870">
        <v>0</v>
      </c>
      <c r="AG870">
        <v>0</v>
      </c>
      <c r="AH870">
        <v>0</v>
      </c>
      <c r="AI870">
        <v>0</v>
      </c>
      <c r="AJ870">
        <v>5.8823529411764705E-2</v>
      </c>
      <c r="AK870">
        <v>0</v>
      </c>
      <c r="AL870">
        <v>0</v>
      </c>
      <c r="AM870">
        <v>0</v>
      </c>
      <c r="AN870">
        <v>0</v>
      </c>
    </row>
    <row r="871" spans="1:40" x14ac:dyDescent="0.25">
      <c r="A871">
        <v>2023</v>
      </c>
      <c r="B871" t="s">
        <v>220</v>
      </c>
      <c r="C871" t="str">
        <f>IF(COUNTIF('Rookies 22-25'!$B$2:$B$60,E871)&gt;0,"(R)","No")</f>
        <v>No</v>
      </c>
      <c r="D871">
        <v>85</v>
      </c>
      <c r="E871" t="s">
        <v>504</v>
      </c>
      <c r="F871" t="s">
        <v>75</v>
      </c>
      <c r="G871">
        <v>306</v>
      </c>
      <c r="H871">
        <v>15</v>
      </c>
      <c r="I871" t="s">
        <v>33</v>
      </c>
      <c r="J871">
        <v>1.5</v>
      </c>
      <c r="K871">
        <v>1.5</v>
      </c>
      <c r="L871">
        <v>0</v>
      </c>
      <c r="M871">
        <v>11.2</v>
      </c>
      <c r="N871">
        <v>6.3</v>
      </c>
      <c r="O871">
        <v>3.5</v>
      </c>
      <c r="P871">
        <v>7.6</v>
      </c>
      <c r="Q871" t="s">
        <v>22</v>
      </c>
      <c r="R871">
        <v>0</v>
      </c>
      <c r="S871">
        <v>-2</v>
      </c>
      <c r="T871">
        <v>0</v>
      </c>
      <c r="U871">
        <v>0</v>
      </c>
      <c r="V871">
        <v>0</v>
      </c>
      <c r="W871">
        <v>0</v>
      </c>
      <c r="X871">
        <v>0</v>
      </c>
      <c r="Y871" t="s">
        <v>33</v>
      </c>
      <c r="Z871">
        <v>0</v>
      </c>
      <c r="AA871">
        <v>2</v>
      </c>
      <c r="AB871">
        <f t="shared" si="26"/>
        <v>29.6</v>
      </c>
      <c r="AC871">
        <v>29.6</v>
      </c>
      <c r="AD871">
        <v>20</v>
      </c>
      <c r="AE871">
        <f t="shared" si="27"/>
        <v>1</v>
      </c>
      <c r="AF871">
        <v>0</v>
      </c>
      <c r="AG871">
        <v>0</v>
      </c>
      <c r="AH871">
        <v>0</v>
      </c>
      <c r="AI871">
        <v>0</v>
      </c>
      <c r="AJ871">
        <v>5.8823529411764705E-2</v>
      </c>
      <c r="AK871">
        <v>0</v>
      </c>
      <c r="AL871">
        <v>0</v>
      </c>
      <c r="AM871">
        <v>0</v>
      </c>
      <c r="AN871">
        <v>0</v>
      </c>
    </row>
    <row r="872" spans="1:40" x14ac:dyDescent="0.25">
      <c r="A872">
        <v>2023</v>
      </c>
      <c r="B872" t="s">
        <v>220</v>
      </c>
      <c r="C872" t="str">
        <f>IF(COUNTIF('Rookies 22-25'!$B$2:$B$60,E872)&gt;0,"(R)","No")</f>
        <v>No</v>
      </c>
      <c r="D872">
        <v>86</v>
      </c>
      <c r="E872" t="s">
        <v>320</v>
      </c>
      <c r="F872" t="s">
        <v>84</v>
      </c>
      <c r="G872">
        <v>306</v>
      </c>
      <c r="H872">
        <v>17</v>
      </c>
      <c r="I872">
        <v>5.4</v>
      </c>
      <c r="J872">
        <v>0</v>
      </c>
      <c r="K872">
        <v>0</v>
      </c>
      <c r="L872">
        <v>3.3</v>
      </c>
      <c r="M872">
        <v>0</v>
      </c>
      <c r="N872">
        <v>0</v>
      </c>
      <c r="O872">
        <v>0</v>
      </c>
      <c r="P872">
        <v>1.5</v>
      </c>
      <c r="Q872">
        <v>1.1000000000000001</v>
      </c>
      <c r="R872" t="s">
        <v>22</v>
      </c>
      <c r="S872">
        <v>4.5999999999999996</v>
      </c>
      <c r="T872">
        <v>0</v>
      </c>
      <c r="U872">
        <v>0.7</v>
      </c>
      <c r="V872">
        <v>2.2999999999999998</v>
      </c>
      <c r="W872">
        <v>0</v>
      </c>
      <c r="X872">
        <v>3.2</v>
      </c>
      <c r="Y872">
        <v>2.8</v>
      </c>
      <c r="Z872">
        <v>0</v>
      </c>
      <c r="AA872">
        <v>1.5</v>
      </c>
      <c r="AB872">
        <f t="shared" si="26"/>
        <v>24.9</v>
      </c>
      <c r="AC872">
        <v>24.9</v>
      </c>
      <c r="AD872">
        <v>20</v>
      </c>
      <c r="AE872">
        <f t="shared" si="27"/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</row>
    <row r="873" spans="1:40" x14ac:dyDescent="0.25">
      <c r="A873">
        <v>2023</v>
      </c>
      <c r="B873" t="s">
        <v>220</v>
      </c>
      <c r="C873" t="str">
        <f>IF(COUNTIF('Rookies 22-25'!$B$2:$B$60,E873)&gt;0,"(R)","No")</f>
        <v>No</v>
      </c>
      <c r="D873">
        <v>87</v>
      </c>
      <c r="E873" t="s">
        <v>274</v>
      </c>
      <c r="F873" t="s">
        <v>32</v>
      </c>
      <c r="G873">
        <f>VLOOKUP(E873,'23 Draft ADP'!$B$3:$D$323,3,)</f>
        <v>11</v>
      </c>
      <c r="H873">
        <v>2</v>
      </c>
      <c r="I873">
        <v>16.7</v>
      </c>
      <c r="J873">
        <v>6.4</v>
      </c>
      <c r="K873" t="s">
        <v>33</v>
      </c>
      <c r="L873" t="s">
        <v>33</v>
      </c>
      <c r="M873" t="s">
        <v>22</v>
      </c>
      <c r="N873" t="s">
        <v>33</v>
      </c>
      <c r="O873" t="s">
        <v>33</v>
      </c>
      <c r="P873" t="s">
        <v>33</v>
      </c>
      <c r="Q873" t="s">
        <v>33</v>
      </c>
      <c r="R873" t="s">
        <v>33</v>
      </c>
      <c r="S873" t="s">
        <v>33</v>
      </c>
      <c r="T873" t="s">
        <v>33</v>
      </c>
      <c r="U873" t="s">
        <v>33</v>
      </c>
      <c r="V873" t="s">
        <v>33</v>
      </c>
      <c r="W873" t="s">
        <v>33</v>
      </c>
      <c r="X873" t="s">
        <v>33</v>
      </c>
      <c r="Y873" t="s">
        <v>33</v>
      </c>
      <c r="Z873">
        <v>0</v>
      </c>
      <c r="AA873">
        <v>11.6</v>
      </c>
      <c r="AB873">
        <f t="shared" si="26"/>
        <v>23.1</v>
      </c>
      <c r="AC873">
        <v>23.1</v>
      </c>
      <c r="AD873">
        <v>5</v>
      </c>
      <c r="AE873">
        <f t="shared" si="27"/>
        <v>1</v>
      </c>
      <c r="AF873">
        <v>1</v>
      </c>
      <c r="AG873">
        <v>0</v>
      </c>
      <c r="AH873">
        <v>0</v>
      </c>
      <c r="AI873">
        <v>0</v>
      </c>
      <c r="AJ873">
        <v>5.8823529411764705E-2</v>
      </c>
      <c r="AK873">
        <v>0.5</v>
      </c>
      <c r="AL873">
        <v>0</v>
      </c>
      <c r="AM873">
        <v>0</v>
      </c>
      <c r="AN873">
        <v>0</v>
      </c>
    </row>
    <row r="874" spans="1:40" x14ac:dyDescent="0.25">
      <c r="A874">
        <v>2023</v>
      </c>
      <c r="B874" t="s">
        <v>220</v>
      </c>
      <c r="C874" t="str">
        <f>IF(COUNTIF('Rookies 22-25'!$B$2:$B$60,E874)&gt;0,"(R)","No")</f>
        <v>(R)</v>
      </c>
      <c r="D874">
        <v>88</v>
      </c>
      <c r="E874" t="s">
        <v>289</v>
      </c>
      <c r="F874" t="s">
        <v>67</v>
      </c>
      <c r="G874">
        <f>VLOOKUP(E874,'23 Draft ADP'!$B$3:$D$323,3,)</f>
        <v>137</v>
      </c>
      <c r="H874">
        <v>16</v>
      </c>
      <c r="I874">
        <v>5.3</v>
      </c>
      <c r="J874">
        <v>0</v>
      </c>
      <c r="K874">
        <v>7</v>
      </c>
      <c r="L874">
        <v>1</v>
      </c>
      <c r="M874">
        <v>0.8</v>
      </c>
      <c r="N874">
        <v>1.8</v>
      </c>
      <c r="O874">
        <v>0.2</v>
      </c>
      <c r="P874">
        <v>-1.1000000000000001</v>
      </c>
      <c r="Q874" t="s">
        <v>22</v>
      </c>
      <c r="R874">
        <v>0.5</v>
      </c>
      <c r="S874">
        <v>2.1</v>
      </c>
      <c r="T874">
        <v>0.6</v>
      </c>
      <c r="U874">
        <v>0</v>
      </c>
      <c r="V874">
        <v>0</v>
      </c>
      <c r="W874">
        <v>-0.2</v>
      </c>
      <c r="X874" t="s">
        <v>33</v>
      </c>
      <c r="Y874">
        <v>3.2</v>
      </c>
      <c r="Z874">
        <v>1.6</v>
      </c>
      <c r="AA874">
        <v>1.4</v>
      </c>
      <c r="AB874">
        <f t="shared" si="26"/>
        <v>21.2</v>
      </c>
      <c r="AC874">
        <v>22.8</v>
      </c>
      <c r="AD874">
        <v>12</v>
      </c>
      <c r="AE874">
        <f t="shared" si="27"/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</row>
    <row r="875" spans="1:40" x14ac:dyDescent="0.25">
      <c r="A875">
        <v>2023</v>
      </c>
      <c r="B875" t="s">
        <v>220</v>
      </c>
      <c r="C875" t="str">
        <f>IF(COUNTIF('Rookies 22-25'!$B$2:$B$60,E875)&gt;0,"(R)","No")</f>
        <v>No</v>
      </c>
      <c r="D875">
        <v>89</v>
      </c>
      <c r="E875" t="s">
        <v>505</v>
      </c>
      <c r="F875" t="s">
        <v>39</v>
      </c>
      <c r="G875">
        <v>307</v>
      </c>
      <c r="H875">
        <v>4</v>
      </c>
      <c r="I875" t="s">
        <v>33</v>
      </c>
      <c r="J875" t="s">
        <v>33</v>
      </c>
      <c r="K875" t="s">
        <v>33</v>
      </c>
      <c r="L875" t="s">
        <v>33</v>
      </c>
      <c r="M875" t="s">
        <v>33</v>
      </c>
      <c r="N875" t="s">
        <v>33</v>
      </c>
      <c r="O875" t="s">
        <v>33</v>
      </c>
      <c r="P875" t="s">
        <v>33</v>
      </c>
      <c r="Q875" t="s">
        <v>33</v>
      </c>
      <c r="R875" t="s">
        <v>33</v>
      </c>
      <c r="S875" t="s">
        <v>22</v>
      </c>
      <c r="T875" t="s">
        <v>33</v>
      </c>
      <c r="U875" t="s">
        <v>33</v>
      </c>
      <c r="V875" t="s">
        <v>33</v>
      </c>
      <c r="W875">
        <v>8.5</v>
      </c>
      <c r="X875">
        <v>2.1</v>
      </c>
      <c r="Y875">
        <v>8.9</v>
      </c>
      <c r="Z875">
        <v>1.8</v>
      </c>
      <c r="AA875">
        <v>5.3</v>
      </c>
      <c r="AB875">
        <f t="shared" si="26"/>
        <v>19.5</v>
      </c>
      <c r="AC875">
        <v>21.3</v>
      </c>
      <c r="AD875">
        <v>20</v>
      </c>
      <c r="AE875">
        <f t="shared" si="27"/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</row>
    <row r="876" spans="1:40" x14ac:dyDescent="0.25">
      <c r="A876">
        <v>2023</v>
      </c>
      <c r="B876" t="s">
        <v>220</v>
      </c>
      <c r="C876" t="str">
        <f>IF(COUNTIF('Rookies 22-25'!$B$2:$B$60,E876)&gt;0,"(R)","No")</f>
        <v>No</v>
      </c>
      <c r="D876">
        <v>90</v>
      </c>
      <c r="E876" t="s">
        <v>397</v>
      </c>
      <c r="F876" t="s">
        <v>28</v>
      </c>
      <c r="G876">
        <v>308</v>
      </c>
      <c r="H876">
        <v>12</v>
      </c>
      <c r="I876" t="s">
        <v>33</v>
      </c>
      <c r="J876" t="s">
        <v>33</v>
      </c>
      <c r="K876">
        <v>3.1</v>
      </c>
      <c r="L876">
        <v>0.7</v>
      </c>
      <c r="M876">
        <v>0</v>
      </c>
      <c r="N876">
        <v>0</v>
      </c>
      <c r="O876" t="s">
        <v>33</v>
      </c>
      <c r="P876" t="s">
        <v>33</v>
      </c>
      <c r="Q876">
        <v>0</v>
      </c>
      <c r="R876">
        <v>0</v>
      </c>
      <c r="S876" t="s">
        <v>22</v>
      </c>
      <c r="T876">
        <v>0</v>
      </c>
      <c r="U876">
        <v>0</v>
      </c>
      <c r="V876">
        <v>1.3</v>
      </c>
      <c r="W876">
        <v>8.8000000000000007</v>
      </c>
      <c r="X876">
        <v>0.3</v>
      </c>
      <c r="Y876">
        <v>6.1</v>
      </c>
      <c r="Z876">
        <v>0</v>
      </c>
      <c r="AA876">
        <v>1.7</v>
      </c>
      <c r="AB876">
        <f t="shared" si="26"/>
        <v>20.3</v>
      </c>
      <c r="AC876">
        <v>20.3</v>
      </c>
      <c r="AD876">
        <v>20</v>
      </c>
      <c r="AE876">
        <f t="shared" si="27"/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</row>
    <row r="877" spans="1:40" x14ac:dyDescent="0.25">
      <c r="A877">
        <v>2023</v>
      </c>
      <c r="B877" t="s">
        <v>331</v>
      </c>
      <c r="C877" t="str">
        <f>IF(COUNTIF('Rookies 22-25'!$B$2:$B$60,E877)&gt;0,"(R)","No")</f>
        <v>No</v>
      </c>
      <c r="D877">
        <v>1</v>
      </c>
      <c r="E877" t="s">
        <v>332</v>
      </c>
      <c r="F877" t="s">
        <v>61</v>
      </c>
      <c r="G877">
        <f>VLOOKUP(E877,'23 Draft ADP'!$B$3:$D$323,3,)</f>
        <v>18</v>
      </c>
      <c r="H877">
        <v>17</v>
      </c>
      <c r="I877">
        <v>12</v>
      </c>
      <c r="J877">
        <v>23.7</v>
      </c>
      <c r="K877">
        <v>22.3</v>
      </c>
      <c r="L877">
        <v>36.5</v>
      </c>
      <c r="M877">
        <v>28.8</v>
      </c>
      <c r="N877">
        <v>14.9</v>
      </c>
      <c r="O877">
        <v>25.3</v>
      </c>
      <c r="P877">
        <v>30.1</v>
      </c>
      <c r="Q877">
        <v>25.7</v>
      </c>
      <c r="R877">
        <v>16.399999999999999</v>
      </c>
      <c r="S877">
        <v>23.5</v>
      </c>
      <c r="T877">
        <v>40.700000000000003</v>
      </c>
      <c r="U877" t="s">
        <v>22</v>
      </c>
      <c r="V877">
        <v>21.5</v>
      </c>
      <c r="W877">
        <v>16.2</v>
      </c>
      <c r="X877">
        <v>26</v>
      </c>
      <c r="Y877">
        <v>22.2</v>
      </c>
      <c r="Z877">
        <v>25.1</v>
      </c>
      <c r="AA877">
        <v>24.2</v>
      </c>
      <c r="AB877">
        <f t="shared" si="26"/>
        <v>385.5</v>
      </c>
      <c r="AC877">
        <v>410.6</v>
      </c>
      <c r="AD877">
        <v>10</v>
      </c>
      <c r="AE877">
        <f t="shared" si="27"/>
        <v>16</v>
      </c>
      <c r="AF877">
        <v>15</v>
      </c>
      <c r="AG877">
        <v>13</v>
      </c>
      <c r="AH877">
        <v>8</v>
      </c>
      <c r="AI877">
        <v>3</v>
      </c>
      <c r="AJ877">
        <v>1</v>
      </c>
      <c r="AK877">
        <v>0.88235294117647056</v>
      </c>
      <c r="AL877">
        <v>0.76470588235294112</v>
      </c>
      <c r="AM877">
        <v>0.47058823529411764</v>
      </c>
      <c r="AN877">
        <v>0.17647058823529413</v>
      </c>
    </row>
    <row r="878" spans="1:40" x14ac:dyDescent="0.25">
      <c r="A878">
        <v>2023</v>
      </c>
      <c r="B878" t="s">
        <v>331</v>
      </c>
      <c r="C878" t="str">
        <f>IF(COUNTIF('Rookies 22-25'!$B$2:$B$60,E878)&gt;0,"(R)","No")</f>
        <v>No</v>
      </c>
      <c r="D878">
        <v>2</v>
      </c>
      <c r="E878" t="s">
        <v>340</v>
      </c>
      <c r="F878" t="s">
        <v>35</v>
      </c>
      <c r="G878">
        <f>VLOOKUP(E878,'23 Draft ADP'!$B$3:$D$323,3,)</f>
        <v>19</v>
      </c>
      <c r="H878">
        <v>17</v>
      </c>
      <c r="I878">
        <v>12.5</v>
      </c>
      <c r="J878">
        <v>26.2</v>
      </c>
      <c r="K878">
        <v>21.9</v>
      </c>
      <c r="L878">
        <v>24.2</v>
      </c>
      <c r="M878">
        <v>28.3</v>
      </c>
      <c r="N878">
        <v>22.9</v>
      </c>
      <c r="O878">
        <v>24.3</v>
      </c>
      <c r="P878">
        <v>27.4</v>
      </c>
      <c r="Q878">
        <v>25.9</v>
      </c>
      <c r="R878" t="s">
        <v>22</v>
      </c>
      <c r="S878">
        <v>19.899999999999999</v>
      </c>
      <c r="T878">
        <v>35.5</v>
      </c>
      <c r="U878">
        <v>23.9</v>
      </c>
      <c r="V878">
        <v>8.9</v>
      </c>
      <c r="W878">
        <v>23.9</v>
      </c>
      <c r="X878">
        <v>24.4</v>
      </c>
      <c r="Y878">
        <v>20.2</v>
      </c>
      <c r="Z878">
        <v>1.6</v>
      </c>
      <c r="AA878">
        <v>21.9</v>
      </c>
      <c r="AB878">
        <f t="shared" si="26"/>
        <v>370.2</v>
      </c>
      <c r="AC878">
        <v>371.8</v>
      </c>
      <c r="AD878">
        <v>11</v>
      </c>
      <c r="AE878">
        <f t="shared" si="27"/>
        <v>15</v>
      </c>
      <c r="AF878">
        <v>14</v>
      </c>
      <c r="AG878">
        <v>13</v>
      </c>
      <c r="AH878">
        <v>5</v>
      </c>
      <c r="AI878">
        <v>1</v>
      </c>
      <c r="AJ878">
        <v>0.88235294117647056</v>
      </c>
      <c r="AK878">
        <v>0.82352941176470584</v>
      </c>
      <c r="AL878">
        <v>0.76470588235294112</v>
      </c>
      <c r="AM878">
        <v>0.29411764705882354</v>
      </c>
      <c r="AN878">
        <v>5.8823529411764705E-2</v>
      </c>
    </row>
    <row r="879" spans="1:40" x14ac:dyDescent="0.25">
      <c r="A879">
        <v>2023</v>
      </c>
      <c r="B879" t="s">
        <v>331</v>
      </c>
      <c r="C879" t="str">
        <f>IF(COUNTIF('Rookies 22-25'!$B$2:$B$60,E879)&gt;0,"(R)","No")</f>
        <v>No</v>
      </c>
      <c r="D879">
        <v>3</v>
      </c>
      <c r="E879" t="s">
        <v>336</v>
      </c>
      <c r="F879" t="s">
        <v>30</v>
      </c>
      <c r="G879">
        <f>VLOOKUP(E879,'23 Draft ADP'!$B$3:$D$323,3,)</f>
        <v>78</v>
      </c>
      <c r="H879">
        <v>17</v>
      </c>
      <c r="I879">
        <v>6.3</v>
      </c>
      <c r="J879">
        <v>19.600000000000001</v>
      </c>
      <c r="K879">
        <v>15.4</v>
      </c>
      <c r="L879">
        <v>14.3</v>
      </c>
      <c r="M879">
        <v>7.3</v>
      </c>
      <c r="N879">
        <v>24.9</v>
      </c>
      <c r="O879" t="s">
        <v>22</v>
      </c>
      <c r="P879">
        <v>29.1</v>
      </c>
      <c r="Q879">
        <v>28.4</v>
      </c>
      <c r="R879">
        <v>38.9</v>
      </c>
      <c r="S879">
        <v>16.2</v>
      </c>
      <c r="T879">
        <v>32.200000000000003</v>
      </c>
      <c r="U879">
        <v>28.3</v>
      </c>
      <c r="V879">
        <v>17.899999999999999</v>
      </c>
      <c r="W879">
        <v>7.1</v>
      </c>
      <c r="X879">
        <v>18.600000000000001</v>
      </c>
      <c r="Y879">
        <v>21.3</v>
      </c>
      <c r="Z879">
        <v>26.2</v>
      </c>
      <c r="AA879">
        <v>20.7</v>
      </c>
      <c r="AB879">
        <f t="shared" si="26"/>
        <v>325.60000000000002</v>
      </c>
      <c r="AC879">
        <v>351.8</v>
      </c>
      <c r="AD879">
        <v>36</v>
      </c>
      <c r="AE879">
        <f t="shared" si="27"/>
        <v>13</v>
      </c>
      <c r="AF879">
        <v>13</v>
      </c>
      <c r="AG879">
        <v>8</v>
      </c>
      <c r="AH879">
        <v>6</v>
      </c>
      <c r="AI879">
        <v>2</v>
      </c>
      <c r="AJ879">
        <v>0.82352941176470584</v>
      </c>
      <c r="AK879">
        <v>0.76470588235294112</v>
      </c>
      <c r="AL879">
        <v>0.47058823529411764</v>
      </c>
      <c r="AM879">
        <v>0.35294117647058826</v>
      </c>
      <c r="AN879">
        <v>0.11764705882352941</v>
      </c>
    </row>
    <row r="880" spans="1:40" x14ac:dyDescent="0.25">
      <c r="A880">
        <v>2023</v>
      </c>
      <c r="B880" t="s">
        <v>331</v>
      </c>
      <c r="C880" t="str">
        <f>IF(COUNTIF('Rookies 22-25'!$B$2:$B$60,E880)&gt;0,"(R)","No")</f>
        <v>No</v>
      </c>
      <c r="D880">
        <v>4</v>
      </c>
      <c r="E880" t="s">
        <v>351</v>
      </c>
      <c r="F880" t="s">
        <v>53</v>
      </c>
      <c r="G880">
        <f>VLOOKUP(E880,'23 Draft ADP'!$B$3:$D$323,3,)</f>
        <v>25</v>
      </c>
      <c r="H880">
        <v>16</v>
      </c>
      <c r="I880">
        <v>7.6</v>
      </c>
      <c r="J880">
        <v>22.9</v>
      </c>
      <c r="K880">
        <v>28.2</v>
      </c>
      <c r="L880">
        <v>28.1</v>
      </c>
      <c r="M880">
        <v>10.9</v>
      </c>
      <c r="N880">
        <v>18.100000000000001</v>
      </c>
      <c r="O880">
        <v>33.9</v>
      </c>
      <c r="P880">
        <v>12</v>
      </c>
      <c r="Q880">
        <v>11.5</v>
      </c>
      <c r="R880">
        <v>15</v>
      </c>
      <c r="S880">
        <v>24</v>
      </c>
      <c r="T880">
        <v>15</v>
      </c>
      <c r="U880" t="s">
        <v>22</v>
      </c>
      <c r="V880">
        <v>32.6</v>
      </c>
      <c r="W880">
        <v>19.5</v>
      </c>
      <c r="X880">
        <v>22.6</v>
      </c>
      <c r="Y880">
        <v>36.299999999999997</v>
      </c>
      <c r="Z880">
        <v>0</v>
      </c>
      <c r="AA880">
        <v>21.1</v>
      </c>
      <c r="AB880">
        <f t="shared" si="26"/>
        <v>338.2</v>
      </c>
      <c r="AC880">
        <v>338.2</v>
      </c>
      <c r="AD880">
        <v>14</v>
      </c>
      <c r="AE880">
        <f t="shared" si="27"/>
        <v>15</v>
      </c>
      <c r="AF880">
        <v>10</v>
      </c>
      <c r="AG880">
        <v>8</v>
      </c>
      <c r="AH880">
        <v>5</v>
      </c>
      <c r="AI880">
        <v>3</v>
      </c>
      <c r="AJ880">
        <v>0.88235294117647056</v>
      </c>
      <c r="AK880">
        <v>0.625</v>
      </c>
      <c r="AL880">
        <v>0.5</v>
      </c>
      <c r="AM880">
        <v>0.3125</v>
      </c>
      <c r="AN880">
        <v>0.1875</v>
      </c>
    </row>
    <row r="881" spans="1:40" x14ac:dyDescent="0.25">
      <c r="A881">
        <v>2023</v>
      </c>
      <c r="B881" t="s">
        <v>331</v>
      </c>
      <c r="C881" t="str">
        <f>IF(COUNTIF('Rookies 22-25'!$B$2:$B$60,E881)&gt;0,"(R)","No")</f>
        <v>No</v>
      </c>
      <c r="D881">
        <v>5</v>
      </c>
      <c r="E881" t="s">
        <v>346</v>
      </c>
      <c r="F881" t="s">
        <v>69</v>
      </c>
      <c r="G881">
        <f>VLOOKUP(E881,'23 Draft ADP'!$B$3:$D$323,3,)</f>
        <v>135</v>
      </c>
      <c r="H881">
        <v>17</v>
      </c>
      <c r="I881">
        <v>23</v>
      </c>
      <c r="J881">
        <v>20.3</v>
      </c>
      <c r="K881">
        <v>25.3</v>
      </c>
      <c r="L881">
        <v>19.600000000000001</v>
      </c>
      <c r="M881">
        <v>8</v>
      </c>
      <c r="N881" t="s">
        <v>22</v>
      </c>
      <c r="O881">
        <v>16.3</v>
      </c>
      <c r="P881">
        <v>15.6</v>
      </c>
      <c r="Q881">
        <v>13.8</v>
      </c>
      <c r="R881">
        <v>18.7</v>
      </c>
      <c r="S881">
        <v>20.9</v>
      </c>
      <c r="T881">
        <v>26.6</v>
      </c>
      <c r="U881">
        <v>23.7</v>
      </c>
      <c r="V881">
        <v>9.9</v>
      </c>
      <c r="W881">
        <v>17.5</v>
      </c>
      <c r="X881">
        <v>24</v>
      </c>
      <c r="Y881">
        <v>28.4</v>
      </c>
      <c r="Z881">
        <v>18.5</v>
      </c>
      <c r="AA881">
        <v>19.399999999999999</v>
      </c>
      <c r="AB881">
        <f t="shared" si="26"/>
        <v>311.60000000000002</v>
      </c>
      <c r="AC881">
        <v>330.1</v>
      </c>
      <c r="AD881">
        <v>135</v>
      </c>
      <c r="AE881">
        <f t="shared" si="27"/>
        <v>14</v>
      </c>
      <c r="AF881">
        <v>14</v>
      </c>
      <c r="AG881">
        <v>8</v>
      </c>
      <c r="AH881">
        <v>3</v>
      </c>
      <c r="AI881">
        <v>0</v>
      </c>
      <c r="AJ881">
        <v>0.88235294117647056</v>
      </c>
      <c r="AK881">
        <v>0.82352941176470584</v>
      </c>
      <c r="AL881">
        <v>0.47058823529411764</v>
      </c>
      <c r="AM881">
        <v>0.17647058823529413</v>
      </c>
      <c r="AN881">
        <v>0</v>
      </c>
    </row>
    <row r="882" spans="1:40" x14ac:dyDescent="0.25">
      <c r="A882">
        <v>2023</v>
      </c>
      <c r="B882" t="s">
        <v>331</v>
      </c>
      <c r="C882" t="str">
        <f>IF(COUNTIF('Rookies 22-25'!$B$2:$B$60,E882)&gt;0,"(R)","No")</f>
        <v>No</v>
      </c>
      <c r="D882">
        <v>6</v>
      </c>
      <c r="E882" t="s">
        <v>355</v>
      </c>
      <c r="F882" t="s">
        <v>47</v>
      </c>
      <c r="G882">
        <f>VLOOKUP(E882,'23 Draft ADP'!$B$3:$D$323,3,)</f>
        <v>129</v>
      </c>
      <c r="H882">
        <v>16</v>
      </c>
      <c r="I882">
        <v>16.8</v>
      </c>
      <c r="J882">
        <v>14.7</v>
      </c>
      <c r="K882">
        <v>20.3</v>
      </c>
      <c r="L882">
        <v>21.3</v>
      </c>
      <c r="M882">
        <v>26.1</v>
      </c>
      <c r="N882">
        <v>8.6999999999999993</v>
      </c>
      <c r="O882">
        <v>14.8</v>
      </c>
      <c r="P882">
        <v>20.3</v>
      </c>
      <c r="Q882" t="s">
        <v>22</v>
      </c>
      <c r="R882">
        <v>23.8</v>
      </c>
      <c r="S882">
        <v>26.7</v>
      </c>
      <c r="T882">
        <v>11.5</v>
      </c>
      <c r="U882">
        <v>29.5</v>
      </c>
      <c r="V882">
        <v>22.4</v>
      </c>
      <c r="W882">
        <v>25.7</v>
      </c>
      <c r="X882">
        <v>6.4</v>
      </c>
      <c r="Y882">
        <v>17.600000000000001</v>
      </c>
      <c r="Z882">
        <v>0</v>
      </c>
      <c r="AA882">
        <v>19.2</v>
      </c>
      <c r="AB882">
        <f t="shared" si="26"/>
        <v>306.60000000000002</v>
      </c>
      <c r="AC882">
        <v>306.60000000000002</v>
      </c>
      <c r="AD882">
        <v>71</v>
      </c>
      <c r="AE882">
        <f t="shared" si="27"/>
        <v>14</v>
      </c>
      <c r="AF882">
        <v>11</v>
      </c>
      <c r="AG882">
        <v>9</v>
      </c>
      <c r="AH882">
        <v>4</v>
      </c>
      <c r="AI882">
        <v>0</v>
      </c>
      <c r="AJ882">
        <v>0.82352941176470584</v>
      </c>
      <c r="AK882">
        <v>0.6875</v>
      </c>
      <c r="AL882">
        <v>0.5625</v>
      </c>
      <c r="AM882">
        <v>0.25</v>
      </c>
      <c r="AN882">
        <v>0</v>
      </c>
    </row>
    <row r="883" spans="1:40" x14ac:dyDescent="0.25">
      <c r="A883">
        <v>2023</v>
      </c>
      <c r="B883" t="s">
        <v>331</v>
      </c>
      <c r="C883" t="str">
        <f>IF(COUNTIF('Rookies 22-25'!$B$2:$B$60,E883)&gt;0,"(R)","No")</f>
        <v>No</v>
      </c>
      <c r="D883">
        <v>7</v>
      </c>
      <c r="E883" t="s">
        <v>339</v>
      </c>
      <c r="F883" t="s">
        <v>75</v>
      </c>
      <c r="G883">
        <f>VLOOKUP(E883,'23 Draft ADP'!$B$3:$D$323,3,)</f>
        <v>102</v>
      </c>
      <c r="H883">
        <v>17</v>
      </c>
      <c r="I883">
        <v>14</v>
      </c>
      <c r="J883">
        <v>23.9</v>
      </c>
      <c r="K883">
        <v>19</v>
      </c>
      <c r="L883">
        <v>12.4</v>
      </c>
      <c r="M883">
        <v>27.4</v>
      </c>
      <c r="N883">
        <v>22.4</v>
      </c>
      <c r="O883">
        <v>10.4</v>
      </c>
      <c r="P883">
        <v>13.7</v>
      </c>
      <c r="Q883" t="s">
        <v>22</v>
      </c>
      <c r="R883">
        <v>21.1</v>
      </c>
      <c r="S883">
        <v>16.7</v>
      </c>
      <c r="T883">
        <v>18.2</v>
      </c>
      <c r="U883">
        <v>16.3</v>
      </c>
      <c r="V883">
        <v>6.4</v>
      </c>
      <c r="W883">
        <v>31.1</v>
      </c>
      <c r="X883">
        <v>14.3</v>
      </c>
      <c r="Y883">
        <v>12.8</v>
      </c>
      <c r="Z883">
        <v>20.8</v>
      </c>
      <c r="AA883">
        <v>17.7</v>
      </c>
      <c r="AB883">
        <f t="shared" si="26"/>
        <v>280.3</v>
      </c>
      <c r="AC883">
        <v>301.10000000000002</v>
      </c>
      <c r="AD883">
        <v>49</v>
      </c>
      <c r="AE883">
        <f t="shared" si="27"/>
        <v>15</v>
      </c>
      <c r="AF883">
        <v>10</v>
      </c>
      <c r="AG883">
        <v>6</v>
      </c>
      <c r="AH883">
        <v>2</v>
      </c>
      <c r="AI883">
        <v>1</v>
      </c>
      <c r="AJ883">
        <v>0.94117647058823528</v>
      </c>
      <c r="AK883">
        <v>0.58823529411764708</v>
      </c>
      <c r="AL883">
        <v>0.35294117647058826</v>
      </c>
      <c r="AM883">
        <v>0.11764705882352941</v>
      </c>
      <c r="AN883">
        <v>5.8823529411764705E-2</v>
      </c>
    </row>
    <row r="884" spans="1:40" x14ac:dyDescent="0.25">
      <c r="A884">
        <v>2023</v>
      </c>
      <c r="B884" t="s">
        <v>331</v>
      </c>
      <c r="C884" t="str">
        <f>IF(COUNTIF('Rookies 22-25'!$B$2:$B$60,E884)&gt;0,"(R)","No")</f>
        <v>No</v>
      </c>
      <c r="D884">
        <v>8</v>
      </c>
      <c r="E884" t="s">
        <v>342</v>
      </c>
      <c r="F884" t="s">
        <v>26</v>
      </c>
      <c r="G884">
        <f>VLOOKUP(E884,'23 Draft ADP'!$B$3:$D$323,3,)</f>
        <v>16</v>
      </c>
      <c r="H884">
        <v>16</v>
      </c>
      <c r="I884">
        <v>20.5</v>
      </c>
      <c r="J884">
        <v>22.2</v>
      </c>
      <c r="K884">
        <v>25.7</v>
      </c>
      <c r="L884">
        <v>15.2</v>
      </c>
      <c r="M884">
        <v>19.2</v>
      </c>
      <c r="N884">
        <v>18.3</v>
      </c>
      <c r="O884">
        <v>34.9</v>
      </c>
      <c r="P884">
        <v>7.6</v>
      </c>
      <c r="Q884">
        <v>15.8</v>
      </c>
      <c r="R884" t="s">
        <v>22</v>
      </c>
      <c r="S884">
        <v>17.899999999999999</v>
      </c>
      <c r="T884">
        <v>20.8</v>
      </c>
      <c r="U884">
        <v>14</v>
      </c>
      <c r="V884">
        <v>14.6</v>
      </c>
      <c r="W884">
        <v>17.7</v>
      </c>
      <c r="X884">
        <v>17.7</v>
      </c>
      <c r="Y884">
        <v>12</v>
      </c>
      <c r="Z884">
        <v>0</v>
      </c>
      <c r="AA884">
        <v>18.399999999999999</v>
      </c>
      <c r="AB884">
        <f t="shared" si="26"/>
        <v>294.2</v>
      </c>
      <c r="AC884">
        <v>294.2</v>
      </c>
      <c r="AD884">
        <v>9</v>
      </c>
      <c r="AE884">
        <f t="shared" si="27"/>
        <v>15</v>
      </c>
      <c r="AF884">
        <v>12</v>
      </c>
      <c r="AG884">
        <v>5</v>
      </c>
      <c r="AH884">
        <v>2</v>
      </c>
      <c r="AI884">
        <v>1</v>
      </c>
      <c r="AJ884">
        <v>0.88235294117647056</v>
      </c>
      <c r="AK884">
        <v>0.75</v>
      </c>
      <c r="AL884">
        <v>0.3125</v>
      </c>
      <c r="AM884">
        <v>0.125</v>
      </c>
      <c r="AN884">
        <v>6.25E-2</v>
      </c>
    </row>
    <row r="885" spans="1:40" x14ac:dyDescent="0.25">
      <c r="A885">
        <v>2023</v>
      </c>
      <c r="B885" t="s">
        <v>331</v>
      </c>
      <c r="C885" t="str">
        <f>IF(COUNTIF('Rookies 22-25'!$B$2:$B$60,E885)&gt;0,"(R)","No")</f>
        <v>No</v>
      </c>
      <c r="D885">
        <v>9</v>
      </c>
      <c r="E885" t="s">
        <v>356</v>
      </c>
      <c r="F885" t="s">
        <v>84</v>
      </c>
      <c r="G885">
        <f>VLOOKUP(E885,'23 Draft ADP'!$B$3:$D$323,3,)</f>
        <v>84</v>
      </c>
      <c r="H885">
        <v>17</v>
      </c>
      <c r="I885">
        <v>28.1</v>
      </c>
      <c r="J885">
        <v>13.3</v>
      </c>
      <c r="K885">
        <v>28.4</v>
      </c>
      <c r="L885">
        <v>15</v>
      </c>
      <c r="M885">
        <v>18.899999999999999</v>
      </c>
      <c r="N885">
        <v>22.5</v>
      </c>
      <c r="O885">
        <v>11.3</v>
      </c>
      <c r="P885">
        <v>22.8</v>
      </c>
      <c r="Q885">
        <v>12.4</v>
      </c>
      <c r="R885" t="s">
        <v>22</v>
      </c>
      <c r="S885">
        <v>18.600000000000001</v>
      </c>
      <c r="T885">
        <v>9.8000000000000007</v>
      </c>
      <c r="U885">
        <v>19.2</v>
      </c>
      <c r="V885">
        <v>9.1</v>
      </c>
      <c r="W885">
        <v>13</v>
      </c>
      <c r="X885">
        <v>15.5</v>
      </c>
      <c r="Y885">
        <v>16.899999999999999</v>
      </c>
      <c r="Z885">
        <v>9.6</v>
      </c>
      <c r="AA885">
        <v>16.7</v>
      </c>
      <c r="AB885">
        <f t="shared" si="26"/>
        <v>274.79999999999995</v>
      </c>
      <c r="AC885">
        <v>284.39999999999998</v>
      </c>
      <c r="AD885">
        <v>38</v>
      </c>
      <c r="AE885">
        <f t="shared" si="27"/>
        <v>14</v>
      </c>
      <c r="AF885">
        <v>9</v>
      </c>
      <c r="AG885">
        <v>4</v>
      </c>
      <c r="AH885">
        <v>2</v>
      </c>
      <c r="AI885">
        <v>0</v>
      </c>
      <c r="AJ885">
        <v>0.82352941176470584</v>
      </c>
      <c r="AK885">
        <v>0.52941176470588236</v>
      </c>
      <c r="AL885">
        <v>0.23529411764705882</v>
      </c>
      <c r="AM885">
        <v>0.11764705882352941</v>
      </c>
      <c r="AN885">
        <v>0</v>
      </c>
    </row>
    <row r="886" spans="1:40" x14ac:dyDescent="0.25">
      <c r="A886">
        <v>2023</v>
      </c>
      <c r="B886" t="s">
        <v>331</v>
      </c>
      <c r="C886" t="str">
        <f>IF(COUNTIF('Rookies 22-25'!$B$2:$B$60,E886)&gt;0,"(R)","No")</f>
        <v>No</v>
      </c>
      <c r="D886">
        <v>10</v>
      </c>
      <c r="E886" t="s">
        <v>343</v>
      </c>
      <c r="F886" t="s">
        <v>65</v>
      </c>
      <c r="G886">
        <f>VLOOKUP(E886,'23 Draft ADP'!$B$3:$D$323,3,)</f>
        <v>186</v>
      </c>
      <c r="H886">
        <v>17</v>
      </c>
      <c r="I886">
        <v>16</v>
      </c>
      <c r="J886">
        <v>18.399999999999999</v>
      </c>
      <c r="K886">
        <v>11</v>
      </c>
      <c r="L886">
        <v>23.9</v>
      </c>
      <c r="M886" t="s">
        <v>22</v>
      </c>
      <c r="N886">
        <v>7.8</v>
      </c>
      <c r="O886">
        <v>17.2</v>
      </c>
      <c r="P886">
        <v>21.4</v>
      </c>
      <c r="Q886">
        <v>19</v>
      </c>
      <c r="R886">
        <v>19.3</v>
      </c>
      <c r="S886">
        <v>11.3</v>
      </c>
      <c r="T886">
        <v>14.4</v>
      </c>
      <c r="U886">
        <v>10.9</v>
      </c>
      <c r="V886">
        <v>20.100000000000001</v>
      </c>
      <c r="W886">
        <v>29</v>
      </c>
      <c r="X886">
        <v>19.8</v>
      </c>
      <c r="Y886">
        <v>18.3</v>
      </c>
      <c r="Z886">
        <v>6.2</v>
      </c>
      <c r="AA886">
        <v>16.7</v>
      </c>
      <c r="AB886">
        <f t="shared" si="26"/>
        <v>277.90000000000003</v>
      </c>
      <c r="AC886">
        <v>284.10000000000002</v>
      </c>
      <c r="AD886">
        <v>173</v>
      </c>
      <c r="AE886">
        <f t="shared" si="27"/>
        <v>15</v>
      </c>
      <c r="AF886">
        <v>11</v>
      </c>
      <c r="AG886">
        <v>4</v>
      </c>
      <c r="AH886">
        <v>1</v>
      </c>
      <c r="AI886">
        <v>0</v>
      </c>
      <c r="AJ886">
        <v>0.88235294117647056</v>
      </c>
      <c r="AK886">
        <v>0.6470588235294118</v>
      </c>
      <c r="AL886">
        <v>0.23529411764705882</v>
      </c>
      <c r="AM886">
        <v>5.8823529411764705E-2</v>
      </c>
      <c r="AN886">
        <v>0</v>
      </c>
    </row>
    <row r="887" spans="1:40" x14ac:dyDescent="0.25">
      <c r="A887">
        <v>2023</v>
      </c>
      <c r="B887" t="s">
        <v>331</v>
      </c>
      <c r="C887" t="str">
        <f>IF(COUNTIF('Rookies 22-25'!$B$2:$B$60,E887)&gt;0,"(R)","No")</f>
        <v>(R)</v>
      </c>
      <c r="D887">
        <v>11</v>
      </c>
      <c r="E887" t="s">
        <v>352</v>
      </c>
      <c r="F887" t="s">
        <v>41</v>
      </c>
      <c r="G887">
        <f>VLOOKUP(E887,'23 Draft ADP'!$B$3:$D$323,3,)</f>
        <v>162</v>
      </c>
      <c r="H887">
        <v>15</v>
      </c>
      <c r="I887">
        <v>9.6999999999999993</v>
      </c>
      <c r="J887">
        <v>21.5</v>
      </c>
      <c r="K887">
        <v>20.6</v>
      </c>
      <c r="L887">
        <v>21.8</v>
      </c>
      <c r="M887">
        <v>14.2</v>
      </c>
      <c r="N887">
        <v>15.2</v>
      </c>
      <c r="O887" t="s">
        <v>22</v>
      </c>
      <c r="P887">
        <v>12.9</v>
      </c>
      <c r="Q887">
        <v>41.8</v>
      </c>
      <c r="R887">
        <v>20</v>
      </c>
      <c r="S887">
        <v>18.3</v>
      </c>
      <c r="T887">
        <v>30.9</v>
      </c>
      <c r="U887">
        <v>16.100000000000001</v>
      </c>
      <c r="V887">
        <v>3.6</v>
      </c>
      <c r="W887" t="s">
        <v>33</v>
      </c>
      <c r="X887" t="s">
        <v>33</v>
      </c>
      <c r="Y887">
        <v>12.9</v>
      </c>
      <c r="Z887">
        <v>20.6</v>
      </c>
      <c r="AA887">
        <v>18.7</v>
      </c>
      <c r="AB887">
        <f t="shared" si="26"/>
        <v>259.39999999999998</v>
      </c>
      <c r="AC887">
        <v>280</v>
      </c>
      <c r="AD887">
        <v>157</v>
      </c>
      <c r="AE887">
        <f t="shared" si="27"/>
        <v>12</v>
      </c>
      <c r="AF887">
        <v>10</v>
      </c>
      <c r="AG887">
        <v>6</v>
      </c>
      <c r="AH887">
        <v>2</v>
      </c>
      <c r="AI887">
        <v>2</v>
      </c>
      <c r="AJ887">
        <v>0.76470588235294112</v>
      </c>
      <c r="AK887">
        <v>0.66666666666666663</v>
      </c>
      <c r="AL887">
        <v>0.4</v>
      </c>
      <c r="AM887">
        <v>0.13333333333333333</v>
      </c>
      <c r="AN887">
        <v>0.13333333333333333</v>
      </c>
    </row>
    <row r="888" spans="1:40" x14ac:dyDescent="0.25">
      <c r="A888">
        <v>2023</v>
      </c>
      <c r="B888" t="s">
        <v>331</v>
      </c>
      <c r="C888" t="str">
        <f>IF(COUNTIF('Rookies 22-25'!$B$2:$B$60,E888)&gt;0,"(R)","No")</f>
        <v>No</v>
      </c>
      <c r="D888">
        <v>12</v>
      </c>
      <c r="E888" t="s">
        <v>506</v>
      </c>
      <c r="F888" t="s">
        <v>59</v>
      </c>
      <c r="G888">
        <f>VLOOKUP(E888,'23 Draft ADP'!$B$3:$D$323,3,)</f>
        <v>172</v>
      </c>
      <c r="H888">
        <v>17</v>
      </c>
      <c r="I888">
        <v>16.2</v>
      </c>
      <c r="J888">
        <v>21.3</v>
      </c>
      <c r="K888">
        <v>4.5999999999999996</v>
      </c>
      <c r="L888">
        <v>19.600000000000001</v>
      </c>
      <c r="M888">
        <v>26.4</v>
      </c>
      <c r="N888">
        <v>18.3</v>
      </c>
      <c r="O888">
        <v>10.5</v>
      </c>
      <c r="P888">
        <v>32</v>
      </c>
      <c r="Q888">
        <v>18.7</v>
      </c>
      <c r="R888">
        <v>24.2</v>
      </c>
      <c r="S888">
        <v>20.7</v>
      </c>
      <c r="T888">
        <v>18.3</v>
      </c>
      <c r="U888">
        <v>20.2</v>
      </c>
      <c r="V888" t="s">
        <v>22</v>
      </c>
      <c r="W888">
        <v>9.3000000000000007</v>
      </c>
      <c r="X888">
        <v>0.2</v>
      </c>
      <c r="Y888">
        <v>8.6999999999999993</v>
      </c>
      <c r="Z888">
        <v>8.4</v>
      </c>
      <c r="AA888">
        <v>16.3</v>
      </c>
      <c r="AB888">
        <f t="shared" si="26"/>
        <v>269.10000000000002</v>
      </c>
      <c r="AC888">
        <v>277.5</v>
      </c>
      <c r="AD888">
        <v>166</v>
      </c>
      <c r="AE888">
        <f t="shared" si="27"/>
        <v>12</v>
      </c>
      <c r="AF888">
        <v>11</v>
      </c>
      <c r="AG888">
        <v>6</v>
      </c>
      <c r="AH888">
        <v>2</v>
      </c>
      <c r="AI888">
        <v>1</v>
      </c>
      <c r="AJ888">
        <v>0.70588235294117652</v>
      </c>
      <c r="AK888">
        <v>0.6470588235294118</v>
      </c>
      <c r="AL888">
        <v>0.35294117647058826</v>
      </c>
      <c r="AM888">
        <v>0.11764705882352941</v>
      </c>
      <c r="AN888">
        <v>5.8823529411764705E-2</v>
      </c>
    </row>
    <row r="889" spans="1:40" x14ac:dyDescent="0.25">
      <c r="A889">
        <v>2023</v>
      </c>
      <c r="B889" t="s">
        <v>331</v>
      </c>
      <c r="C889" t="str">
        <f>IF(COUNTIF('Rookies 22-25'!$B$2:$B$60,E889)&gt;0,"(R)","No")</f>
        <v>No</v>
      </c>
      <c r="D889">
        <v>13</v>
      </c>
      <c r="E889" t="s">
        <v>335</v>
      </c>
      <c r="F889" t="s">
        <v>67</v>
      </c>
      <c r="G889">
        <f>VLOOKUP(E889,'23 Draft ADP'!$B$3:$D$323,3,)</f>
        <v>56</v>
      </c>
      <c r="H889">
        <v>16</v>
      </c>
      <c r="I889">
        <v>18.7</v>
      </c>
      <c r="J889">
        <v>9.1999999999999993</v>
      </c>
      <c r="K889">
        <v>15.4</v>
      </c>
      <c r="L889">
        <v>16.5</v>
      </c>
      <c r="M889">
        <v>15.7</v>
      </c>
      <c r="N889">
        <v>15.7</v>
      </c>
      <c r="O889">
        <v>18.100000000000001</v>
      </c>
      <c r="P889">
        <v>15.7</v>
      </c>
      <c r="Q889" t="s">
        <v>22</v>
      </c>
      <c r="R889">
        <v>4.0999999999999996</v>
      </c>
      <c r="S889">
        <v>32.200000000000003</v>
      </c>
      <c r="T889">
        <v>25.6</v>
      </c>
      <c r="U889">
        <v>25.1</v>
      </c>
      <c r="V889">
        <v>20.399999999999999</v>
      </c>
      <c r="W889">
        <v>14.7</v>
      </c>
      <c r="X889">
        <v>11.3</v>
      </c>
      <c r="Y889" t="s">
        <v>33</v>
      </c>
      <c r="Z889">
        <v>18.2</v>
      </c>
      <c r="AA889">
        <v>17.3</v>
      </c>
      <c r="AB889">
        <f t="shared" si="26"/>
        <v>258.3</v>
      </c>
      <c r="AC889">
        <v>276.5</v>
      </c>
      <c r="AD889">
        <v>92</v>
      </c>
      <c r="AE889">
        <f t="shared" si="27"/>
        <v>13</v>
      </c>
      <c r="AF889">
        <v>12</v>
      </c>
      <c r="AG889">
        <v>4</v>
      </c>
      <c r="AH889">
        <v>3</v>
      </c>
      <c r="AI889">
        <v>1</v>
      </c>
      <c r="AJ889">
        <v>0.82352941176470584</v>
      </c>
      <c r="AK889">
        <v>0.75</v>
      </c>
      <c r="AL889">
        <v>0.25</v>
      </c>
      <c r="AM889">
        <v>0.1875</v>
      </c>
      <c r="AN889">
        <v>6.25E-2</v>
      </c>
    </row>
    <row r="890" spans="1:40" x14ac:dyDescent="0.25">
      <c r="A890">
        <v>2023</v>
      </c>
      <c r="B890" t="s">
        <v>331</v>
      </c>
      <c r="C890" t="str">
        <f>IF(COUNTIF('Rookies 22-25'!$B$2:$B$60,E890)&gt;0,"(R)","No")</f>
        <v>No</v>
      </c>
      <c r="D890">
        <v>14</v>
      </c>
      <c r="E890" t="s">
        <v>375</v>
      </c>
      <c r="F890" t="s">
        <v>78</v>
      </c>
      <c r="G890">
        <f>VLOOKUP(E890,'23 Draft ADP'!$B$3:$D$323,3,)</f>
        <v>141</v>
      </c>
      <c r="H890">
        <v>15</v>
      </c>
      <c r="I890">
        <v>15.2</v>
      </c>
      <c r="J890">
        <v>26.9</v>
      </c>
      <c r="K890">
        <v>15.2</v>
      </c>
      <c r="L890">
        <v>22.2</v>
      </c>
      <c r="M890">
        <v>18.7</v>
      </c>
      <c r="N890">
        <v>8.9</v>
      </c>
      <c r="O890">
        <v>13.9</v>
      </c>
      <c r="P890">
        <v>17.600000000000001</v>
      </c>
      <c r="Q890" t="s">
        <v>22</v>
      </c>
      <c r="R890">
        <v>18.7</v>
      </c>
      <c r="S890">
        <v>14.5</v>
      </c>
      <c r="T890">
        <v>16.8</v>
      </c>
      <c r="U890">
        <v>18.8</v>
      </c>
      <c r="V890">
        <v>16.5</v>
      </c>
      <c r="W890">
        <v>17.5</v>
      </c>
      <c r="X890">
        <v>23.5</v>
      </c>
      <c r="Y890" t="s">
        <v>33</v>
      </c>
      <c r="Z890">
        <v>0</v>
      </c>
      <c r="AA890">
        <v>17.7</v>
      </c>
      <c r="AB890">
        <f t="shared" si="26"/>
        <v>264.89999999999998</v>
      </c>
      <c r="AC890">
        <v>264.89999999999998</v>
      </c>
      <c r="AD890">
        <v>189</v>
      </c>
      <c r="AE890">
        <f t="shared" si="27"/>
        <v>14</v>
      </c>
      <c r="AF890">
        <v>12</v>
      </c>
      <c r="AG890">
        <v>3</v>
      </c>
      <c r="AH890">
        <v>1</v>
      </c>
      <c r="AI890">
        <v>0</v>
      </c>
      <c r="AJ890">
        <v>0.82352941176470584</v>
      </c>
      <c r="AK890">
        <v>0.8</v>
      </c>
      <c r="AL890">
        <v>0.2</v>
      </c>
      <c r="AM890">
        <v>6.6666666666666666E-2</v>
      </c>
      <c r="AN890">
        <v>0</v>
      </c>
    </row>
    <row r="891" spans="1:40" x14ac:dyDescent="0.25">
      <c r="A891">
        <v>2023</v>
      </c>
      <c r="B891" t="s">
        <v>331</v>
      </c>
      <c r="C891" t="str">
        <f>IF(COUNTIF('Rookies 22-25'!$B$2:$B$60,E891)&gt;0,"(R)","No")</f>
        <v>No</v>
      </c>
      <c r="D891">
        <v>15</v>
      </c>
      <c r="E891" t="s">
        <v>334</v>
      </c>
      <c r="F891" t="s">
        <v>55</v>
      </c>
      <c r="G891">
        <f>VLOOKUP(E891,'23 Draft ADP'!$B$3:$D$323,3,)</f>
        <v>133</v>
      </c>
      <c r="H891">
        <v>15</v>
      </c>
      <c r="I891">
        <v>14.5</v>
      </c>
      <c r="J891">
        <v>16</v>
      </c>
      <c r="K891">
        <v>13.5</v>
      </c>
      <c r="L891">
        <v>17.2</v>
      </c>
      <c r="M891">
        <v>16.899999999999999</v>
      </c>
      <c r="N891">
        <v>13.2</v>
      </c>
      <c r="O891">
        <v>15</v>
      </c>
      <c r="P891">
        <v>12.4</v>
      </c>
      <c r="Q891" t="s">
        <v>33</v>
      </c>
      <c r="R891" t="s">
        <v>22</v>
      </c>
      <c r="S891">
        <v>10.7</v>
      </c>
      <c r="T891">
        <v>24.4</v>
      </c>
      <c r="U891">
        <v>23</v>
      </c>
      <c r="V891">
        <v>23.7</v>
      </c>
      <c r="W891">
        <v>18.5</v>
      </c>
      <c r="X891">
        <v>20.7</v>
      </c>
      <c r="Y891">
        <v>14.6</v>
      </c>
      <c r="Z891">
        <v>0</v>
      </c>
      <c r="AA891">
        <v>16.899999999999999</v>
      </c>
      <c r="AB891">
        <f t="shared" si="26"/>
        <v>254.1</v>
      </c>
      <c r="AC891">
        <v>254.1</v>
      </c>
      <c r="AD891">
        <v>133</v>
      </c>
      <c r="AE891">
        <f t="shared" si="27"/>
        <v>15</v>
      </c>
      <c r="AF891">
        <v>8</v>
      </c>
      <c r="AG891">
        <v>4</v>
      </c>
      <c r="AH891">
        <v>0</v>
      </c>
      <c r="AI891">
        <v>0</v>
      </c>
      <c r="AJ891">
        <v>0.88235294117647056</v>
      </c>
      <c r="AK891">
        <v>0.53333333333333333</v>
      </c>
      <c r="AL891">
        <v>0.26666666666666666</v>
      </c>
      <c r="AM891">
        <v>0</v>
      </c>
      <c r="AN891">
        <v>0</v>
      </c>
    </row>
    <row r="892" spans="1:40" x14ac:dyDescent="0.25">
      <c r="A892">
        <v>2023</v>
      </c>
      <c r="B892" t="s">
        <v>331</v>
      </c>
      <c r="C892" t="str">
        <f>IF(COUNTIF('Rookies 22-25'!$B$2:$B$60,E892)&gt;0,"(R)","No")</f>
        <v>No</v>
      </c>
      <c r="D892">
        <v>16</v>
      </c>
      <c r="E892" t="s">
        <v>378</v>
      </c>
      <c r="F892" t="s">
        <v>37</v>
      </c>
      <c r="G892">
        <f>VLOOKUP(E892,'23 Draft ADP'!$B$3:$D$323,3,)</f>
        <v>150</v>
      </c>
      <c r="H892">
        <v>17</v>
      </c>
      <c r="I892">
        <v>15.6</v>
      </c>
      <c r="J892">
        <v>7.7</v>
      </c>
      <c r="K892">
        <v>8.1</v>
      </c>
      <c r="L892">
        <v>3.2</v>
      </c>
      <c r="M892">
        <v>15.7</v>
      </c>
      <c r="N892">
        <v>17.3</v>
      </c>
      <c r="O892">
        <v>18.399999999999999</v>
      </c>
      <c r="P892">
        <v>18.3</v>
      </c>
      <c r="Q892">
        <v>16.7</v>
      </c>
      <c r="R892">
        <v>5.4</v>
      </c>
      <c r="S892" t="s">
        <v>22</v>
      </c>
      <c r="T892">
        <v>11.9</v>
      </c>
      <c r="U892">
        <v>9.9</v>
      </c>
      <c r="V892">
        <v>11.8</v>
      </c>
      <c r="W892">
        <v>20.3</v>
      </c>
      <c r="X892">
        <v>26</v>
      </c>
      <c r="Y892">
        <v>15.6</v>
      </c>
      <c r="Z892">
        <v>27.2</v>
      </c>
      <c r="AA892">
        <v>14.7</v>
      </c>
      <c r="AB892">
        <f t="shared" si="26"/>
        <v>221.9</v>
      </c>
      <c r="AC892">
        <v>249.1</v>
      </c>
      <c r="AD892">
        <v>146</v>
      </c>
      <c r="AE892">
        <f t="shared" si="27"/>
        <v>11</v>
      </c>
      <c r="AF892">
        <v>10</v>
      </c>
      <c r="AG892">
        <v>3</v>
      </c>
      <c r="AH892">
        <v>2</v>
      </c>
      <c r="AI892">
        <v>0</v>
      </c>
      <c r="AJ892">
        <v>0.70588235294117652</v>
      </c>
      <c r="AK892">
        <v>0.58823529411764708</v>
      </c>
      <c r="AL892">
        <v>0.17647058823529413</v>
      </c>
      <c r="AM892">
        <v>0.11764705882352941</v>
      </c>
      <c r="AN892">
        <v>0</v>
      </c>
    </row>
    <row r="893" spans="1:40" x14ac:dyDescent="0.25">
      <c r="A893">
        <v>2023</v>
      </c>
      <c r="B893" t="s">
        <v>331</v>
      </c>
      <c r="C893" t="str">
        <f>IF(COUNTIF('Rookies 22-25'!$B$2:$B$60,E893)&gt;0,"(R)","No")</f>
        <v>No</v>
      </c>
      <c r="D893">
        <v>17</v>
      </c>
      <c r="E893" t="s">
        <v>341</v>
      </c>
      <c r="F893" t="s">
        <v>51</v>
      </c>
      <c r="G893">
        <f>VLOOKUP(E893,'23 Draft ADP'!$B$3:$D$323,3,)</f>
        <v>39</v>
      </c>
      <c r="H893">
        <v>13</v>
      </c>
      <c r="I893">
        <v>20.9</v>
      </c>
      <c r="J893">
        <v>22.2</v>
      </c>
      <c r="K893">
        <v>29.3</v>
      </c>
      <c r="L893">
        <v>24.4</v>
      </c>
      <c r="M893" t="s">
        <v>22</v>
      </c>
      <c r="N893">
        <v>19.100000000000001</v>
      </c>
      <c r="O893">
        <v>12.9</v>
      </c>
      <c r="P893">
        <v>24</v>
      </c>
      <c r="Q893">
        <v>7.1</v>
      </c>
      <c r="R893">
        <v>29.4</v>
      </c>
      <c r="S893">
        <v>25.7</v>
      </c>
      <c r="T893">
        <v>14.4</v>
      </c>
      <c r="U893">
        <v>8</v>
      </c>
      <c r="V893">
        <v>2.8</v>
      </c>
      <c r="W893" t="s">
        <v>33</v>
      </c>
      <c r="X893" t="s">
        <v>33</v>
      </c>
      <c r="Y893" t="s">
        <v>33</v>
      </c>
      <c r="Z893">
        <v>0</v>
      </c>
      <c r="AA893">
        <v>18.5</v>
      </c>
      <c r="AB893">
        <f t="shared" si="26"/>
        <v>240.2</v>
      </c>
      <c r="AC893">
        <v>240.2</v>
      </c>
      <c r="AD893">
        <v>79</v>
      </c>
      <c r="AE893">
        <f t="shared" si="27"/>
        <v>10</v>
      </c>
      <c r="AF893">
        <v>8</v>
      </c>
      <c r="AG893">
        <v>7</v>
      </c>
      <c r="AH893">
        <v>3</v>
      </c>
      <c r="AI893">
        <v>0</v>
      </c>
      <c r="AJ893">
        <v>0.58823529411764708</v>
      </c>
      <c r="AK893">
        <v>0.61538461538461542</v>
      </c>
      <c r="AL893">
        <v>0.53846153846153844</v>
      </c>
      <c r="AM893">
        <v>0.23076923076923078</v>
      </c>
      <c r="AN893">
        <v>0</v>
      </c>
    </row>
    <row r="894" spans="1:40" x14ac:dyDescent="0.25">
      <c r="A894">
        <v>2023</v>
      </c>
      <c r="B894" t="s">
        <v>331</v>
      </c>
      <c r="C894" t="str">
        <f>IF(COUNTIF('Rookies 22-25'!$B$2:$B$60,E894)&gt;0,"(R)","No")</f>
        <v>No</v>
      </c>
      <c r="D894">
        <v>18</v>
      </c>
      <c r="E894" t="s">
        <v>359</v>
      </c>
      <c r="F894" t="s">
        <v>45</v>
      </c>
      <c r="G894">
        <f>VLOOKUP(E894,'23 Draft ADP'!$B$3:$D$323,3,)</f>
        <v>42</v>
      </c>
      <c r="H894">
        <v>13</v>
      </c>
      <c r="I894">
        <v>15.5</v>
      </c>
      <c r="J894">
        <v>16.7</v>
      </c>
      <c r="K894">
        <v>11.7</v>
      </c>
      <c r="L894">
        <v>28.9</v>
      </c>
      <c r="M894">
        <v>33</v>
      </c>
      <c r="N894">
        <v>5.9</v>
      </c>
      <c r="O894" t="s">
        <v>33</v>
      </c>
      <c r="P894" t="s">
        <v>33</v>
      </c>
      <c r="Q894" t="s">
        <v>33</v>
      </c>
      <c r="R894" t="s">
        <v>33</v>
      </c>
      <c r="S894">
        <v>21.2</v>
      </c>
      <c r="T894">
        <v>10.6</v>
      </c>
      <c r="U894" t="s">
        <v>22</v>
      </c>
      <c r="V894">
        <v>24.7</v>
      </c>
      <c r="W894">
        <v>11.6</v>
      </c>
      <c r="X894">
        <v>25.5</v>
      </c>
      <c r="Y894">
        <v>25.2</v>
      </c>
      <c r="Z894">
        <v>8.6</v>
      </c>
      <c r="AA894">
        <v>18.399999999999999</v>
      </c>
      <c r="AB894">
        <f t="shared" si="26"/>
        <v>230.6</v>
      </c>
      <c r="AC894">
        <v>239.2</v>
      </c>
      <c r="AD894">
        <v>81</v>
      </c>
      <c r="AE894">
        <f t="shared" si="27"/>
        <v>11</v>
      </c>
      <c r="AF894">
        <v>8</v>
      </c>
      <c r="AG894">
        <v>6</v>
      </c>
      <c r="AH894">
        <v>4</v>
      </c>
      <c r="AI894">
        <v>1</v>
      </c>
      <c r="AJ894">
        <v>0.6470588235294118</v>
      </c>
      <c r="AK894">
        <v>0.61538461538461542</v>
      </c>
      <c r="AL894">
        <v>0.46153846153846156</v>
      </c>
      <c r="AM894">
        <v>0.30769230769230771</v>
      </c>
      <c r="AN894">
        <v>7.6923076923076927E-2</v>
      </c>
    </row>
    <row r="895" spans="1:40" x14ac:dyDescent="0.25">
      <c r="A895">
        <v>2023</v>
      </c>
      <c r="B895" t="s">
        <v>331</v>
      </c>
      <c r="C895" t="str">
        <f>IF(COUNTIF('Rookies 22-25'!$B$2:$B$60,E895)&gt;0,"(R)","No")</f>
        <v>No</v>
      </c>
      <c r="D895">
        <v>19</v>
      </c>
      <c r="E895" t="s">
        <v>354</v>
      </c>
      <c r="F895" t="s">
        <v>49</v>
      </c>
      <c r="G895">
        <f>VLOOKUP(E895,'23 Draft ADP'!$B$3:$D$323,3,)</f>
        <v>114</v>
      </c>
      <c r="H895">
        <v>15</v>
      </c>
      <c r="I895">
        <v>9.1</v>
      </c>
      <c r="J895">
        <v>23.1</v>
      </c>
      <c r="K895">
        <v>16.399999999999999</v>
      </c>
      <c r="L895">
        <v>8.1999999999999993</v>
      </c>
      <c r="M895" t="s">
        <v>22</v>
      </c>
      <c r="N895">
        <v>13</v>
      </c>
      <c r="O895">
        <v>14.8</v>
      </c>
      <c r="P895">
        <v>15.9</v>
      </c>
      <c r="Q895">
        <v>3.7</v>
      </c>
      <c r="R895">
        <v>24.1</v>
      </c>
      <c r="S895">
        <v>13.2</v>
      </c>
      <c r="T895">
        <v>8.3000000000000007</v>
      </c>
      <c r="U895">
        <v>31</v>
      </c>
      <c r="V895" t="s">
        <v>33</v>
      </c>
      <c r="W895" t="s">
        <v>33</v>
      </c>
      <c r="X895">
        <v>17.3</v>
      </c>
      <c r="Y895">
        <v>16.899999999999999</v>
      </c>
      <c r="Z895">
        <v>20.399999999999999</v>
      </c>
      <c r="AA895">
        <v>15.7</v>
      </c>
      <c r="AB895">
        <f t="shared" si="26"/>
        <v>214.9</v>
      </c>
      <c r="AC895">
        <v>235.3</v>
      </c>
      <c r="AD895">
        <v>123</v>
      </c>
      <c r="AE895">
        <f t="shared" si="27"/>
        <v>10</v>
      </c>
      <c r="AF895">
        <v>8</v>
      </c>
      <c r="AG895">
        <v>4</v>
      </c>
      <c r="AH895">
        <v>1</v>
      </c>
      <c r="AI895">
        <v>1</v>
      </c>
      <c r="AJ895">
        <v>0.6470588235294118</v>
      </c>
      <c r="AK895">
        <v>0.53333333333333333</v>
      </c>
      <c r="AL895">
        <v>0.26666666666666666</v>
      </c>
      <c r="AM895">
        <v>6.6666666666666666E-2</v>
      </c>
      <c r="AN895">
        <v>6.6666666666666666E-2</v>
      </c>
    </row>
    <row r="896" spans="1:40" x14ac:dyDescent="0.25">
      <c r="A896">
        <v>2023</v>
      </c>
      <c r="B896" t="s">
        <v>331</v>
      </c>
      <c r="C896" t="str">
        <f>IF(COUNTIF('Rookies 22-25'!$B$2:$B$60,E896)&gt;0,"(R)","No")</f>
        <v>No</v>
      </c>
      <c r="D896">
        <v>20</v>
      </c>
      <c r="E896" t="s">
        <v>507</v>
      </c>
      <c r="F896" t="s">
        <v>73</v>
      </c>
      <c r="G896">
        <f>VLOOKUP(E896,'23 Draft ADP'!$B$3:$D$323,3,)</f>
        <v>278</v>
      </c>
      <c r="H896">
        <v>13</v>
      </c>
      <c r="I896">
        <v>1</v>
      </c>
      <c r="J896">
        <v>25.2</v>
      </c>
      <c r="K896">
        <v>17.100000000000001</v>
      </c>
      <c r="L896">
        <v>23.4</v>
      </c>
      <c r="M896">
        <v>10.7</v>
      </c>
      <c r="N896">
        <v>11.1</v>
      </c>
      <c r="O896">
        <v>16.100000000000001</v>
      </c>
      <c r="P896">
        <v>24.9</v>
      </c>
      <c r="Q896">
        <v>24.9</v>
      </c>
      <c r="R896">
        <v>25.1</v>
      </c>
      <c r="S896">
        <v>17.899999999999999</v>
      </c>
      <c r="T896">
        <v>8.5</v>
      </c>
      <c r="U896" t="s">
        <v>22</v>
      </c>
      <c r="V896">
        <v>4.5999999999999996</v>
      </c>
      <c r="W896" t="s">
        <v>33</v>
      </c>
      <c r="X896" t="s">
        <v>33</v>
      </c>
      <c r="Y896" t="s">
        <v>33</v>
      </c>
      <c r="Z896">
        <v>0</v>
      </c>
      <c r="AA896">
        <v>16.2</v>
      </c>
      <c r="AB896">
        <f t="shared" si="26"/>
        <v>210.7</v>
      </c>
      <c r="AC896">
        <v>210.7</v>
      </c>
      <c r="AD896">
        <v>20</v>
      </c>
      <c r="AE896">
        <f t="shared" si="27"/>
        <v>10</v>
      </c>
      <c r="AF896">
        <v>8</v>
      </c>
      <c r="AG896">
        <v>5</v>
      </c>
      <c r="AH896">
        <v>2</v>
      </c>
      <c r="AI896">
        <v>0</v>
      </c>
      <c r="AJ896">
        <v>0.58823529411764708</v>
      </c>
      <c r="AK896">
        <v>0.61538461538461542</v>
      </c>
      <c r="AL896">
        <v>0.38461538461538464</v>
      </c>
      <c r="AM896">
        <v>0.15384615384615385</v>
      </c>
      <c r="AN896">
        <v>0</v>
      </c>
    </row>
    <row r="897" spans="1:40" x14ac:dyDescent="0.25">
      <c r="A897">
        <v>2023</v>
      </c>
      <c r="B897" t="s">
        <v>331</v>
      </c>
      <c r="C897" t="str">
        <f>IF(COUNTIF('Rookies 22-25'!$B$2:$B$60,E897)&gt;0,"(R)","No")</f>
        <v>No</v>
      </c>
      <c r="D897">
        <v>21</v>
      </c>
      <c r="E897" t="s">
        <v>382</v>
      </c>
      <c r="F897" t="s">
        <v>28</v>
      </c>
      <c r="G897">
        <f>VLOOKUP(E897,'23 Draft ADP'!$B$3:$D$323,3,)</f>
        <v>0</v>
      </c>
      <c r="H897">
        <v>16</v>
      </c>
      <c r="I897">
        <v>0</v>
      </c>
      <c r="J897">
        <v>11.1</v>
      </c>
      <c r="K897">
        <v>13.1</v>
      </c>
      <c r="L897" t="s">
        <v>33</v>
      </c>
      <c r="M897">
        <v>6.3</v>
      </c>
      <c r="N897">
        <v>12.6</v>
      </c>
      <c r="O897">
        <v>28.1</v>
      </c>
      <c r="P897">
        <v>15.8</v>
      </c>
      <c r="Q897">
        <v>9.6</v>
      </c>
      <c r="R897">
        <v>6.7</v>
      </c>
      <c r="S897" t="s">
        <v>22</v>
      </c>
      <c r="T897">
        <v>15.6</v>
      </c>
      <c r="U897">
        <v>18.7</v>
      </c>
      <c r="V897">
        <v>15.1</v>
      </c>
      <c r="W897">
        <v>20.6</v>
      </c>
      <c r="X897">
        <v>10.1</v>
      </c>
      <c r="Y897">
        <v>13.3</v>
      </c>
      <c r="Z897">
        <v>8.5</v>
      </c>
      <c r="AA897">
        <v>12.8</v>
      </c>
      <c r="AB897">
        <f t="shared" si="26"/>
        <v>196.7</v>
      </c>
      <c r="AC897">
        <v>205.2</v>
      </c>
      <c r="AD897">
        <v>20</v>
      </c>
      <c r="AE897">
        <f t="shared" si="27"/>
        <v>11</v>
      </c>
      <c r="AF897">
        <v>6</v>
      </c>
      <c r="AG897">
        <v>2</v>
      </c>
      <c r="AH897">
        <v>1</v>
      </c>
      <c r="AI897">
        <v>0</v>
      </c>
      <c r="AJ897">
        <v>0.6470588235294118</v>
      </c>
      <c r="AK897">
        <v>0.375</v>
      </c>
      <c r="AL897">
        <v>0.125</v>
      </c>
      <c r="AM897">
        <v>6.25E-2</v>
      </c>
      <c r="AN897">
        <v>0</v>
      </c>
    </row>
    <row r="898" spans="1:40" x14ac:dyDescent="0.25">
      <c r="A898">
        <v>2023</v>
      </c>
      <c r="B898" t="s">
        <v>331</v>
      </c>
      <c r="C898" t="str">
        <f>IF(COUNTIF('Rookies 22-25'!$B$2:$B$60,E898)&gt;0,"(R)","No")</f>
        <v>No</v>
      </c>
      <c r="D898">
        <v>22</v>
      </c>
      <c r="E898" t="s">
        <v>508</v>
      </c>
      <c r="F898" t="s">
        <v>24</v>
      </c>
      <c r="G898">
        <f>VLOOKUP(E898,'23 Draft ADP'!$B$3:$D$323,3,)</f>
        <v>220</v>
      </c>
      <c r="H898">
        <v>15</v>
      </c>
      <c r="I898">
        <v>7.9</v>
      </c>
      <c r="J898">
        <v>22.4</v>
      </c>
      <c r="K898">
        <v>6.3</v>
      </c>
      <c r="L898">
        <v>8.1999999999999993</v>
      </c>
      <c r="M898">
        <v>26.2</v>
      </c>
      <c r="N898">
        <v>19.100000000000001</v>
      </c>
      <c r="O898">
        <v>13.8</v>
      </c>
      <c r="P898">
        <v>3.4</v>
      </c>
      <c r="Q898" t="s">
        <v>33</v>
      </c>
      <c r="R898">
        <v>8.6999999999999993</v>
      </c>
      <c r="S898" t="s">
        <v>22</v>
      </c>
      <c r="T898">
        <v>11.7</v>
      </c>
      <c r="U898">
        <v>8.8000000000000007</v>
      </c>
      <c r="V898">
        <v>26.4</v>
      </c>
      <c r="W898">
        <v>8.9</v>
      </c>
      <c r="X898" t="s">
        <v>33</v>
      </c>
      <c r="Y898">
        <v>-0.3</v>
      </c>
      <c r="Z898">
        <v>16.600000000000001</v>
      </c>
      <c r="AA898">
        <v>12.5</v>
      </c>
      <c r="AB898">
        <f t="shared" si="26"/>
        <v>171.5</v>
      </c>
      <c r="AC898">
        <v>188.1</v>
      </c>
      <c r="AD898">
        <v>226</v>
      </c>
      <c r="AE898">
        <f t="shared" si="27"/>
        <v>6</v>
      </c>
      <c r="AF898">
        <v>5</v>
      </c>
      <c r="AG898">
        <v>3</v>
      </c>
      <c r="AH898">
        <v>2</v>
      </c>
      <c r="AI898">
        <v>0</v>
      </c>
      <c r="AJ898">
        <v>0.41176470588235292</v>
      </c>
      <c r="AK898">
        <v>0.33333333333333331</v>
      </c>
      <c r="AL898">
        <v>0.2</v>
      </c>
      <c r="AM898">
        <v>0.13333333333333333</v>
      </c>
      <c r="AN898">
        <v>0</v>
      </c>
    </row>
    <row r="899" spans="1:40" x14ac:dyDescent="0.25">
      <c r="A899">
        <v>2023</v>
      </c>
      <c r="B899" t="s">
        <v>331</v>
      </c>
      <c r="C899" t="str">
        <f>IF(COUNTIF('Rookies 22-25'!$B$2:$B$60,E899)&gt;0,"(R)","No")</f>
        <v>(R)</v>
      </c>
      <c r="D899">
        <v>23</v>
      </c>
      <c r="E899" t="s">
        <v>350</v>
      </c>
      <c r="F899" t="s">
        <v>95</v>
      </c>
      <c r="G899">
        <f>VLOOKUP(E899,'23 Draft ADP'!$B$3:$D$323,3,)</f>
        <v>183</v>
      </c>
      <c r="H899">
        <v>16</v>
      </c>
      <c r="I899">
        <v>9.5</v>
      </c>
      <c r="J899">
        <v>13.5</v>
      </c>
      <c r="K899" t="s">
        <v>33</v>
      </c>
      <c r="L899">
        <v>7.2</v>
      </c>
      <c r="M899">
        <v>20.3</v>
      </c>
      <c r="N899">
        <v>12.7</v>
      </c>
      <c r="O899" t="s">
        <v>22</v>
      </c>
      <c r="P899">
        <v>14.5</v>
      </c>
      <c r="Q899">
        <v>12</v>
      </c>
      <c r="R899">
        <v>9.1999999999999993</v>
      </c>
      <c r="S899">
        <v>6.2</v>
      </c>
      <c r="T899">
        <v>8.1</v>
      </c>
      <c r="U899">
        <v>8.1</v>
      </c>
      <c r="V899">
        <v>7.5</v>
      </c>
      <c r="W899">
        <v>7.6</v>
      </c>
      <c r="X899">
        <v>22.2</v>
      </c>
      <c r="Y899">
        <v>3.7</v>
      </c>
      <c r="Z899">
        <v>4.2</v>
      </c>
      <c r="AA899">
        <v>10.4</v>
      </c>
      <c r="AB899">
        <f t="shared" ref="AB899:AB962" si="28">AC899-Z899</f>
        <v>162.20000000000002</v>
      </c>
      <c r="AC899">
        <v>166.4</v>
      </c>
      <c r="AD899">
        <v>204</v>
      </c>
      <c r="AE899">
        <f t="shared" ref="AE899:AE962" si="29">COUNTIF(I899:Y899,"&gt;10")</f>
        <v>6</v>
      </c>
      <c r="AF899">
        <v>2</v>
      </c>
      <c r="AG899">
        <v>2</v>
      </c>
      <c r="AH899">
        <v>0</v>
      </c>
      <c r="AI899">
        <v>0</v>
      </c>
      <c r="AJ899">
        <v>0.35294117647058826</v>
      </c>
      <c r="AK899">
        <v>0.125</v>
      </c>
      <c r="AL899">
        <v>0.125</v>
      </c>
      <c r="AM899">
        <v>0</v>
      </c>
      <c r="AN899">
        <v>0</v>
      </c>
    </row>
    <row r="900" spans="1:40" x14ac:dyDescent="0.25">
      <c r="A900">
        <v>2023</v>
      </c>
      <c r="B900" t="s">
        <v>331</v>
      </c>
      <c r="C900" t="str">
        <f>IF(COUNTIF('Rookies 22-25'!$B$2:$B$60,E900)&gt;0,"(R)","No")</f>
        <v>No</v>
      </c>
      <c r="D900">
        <v>24</v>
      </c>
      <c r="E900" t="s">
        <v>366</v>
      </c>
      <c r="F900" t="s">
        <v>73</v>
      </c>
      <c r="G900">
        <f>VLOOKUP(E900,'23 Draft ADP'!$B$3:$D$323,3,)</f>
        <v>101</v>
      </c>
      <c r="H900">
        <v>8</v>
      </c>
      <c r="I900">
        <v>17.5</v>
      </c>
      <c r="J900">
        <v>28.6</v>
      </c>
      <c r="K900">
        <v>26.7</v>
      </c>
      <c r="L900">
        <v>11.6</v>
      </c>
      <c r="M900">
        <v>19.899999999999999</v>
      </c>
      <c r="N900">
        <v>8.6999999999999993</v>
      </c>
      <c r="O900">
        <v>22</v>
      </c>
      <c r="P900">
        <v>19.899999999999999</v>
      </c>
      <c r="Q900" t="s">
        <v>33</v>
      </c>
      <c r="R900" t="s">
        <v>33</v>
      </c>
      <c r="S900" t="s">
        <v>33</v>
      </c>
      <c r="T900" t="s">
        <v>33</v>
      </c>
      <c r="U900" t="s">
        <v>22</v>
      </c>
      <c r="V900" t="s">
        <v>33</v>
      </c>
      <c r="W900" t="s">
        <v>33</v>
      </c>
      <c r="X900" t="s">
        <v>33</v>
      </c>
      <c r="Y900" t="s">
        <v>33</v>
      </c>
      <c r="Z900">
        <v>0</v>
      </c>
      <c r="AA900">
        <v>19.3</v>
      </c>
      <c r="AB900">
        <f t="shared" si="28"/>
        <v>154.69999999999999</v>
      </c>
      <c r="AC900">
        <v>154.69999999999999</v>
      </c>
      <c r="AD900">
        <v>117</v>
      </c>
      <c r="AE900">
        <f t="shared" si="29"/>
        <v>7</v>
      </c>
      <c r="AF900">
        <v>6</v>
      </c>
      <c r="AG900">
        <v>3</v>
      </c>
      <c r="AH900">
        <v>2</v>
      </c>
      <c r="AI900">
        <v>0</v>
      </c>
      <c r="AJ900">
        <v>0.41176470588235292</v>
      </c>
      <c r="AK900">
        <v>0.75</v>
      </c>
      <c r="AL900">
        <v>0.375</v>
      </c>
      <c r="AM900">
        <v>0.25</v>
      </c>
      <c r="AN900">
        <v>0</v>
      </c>
    </row>
    <row r="901" spans="1:40" x14ac:dyDescent="0.25">
      <c r="A901">
        <v>2023</v>
      </c>
      <c r="B901" t="s">
        <v>331</v>
      </c>
      <c r="C901" t="str">
        <f>IF(COUNTIF('Rookies 22-25'!$B$2:$B$60,E901)&gt;0,"(R)","No")</f>
        <v>No</v>
      </c>
      <c r="D901">
        <v>25</v>
      </c>
      <c r="E901" t="s">
        <v>360</v>
      </c>
      <c r="F901" t="s">
        <v>89</v>
      </c>
      <c r="G901">
        <f>VLOOKUP(E901,'23 Draft ADP'!$B$3:$D$323,3,)</f>
        <v>38</v>
      </c>
      <c r="H901">
        <v>10</v>
      </c>
      <c r="I901">
        <v>3.2</v>
      </c>
      <c r="J901">
        <v>16.399999999999999</v>
      </c>
      <c r="K901">
        <v>9.1999999999999993</v>
      </c>
      <c r="L901">
        <v>4.7</v>
      </c>
      <c r="M901">
        <v>24.4</v>
      </c>
      <c r="N901">
        <v>14.8</v>
      </c>
      <c r="O901" t="s">
        <v>22</v>
      </c>
      <c r="P901">
        <v>27.6</v>
      </c>
      <c r="Q901">
        <v>22.3</v>
      </c>
      <c r="R901">
        <v>21.9</v>
      </c>
      <c r="S901">
        <v>8.6999999999999993</v>
      </c>
      <c r="T901" t="s">
        <v>33</v>
      </c>
      <c r="U901" t="s">
        <v>33</v>
      </c>
      <c r="V901" t="s">
        <v>33</v>
      </c>
      <c r="W901" t="s">
        <v>33</v>
      </c>
      <c r="X901" t="s">
        <v>33</v>
      </c>
      <c r="Y901" t="s">
        <v>33</v>
      </c>
      <c r="Z901">
        <v>0</v>
      </c>
      <c r="AA901">
        <v>15.3</v>
      </c>
      <c r="AB901">
        <f t="shared" si="28"/>
        <v>153.19999999999999</v>
      </c>
      <c r="AC901">
        <v>153.19999999999999</v>
      </c>
      <c r="AD901">
        <v>78</v>
      </c>
      <c r="AE901">
        <f t="shared" si="29"/>
        <v>6</v>
      </c>
      <c r="AF901">
        <v>5</v>
      </c>
      <c r="AG901">
        <v>4</v>
      </c>
      <c r="AH901">
        <v>1</v>
      </c>
      <c r="AI901">
        <v>0</v>
      </c>
      <c r="AJ901">
        <v>0.35294117647058826</v>
      </c>
      <c r="AK901">
        <v>0.5</v>
      </c>
      <c r="AL901">
        <v>0.4</v>
      </c>
      <c r="AM901">
        <v>0.1</v>
      </c>
      <c r="AN901">
        <v>0</v>
      </c>
    </row>
    <row r="902" spans="1:40" x14ac:dyDescent="0.25">
      <c r="A902">
        <v>2023</v>
      </c>
      <c r="B902" t="s">
        <v>331</v>
      </c>
      <c r="C902" t="str">
        <f>IF(COUNTIF('Rookies 22-25'!$B$2:$B$60,E902)&gt;0,"(R)","No")</f>
        <v>No</v>
      </c>
      <c r="D902">
        <v>26</v>
      </c>
      <c r="E902" t="s">
        <v>369</v>
      </c>
      <c r="F902" t="s">
        <v>21</v>
      </c>
      <c r="G902">
        <f>VLOOKUP(E902,'23 Draft ADP'!$B$3:$D$323,3,)</f>
        <v>193</v>
      </c>
      <c r="H902">
        <v>8</v>
      </c>
      <c r="I902" t="s">
        <v>33</v>
      </c>
      <c r="J902" t="s">
        <v>33</v>
      </c>
      <c r="K902" t="s">
        <v>33</v>
      </c>
      <c r="L902" t="s">
        <v>33</v>
      </c>
      <c r="M902" t="s">
        <v>33</v>
      </c>
      <c r="N902" t="s">
        <v>33</v>
      </c>
      <c r="O902" t="s">
        <v>33</v>
      </c>
      <c r="P902" t="s">
        <v>33</v>
      </c>
      <c r="Q902" t="s">
        <v>33</v>
      </c>
      <c r="R902">
        <v>18.3</v>
      </c>
      <c r="S902">
        <v>22.7</v>
      </c>
      <c r="T902">
        <v>20.399999999999999</v>
      </c>
      <c r="U902">
        <v>11.8</v>
      </c>
      <c r="V902" t="s">
        <v>22</v>
      </c>
      <c r="W902">
        <v>15.3</v>
      </c>
      <c r="X902">
        <v>20.399999999999999</v>
      </c>
      <c r="Y902">
        <v>24.7</v>
      </c>
      <c r="Z902">
        <v>17.8</v>
      </c>
      <c r="AA902">
        <v>18.899999999999999</v>
      </c>
      <c r="AB902">
        <f t="shared" si="28"/>
        <v>133.6</v>
      </c>
      <c r="AC902">
        <v>151.4</v>
      </c>
      <c r="AD902">
        <v>209</v>
      </c>
      <c r="AE902">
        <f t="shared" si="29"/>
        <v>7</v>
      </c>
      <c r="AF902">
        <v>7</v>
      </c>
      <c r="AG902">
        <v>4</v>
      </c>
      <c r="AH902">
        <v>0</v>
      </c>
      <c r="AI902">
        <v>0</v>
      </c>
      <c r="AJ902">
        <v>0.47058823529411764</v>
      </c>
      <c r="AK902">
        <v>0.875</v>
      </c>
      <c r="AL902">
        <v>0.5</v>
      </c>
      <c r="AM902">
        <v>0</v>
      </c>
      <c r="AN902">
        <v>0</v>
      </c>
    </row>
    <row r="903" spans="1:40" x14ac:dyDescent="0.25">
      <c r="A903">
        <v>2023</v>
      </c>
      <c r="B903" t="s">
        <v>331</v>
      </c>
      <c r="C903" t="str">
        <f>IF(COUNTIF('Rookies 22-25'!$B$2:$B$60,E903)&gt;0,"(R)","No")</f>
        <v>No</v>
      </c>
      <c r="D903">
        <v>27</v>
      </c>
      <c r="E903" t="s">
        <v>374</v>
      </c>
      <c r="F903" t="s">
        <v>89</v>
      </c>
      <c r="G903">
        <v>296</v>
      </c>
      <c r="H903">
        <v>9</v>
      </c>
      <c r="I903">
        <v>-0.1</v>
      </c>
      <c r="J903" t="s">
        <v>33</v>
      </c>
      <c r="K903" t="s">
        <v>33</v>
      </c>
      <c r="L903" t="s">
        <v>33</v>
      </c>
      <c r="M903" t="s">
        <v>33</v>
      </c>
      <c r="N903" t="s">
        <v>33</v>
      </c>
      <c r="O903" t="s">
        <v>22</v>
      </c>
      <c r="P903" t="s">
        <v>33</v>
      </c>
      <c r="Q903" t="s">
        <v>33</v>
      </c>
      <c r="R903" t="s">
        <v>33</v>
      </c>
      <c r="S903">
        <v>10.7</v>
      </c>
      <c r="T903">
        <v>13</v>
      </c>
      <c r="U903">
        <v>25.7</v>
      </c>
      <c r="V903">
        <v>24.7</v>
      </c>
      <c r="W903">
        <v>20</v>
      </c>
      <c r="X903">
        <v>16.399999999999999</v>
      </c>
      <c r="Y903">
        <v>21.1</v>
      </c>
      <c r="Z903">
        <v>19</v>
      </c>
      <c r="AA903">
        <v>16.7</v>
      </c>
      <c r="AB903">
        <f t="shared" si="28"/>
        <v>131.4</v>
      </c>
      <c r="AC903">
        <v>150.4</v>
      </c>
      <c r="AD903">
        <v>20</v>
      </c>
      <c r="AE903">
        <f t="shared" si="29"/>
        <v>7</v>
      </c>
      <c r="AF903">
        <v>6</v>
      </c>
      <c r="AG903">
        <v>3</v>
      </c>
      <c r="AH903">
        <v>1</v>
      </c>
      <c r="AI903">
        <v>0</v>
      </c>
      <c r="AJ903">
        <v>0.47058823529411764</v>
      </c>
      <c r="AK903">
        <v>0.66666666666666663</v>
      </c>
      <c r="AL903">
        <v>0.33333333333333331</v>
      </c>
      <c r="AM903">
        <v>0.1111111111111111</v>
      </c>
      <c r="AN903">
        <v>0</v>
      </c>
    </row>
    <row r="904" spans="1:40" x14ac:dyDescent="0.25">
      <c r="A904">
        <v>2023</v>
      </c>
      <c r="B904" t="s">
        <v>331</v>
      </c>
      <c r="C904" t="str">
        <f>IF(COUNTIF('Rookies 22-25'!$B$2:$B$60,E904)&gt;0,"(R)","No")</f>
        <v>No</v>
      </c>
      <c r="D904">
        <v>28</v>
      </c>
      <c r="E904" t="s">
        <v>384</v>
      </c>
      <c r="F904" t="s">
        <v>43</v>
      </c>
      <c r="G904">
        <f>VLOOKUP(E904,'23 Draft ADP'!$B$3:$D$323,3,)</f>
        <v>287</v>
      </c>
      <c r="H904">
        <v>11</v>
      </c>
      <c r="I904" t="s">
        <v>33</v>
      </c>
      <c r="J904" t="s">
        <v>33</v>
      </c>
      <c r="K904" t="s">
        <v>33</v>
      </c>
      <c r="L904">
        <v>10.8</v>
      </c>
      <c r="M904" t="s">
        <v>33</v>
      </c>
      <c r="N904" t="s">
        <v>33</v>
      </c>
      <c r="O904">
        <v>6</v>
      </c>
      <c r="P904" t="s">
        <v>33</v>
      </c>
      <c r="Q904">
        <v>8.4</v>
      </c>
      <c r="R904">
        <v>9.4</v>
      </c>
      <c r="S904">
        <v>12.1</v>
      </c>
      <c r="T904">
        <v>13.9</v>
      </c>
      <c r="U904" t="s">
        <v>22</v>
      </c>
      <c r="V904">
        <v>6</v>
      </c>
      <c r="W904">
        <v>25.9</v>
      </c>
      <c r="X904">
        <v>2.1</v>
      </c>
      <c r="Y904">
        <v>20.3</v>
      </c>
      <c r="Z904">
        <v>17.899999999999999</v>
      </c>
      <c r="AA904">
        <v>12.1</v>
      </c>
      <c r="AB904">
        <f t="shared" si="28"/>
        <v>114.9</v>
      </c>
      <c r="AC904">
        <v>132.80000000000001</v>
      </c>
      <c r="AD904">
        <v>20</v>
      </c>
      <c r="AE904">
        <f t="shared" si="29"/>
        <v>5</v>
      </c>
      <c r="AF904">
        <v>3</v>
      </c>
      <c r="AG904">
        <v>2</v>
      </c>
      <c r="AH904">
        <v>1</v>
      </c>
      <c r="AI904">
        <v>0</v>
      </c>
      <c r="AJ904">
        <v>0.35294117647058826</v>
      </c>
      <c r="AK904">
        <v>0.27272727272727271</v>
      </c>
      <c r="AL904">
        <v>0.18181818181818182</v>
      </c>
      <c r="AM904">
        <v>9.0909090909090912E-2</v>
      </c>
      <c r="AN904">
        <v>0</v>
      </c>
    </row>
    <row r="905" spans="1:40" x14ac:dyDescent="0.25">
      <c r="A905">
        <v>2023</v>
      </c>
      <c r="B905" t="s">
        <v>331</v>
      </c>
      <c r="C905" t="str">
        <f>IF(COUNTIF('Rookies 22-25'!$B$2:$B$60,E905)&gt;0,"(R)","No")</f>
        <v>No</v>
      </c>
      <c r="D905">
        <v>29</v>
      </c>
      <c r="E905" t="s">
        <v>509</v>
      </c>
      <c r="F905" t="s">
        <v>82</v>
      </c>
      <c r="G905">
        <v>290</v>
      </c>
      <c r="H905">
        <v>12</v>
      </c>
      <c r="I905">
        <v>9.1999999999999993</v>
      </c>
      <c r="J905">
        <v>11.4</v>
      </c>
      <c r="K905">
        <v>6.4</v>
      </c>
      <c r="L905">
        <v>19.2</v>
      </c>
      <c r="M905">
        <v>9.6</v>
      </c>
      <c r="N905">
        <v>10.9</v>
      </c>
      <c r="O905" t="s">
        <v>22</v>
      </c>
      <c r="P905">
        <v>12.1</v>
      </c>
      <c r="Q905">
        <v>7.2</v>
      </c>
      <c r="R905">
        <v>14.9</v>
      </c>
      <c r="S905">
        <v>7.7</v>
      </c>
      <c r="T905" t="s">
        <v>33</v>
      </c>
      <c r="U905" t="s">
        <v>33</v>
      </c>
      <c r="V905">
        <v>19.2</v>
      </c>
      <c r="W905">
        <v>-1</v>
      </c>
      <c r="X905" t="s">
        <v>33</v>
      </c>
      <c r="Y905" t="s">
        <v>33</v>
      </c>
      <c r="Z905">
        <v>0</v>
      </c>
      <c r="AA905">
        <v>10.6</v>
      </c>
      <c r="AB905">
        <f t="shared" si="28"/>
        <v>126.9</v>
      </c>
      <c r="AC905">
        <v>126.9</v>
      </c>
      <c r="AD905">
        <v>20</v>
      </c>
      <c r="AE905">
        <f t="shared" si="29"/>
        <v>6</v>
      </c>
      <c r="AF905">
        <v>2</v>
      </c>
      <c r="AG905">
        <v>0</v>
      </c>
      <c r="AH905">
        <v>0</v>
      </c>
      <c r="AI905">
        <v>0</v>
      </c>
      <c r="AJ905">
        <v>0.35294117647058826</v>
      </c>
      <c r="AK905">
        <v>0.16666666666666666</v>
      </c>
      <c r="AL905">
        <v>0</v>
      </c>
      <c r="AM905">
        <v>0</v>
      </c>
      <c r="AN905">
        <v>0</v>
      </c>
    </row>
    <row r="906" spans="1:40" x14ac:dyDescent="0.25">
      <c r="A906">
        <v>2023</v>
      </c>
      <c r="B906" t="s">
        <v>331</v>
      </c>
      <c r="C906" t="str">
        <f>IF(COUNTIF('Rookies 22-25'!$B$2:$B$60,E906)&gt;0,"(R)","No")</f>
        <v>No</v>
      </c>
      <c r="D906">
        <v>30</v>
      </c>
      <c r="E906" t="s">
        <v>362</v>
      </c>
      <c r="F906" t="s">
        <v>510</v>
      </c>
      <c r="G906">
        <f>VLOOKUP(E906,'23 Draft ADP'!$B$3:$D$323,3,)</f>
        <v>218</v>
      </c>
      <c r="H906">
        <v>11</v>
      </c>
      <c r="I906">
        <v>25.1</v>
      </c>
      <c r="J906">
        <v>14.7</v>
      </c>
      <c r="K906">
        <v>13.3</v>
      </c>
      <c r="L906">
        <v>2.7</v>
      </c>
      <c r="M906">
        <v>0.4</v>
      </c>
      <c r="N906">
        <v>6.9</v>
      </c>
      <c r="O906">
        <v>20</v>
      </c>
      <c r="P906">
        <v>13.2</v>
      </c>
      <c r="Q906">
        <v>12.1</v>
      </c>
      <c r="R906">
        <v>8.3000000000000007</v>
      </c>
      <c r="S906" t="s">
        <v>22</v>
      </c>
      <c r="T906">
        <v>1.6</v>
      </c>
      <c r="U906" t="s">
        <v>33</v>
      </c>
      <c r="V906" t="s">
        <v>33</v>
      </c>
      <c r="W906" t="s">
        <v>33</v>
      </c>
      <c r="X906" t="s">
        <v>33</v>
      </c>
      <c r="Y906" t="s">
        <v>33</v>
      </c>
      <c r="Z906">
        <v>0</v>
      </c>
      <c r="AA906">
        <v>10.8</v>
      </c>
      <c r="AB906">
        <f t="shared" si="28"/>
        <v>118.4</v>
      </c>
      <c r="AC906">
        <v>118.4</v>
      </c>
      <c r="AD906">
        <v>223</v>
      </c>
      <c r="AE906">
        <f t="shared" si="29"/>
        <v>6</v>
      </c>
      <c r="AF906">
        <v>2</v>
      </c>
      <c r="AG906">
        <v>1</v>
      </c>
      <c r="AH906">
        <v>1</v>
      </c>
      <c r="AI906">
        <v>0</v>
      </c>
      <c r="AJ906">
        <v>0.35294117647058826</v>
      </c>
      <c r="AK906">
        <v>0.18181818181818182</v>
      </c>
      <c r="AL906">
        <v>9.0909090909090912E-2</v>
      </c>
      <c r="AM906">
        <v>9.0909090909090912E-2</v>
      </c>
      <c r="AN906">
        <v>0</v>
      </c>
    </row>
    <row r="907" spans="1:40" x14ac:dyDescent="0.25">
      <c r="A907">
        <v>2023</v>
      </c>
      <c r="B907" t="s">
        <v>331</v>
      </c>
      <c r="C907" t="str">
        <f>IF(COUNTIF('Rookies 22-25'!$B$2:$B$60,E907)&gt;0,"(R)","No")</f>
        <v>No</v>
      </c>
      <c r="D907">
        <v>31</v>
      </c>
      <c r="E907" t="s">
        <v>511</v>
      </c>
      <c r="F907" t="s">
        <v>71</v>
      </c>
      <c r="G907">
        <f>VLOOKUP(E907,'23 Draft ADP'!$B$3:$D$323,3,)</f>
        <v>139</v>
      </c>
      <c r="H907">
        <v>12</v>
      </c>
      <c r="I907">
        <v>11.7</v>
      </c>
      <c r="J907">
        <v>11.3</v>
      </c>
      <c r="K907">
        <v>18.5</v>
      </c>
      <c r="L907">
        <v>4.5</v>
      </c>
      <c r="M907">
        <v>12.4</v>
      </c>
      <c r="N907" t="s">
        <v>22</v>
      </c>
      <c r="O907">
        <v>15.2</v>
      </c>
      <c r="P907">
        <v>3.9</v>
      </c>
      <c r="Q907">
        <v>10.3</v>
      </c>
      <c r="R907">
        <v>6.6</v>
      </c>
      <c r="S907">
        <v>5.0999999999999996</v>
      </c>
      <c r="T907">
        <v>11.6</v>
      </c>
      <c r="U907">
        <v>3.1</v>
      </c>
      <c r="V907" t="s">
        <v>33</v>
      </c>
      <c r="W907" t="s">
        <v>33</v>
      </c>
      <c r="X907" t="s">
        <v>33</v>
      </c>
      <c r="Y907" t="s">
        <v>33</v>
      </c>
      <c r="Z907">
        <v>0</v>
      </c>
      <c r="AA907">
        <v>9.5</v>
      </c>
      <c r="AB907">
        <f t="shared" si="28"/>
        <v>114.2</v>
      </c>
      <c r="AC907">
        <v>114.2</v>
      </c>
      <c r="AD907">
        <v>139</v>
      </c>
      <c r="AE907">
        <f t="shared" si="29"/>
        <v>7</v>
      </c>
      <c r="AF907">
        <v>2</v>
      </c>
      <c r="AG907">
        <v>0</v>
      </c>
      <c r="AH907">
        <v>0</v>
      </c>
      <c r="AI907">
        <v>0</v>
      </c>
      <c r="AJ907">
        <v>0.41176470588235292</v>
      </c>
      <c r="AK907">
        <v>0.16666666666666666</v>
      </c>
      <c r="AL907">
        <v>0</v>
      </c>
      <c r="AM907">
        <v>0</v>
      </c>
      <c r="AN907">
        <v>0</v>
      </c>
    </row>
    <row r="908" spans="1:40" x14ac:dyDescent="0.25">
      <c r="A908">
        <v>2023</v>
      </c>
      <c r="B908" t="s">
        <v>331</v>
      </c>
      <c r="C908" t="str">
        <f>IF(COUNTIF('Rookies 22-25'!$B$2:$B$60,E908)&gt;0,"(R)","No")</f>
        <v>No</v>
      </c>
      <c r="D908">
        <v>32</v>
      </c>
      <c r="E908" t="s">
        <v>358</v>
      </c>
      <c r="F908" t="s">
        <v>32</v>
      </c>
      <c r="G908">
        <f>VLOOKUP(E908,'23 Draft ADP'!$B$3:$D$323,3,)</f>
        <v>53</v>
      </c>
      <c r="H908">
        <v>5</v>
      </c>
      <c r="I908" t="s">
        <v>33</v>
      </c>
      <c r="J908" t="s">
        <v>33</v>
      </c>
      <c r="K908" t="s">
        <v>33</v>
      </c>
      <c r="L908" t="s">
        <v>33</v>
      </c>
      <c r="M908" t="s">
        <v>22</v>
      </c>
      <c r="N908" t="s">
        <v>33</v>
      </c>
      <c r="O908" t="s">
        <v>33</v>
      </c>
      <c r="P908" t="s">
        <v>33</v>
      </c>
      <c r="Q908" t="s">
        <v>33</v>
      </c>
      <c r="R908" t="s">
        <v>33</v>
      </c>
      <c r="S908" t="s">
        <v>33</v>
      </c>
      <c r="T908" t="s">
        <v>33</v>
      </c>
      <c r="U908">
        <v>17.2</v>
      </c>
      <c r="V908">
        <v>21.3</v>
      </c>
      <c r="W908">
        <v>19.899999999999999</v>
      </c>
      <c r="X908">
        <v>26.8</v>
      </c>
      <c r="Y908">
        <v>23.7</v>
      </c>
      <c r="Z908">
        <v>0</v>
      </c>
      <c r="AA908">
        <v>21.8</v>
      </c>
      <c r="AB908">
        <f t="shared" si="28"/>
        <v>108.8</v>
      </c>
      <c r="AC908">
        <v>108.8</v>
      </c>
      <c r="AD908">
        <v>229</v>
      </c>
      <c r="AE908">
        <f t="shared" si="29"/>
        <v>5</v>
      </c>
      <c r="AF908">
        <v>5</v>
      </c>
      <c r="AG908">
        <v>3</v>
      </c>
      <c r="AH908">
        <v>1</v>
      </c>
      <c r="AI908">
        <v>0</v>
      </c>
      <c r="AJ908">
        <v>0.29411764705882354</v>
      </c>
      <c r="AK908">
        <v>1</v>
      </c>
      <c r="AL908">
        <v>0.6</v>
      </c>
      <c r="AM908">
        <v>0.2</v>
      </c>
      <c r="AN908">
        <v>0</v>
      </c>
    </row>
    <row r="909" spans="1:40" x14ac:dyDescent="0.25">
      <c r="A909">
        <v>2023</v>
      </c>
      <c r="B909" t="s">
        <v>331</v>
      </c>
      <c r="C909" t="str">
        <f>IF(COUNTIF('Rookies 22-25'!$B$2:$B$60,E909)&gt;0,"(R)","No")</f>
        <v>(R)</v>
      </c>
      <c r="D909">
        <v>33</v>
      </c>
      <c r="E909" t="s">
        <v>380</v>
      </c>
      <c r="F909" t="s">
        <v>63</v>
      </c>
      <c r="G909">
        <f>VLOOKUP(E909,'23 Draft ADP'!$B$3:$D$323,3,)</f>
        <v>281</v>
      </c>
      <c r="H909">
        <v>9</v>
      </c>
      <c r="I909" t="s">
        <v>33</v>
      </c>
      <c r="J909" t="s">
        <v>33</v>
      </c>
      <c r="K909" t="s">
        <v>33</v>
      </c>
      <c r="L909" t="s">
        <v>33</v>
      </c>
      <c r="M909" t="s">
        <v>33</v>
      </c>
      <c r="N909" t="s">
        <v>33</v>
      </c>
      <c r="O909" t="s">
        <v>22</v>
      </c>
      <c r="P909">
        <v>26.6</v>
      </c>
      <c r="Q909">
        <v>9.6999999999999993</v>
      </c>
      <c r="R909">
        <v>7</v>
      </c>
      <c r="S909">
        <v>12.5</v>
      </c>
      <c r="T909">
        <v>7.1</v>
      </c>
      <c r="U909">
        <v>11.5</v>
      </c>
      <c r="V909">
        <v>17.600000000000001</v>
      </c>
      <c r="W909">
        <v>15.5</v>
      </c>
      <c r="X909" t="s">
        <v>33</v>
      </c>
      <c r="Y909">
        <v>-1.4</v>
      </c>
      <c r="Z909">
        <v>0</v>
      </c>
      <c r="AA909">
        <v>11.8</v>
      </c>
      <c r="AB909">
        <f t="shared" si="28"/>
        <v>106</v>
      </c>
      <c r="AC909">
        <v>106</v>
      </c>
      <c r="AD909">
        <v>287</v>
      </c>
      <c r="AE909">
        <f t="shared" si="29"/>
        <v>5</v>
      </c>
      <c r="AF909">
        <v>3</v>
      </c>
      <c r="AG909">
        <v>1</v>
      </c>
      <c r="AH909">
        <v>1</v>
      </c>
      <c r="AI909">
        <v>0</v>
      </c>
      <c r="AJ909">
        <v>0.29411764705882354</v>
      </c>
      <c r="AK909">
        <v>0.33333333333333331</v>
      </c>
      <c r="AL909">
        <v>0.1111111111111111</v>
      </c>
      <c r="AM909">
        <v>0.1111111111111111</v>
      </c>
      <c r="AN909">
        <v>0</v>
      </c>
    </row>
    <row r="910" spans="1:40" x14ac:dyDescent="0.25">
      <c r="A910">
        <v>2023</v>
      </c>
      <c r="B910" t="s">
        <v>331</v>
      </c>
      <c r="C910" t="str">
        <f>IF(COUNTIF('Rookies 22-25'!$B$2:$B$60,E910)&gt;0,"(R)","No")</f>
        <v>No</v>
      </c>
      <c r="D910">
        <v>34</v>
      </c>
      <c r="E910" t="s">
        <v>512</v>
      </c>
      <c r="F910" t="s">
        <v>57</v>
      </c>
      <c r="G910">
        <v>296</v>
      </c>
      <c r="H910">
        <v>10</v>
      </c>
      <c r="I910" t="s">
        <v>33</v>
      </c>
      <c r="J910" t="s">
        <v>33</v>
      </c>
      <c r="K910" t="s">
        <v>33</v>
      </c>
      <c r="L910" t="s">
        <v>33</v>
      </c>
      <c r="M910" t="s">
        <v>33</v>
      </c>
      <c r="N910" t="s">
        <v>33</v>
      </c>
      <c r="O910">
        <v>0</v>
      </c>
      <c r="P910">
        <v>7.2</v>
      </c>
      <c r="Q910">
        <v>10.7</v>
      </c>
      <c r="R910">
        <v>14.5</v>
      </c>
      <c r="S910">
        <v>22.5</v>
      </c>
      <c r="T910">
        <v>10.199999999999999</v>
      </c>
      <c r="U910" t="s">
        <v>22</v>
      </c>
      <c r="V910">
        <v>17.399999999999999</v>
      </c>
      <c r="W910">
        <v>10.7</v>
      </c>
      <c r="X910">
        <v>2.7</v>
      </c>
      <c r="Y910" t="s">
        <v>33</v>
      </c>
      <c r="Z910">
        <v>0.6</v>
      </c>
      <c r="AA910">
        <v>9.6999999999999993</v>
      </c>
      <c r="AB910">
        <f t="shared" si="28"/>
        <v>95.9</v>
      </c>
      <c r="AC910">
        <v>96.5</v>
      </c>
      <c r="AD910">
        <v>20</v>
      </c>
      <c r="AE910">
        <f t="shared" si="29"/>
        <v>6</v>
      </c>
      <c r="AF910">
        <v>2</v>
      </c>
      <c r="AG910">
        <v>1</v>
      </c>
      <c r="AH910">
        <v>0</v>
      </c>
      <c r="AI910">
        <v>0</v>
      </c>
      <c r="AJ910">
        <v>0.35294117647058826</v>
      </c>
      <c r="AK910">
        <v>0.2</v>
      </c>
      <c r="AL910">
        <v>0.1</v>
      </c>
      <c r="AM910">
        <v>0</v>
      </c>
      <c r="AN910">
        <v>0</v>
      </c>
    </row>
    <row r="911" spans="1:40" x14ac:dyDescent="0.25">
      <c r="A911">
        <v>2023</v>
      </c>
      <c r="B911" t="s">
        <v>331</v>
      </c>
      <c r="C911" t="str">
        <f>IF(COUNTIF('Rookies 22-25'!$B$2:$B$60,E911)&gt;0,"(R)","No")</f>
        <v>No</v>
      </c>
      <c r="D911">
        <v>35</v>
      </c>
      <c r="E911" t="s">
        <v>386</v>
      </c>
      <c r="F911" t="s">
        <v>32</v>
      </c>
      <c r="G911">
        <f>VLOOKUP(E911,'23 Draft ADP'!$B$3:$D$323,3,)</f>
        <v>87</v>
      </c>
      <c r="H911">
        <v>6</v>
      </c>
      <c r="I911">
        <v>21.7</v>
      </c>
      <c r="J911">
        <v>12.6</v>
      </c>
      <c r="K911">
        <v>21.2</v>
      </c>
      <c r="L911" t="s">
        <v>33</v>
      </c>
      <c r="M911" t="s">
        <v>22</v>
      </c>
      <c r="N911" t="s">
        <v>33</v>
      </c>
      <c r="O911">
        <v>-0.8</v>
      </c>
      <c r="P911" t="s">
        <v>33</v>
      </c>
      <c r="Q911">
        <v>19</v>
      </c>
      <c r="R911">
        <v>17.2</v>
      </c>
      <c r="S911" t="s">
        <v>33</v>
      </c>
      <c r="T911" t="s">
        <v>33</v>
      </c>
      <c r="U911" t="s">
        <v>33</v>
      </c>
      <c r="V911" t="s">
        <v>33</v>
      </c>
      <c r="W911" t="s">
        <v>33</v>
      </c>
      <c r="X911" t="s">
        <v>33</v>
      </c>
      <c r="Y911" t="s">
        <v>33</v>
      </c>
      <c r="Z911">
        <v>0</v>
      </c>
      <c r="AA911">
        <v>15.1</v>
      </c>
      <c r="AB911">
        <f t="shared" si="28"/>
        <v>90.8</v>
      </c>
      <c r="AC911">
        <v>90.8</v>
      </c>
      <c r="AD911">
        <v>107</v>
      </c>
      <c r="AE911">
        <f t="shared" si="29"/>
        <v>5</v>
      </c>
      <c r="AF911">
        <v>4</v>
      </c>
      <c r="AG911">
        <v>2</v>
      </c>
      <c r="AH911">
        <v>0</v>
      </c>
      <c r="AI911">
        <v>0</v>
      </c>
      <c r="AJ911">
        <v>0.29411764705882354</v>
      </c>
      <c r="AK911">
        <v>0.66666666666666663</v>
      </c>
      <c r="AL911">
        <v>0.33333333333333331</v>
      </c>
      <c r="AM911">
        <v>0</v>
      </c>
      <c r="AN911">
        <v>0</v>
      </c>
    </row>
    <row r="912" spans="1:40" x14ac:dyDescent="0.25">
      <c r="A912">
        <v>2023</v>
      </c>
      <c r="B912" t="s">
        <v>331</v>
      </c>
      <c r="C912" t="str">
        <f>IF(COUNTIF('Rookies 22-25'!$B$2:$B$60,E912)&gt;0,"(R)","No")</f>
        <v>No</v>
      </c>
      <c r="D912">
        <v>36</v>
      </c>
      <c r="E912" t="s">
        <v>373</v>
      </c>
      <c r="F912" t="s">
        <v>57</v>
      </c>
      <c r="G912">
        <v>296</v>
      </c>
      <c r="H912">
        <v>11</v>
      </c>
      <c r="I912">
        <v>0.2</v>
      </c>
      <c r="J912" t="s">
        <v>33</v>
      </c>
      <c r="K912">
        <v>0.2</v>
      </c>
      <c r="L912">
        <v>0</v>
      </c>
      <c r="M912">
        <v>4.8</v>
      </c>
      <c r="N912">
        <v>10.4</v>
      </c>
      <c r="O912">
        <v>21.7</v>
      </c>
      <c r="P912">
        <v>3.6</v>
      </c>
      <c r="Q912" t="s">
        <v>33</v>
      </c>
      <c r="R912" t="s">
        <v>33</v>
      </c>
      <c r="S912" t="s">
        <v>33</v>
      </c>
      <c r="T912" t="s">
        <v>33</v>
      </c>
      <c r="U912" t="s">
        <v>22</v>
      </c>
      <c r="V912" t="s">
        <v>33</v>
      </c>
      <c r="W912">
        <v>0.5</v>
      </c>
      <c r="X912">
        <v>10.4</v>
      </c>
      <c r="Y912">
        <v>19.8</v>
      </c>
      <c r="Z912">
        <v>18.7</v>
      </c>
      <c r="AA912">
        <v>8.1999999999999993</v>
      </c>
      <c r="AB912">
        <f t="shared" si="28"/>
        <v>71.599999999999994</v>
      </c>
      <c r="AC912">
        <v>90.3</v>
      </c>
      <c r="AD912">
        <v>20</v>
      </c>
      <c r="AE912">
        <f t="shared" si="29"/>
        <v>4</v>
      </c>
      <c r="AF912">
        <v>3</v>
      </c>
      <c r="AG912">
        <v>1</v>
      </c>
      <c r="AH912">
        <v>0</v>
      </c>
      <c r="AI912">
        <v>0</v>
      </c>
      <c r="AJ912">
        <v>0.29411764705882354</v>
      </c>
      <c r="AK912">
        <v>0.27272727272727271</v>
      </c>
      <c r="AL912">
        <v>9.0909090909090912E-2</v>
      </c>
      <c r="AM912">
        <v>0</v>
      </c>
      <c r="AN912">
        <v>0</v>
      </c>
    </row>
    <row r="913" spans="1:40" x14ac:dyDescent="0.25">
      <c r="A913">
        <v>2023</v>
      </c>
      <c r="B913" t="s">
        <v>331</v>
      </c>
      <c r="C913" t="str">
        <f>IF(COUNTIF('Rookies 22-25'!$B$2:$B$60,E913)&gt;0,"(R)","No")</f>
        <v>No</v>
      </c>
      <c r="D913">
        <v>37</v>
      </c>
      <c r="E913" t="s">
        <v>513</v>
      </c>
      <c r="F913" t="s">
        <v>63</v>
      </c>
      <c r="G913">
        <f>VLOOKUP(E913,'23 Draft ADP'!$B$3:$D$323,3,)</f>
        <v>196</v>
      </c>
      <c r="H913">
        <v>9</v>
      </c>
      <c r="I913">
        <v>5.4</v>
      </c>
      <c r="J913">
        <v>21</v>
      </c>
      <c r="K913">
        <v>4.2</v>
      </c>
      <c r="L913">
        <v>13.7</v>
      </c>
      <c r="M913">
        <v>10.8</v>
      </c>
      <c r="N913">
        <v>2</v>
      </c>
      <c r="O913" t="s">
        <v>22</v>
      </c>
      <c r="P913" t="s">
        <v>33</v>
      </c>
      <c r="Q913" t="s">
        <v>33</v>
      </c>
      <c r="R913" t="s">
        <v>33</v>
      </c>
      <c r="S913" t="s">
        <v>33</v>
      </c>
      <c r="T913" t="s">
        <v>33</v>
      </c>
      <c r="U913" t="s">
        <v>33</v>
      </c>
      <c r="V913" t="s">
        <v>33</v>
      </c>
      <c r="W913" t="s">
        <v>33</v>
      </c>
      <c r="X913">
        <v>9.8000000000000007</v>
      </c>
      <c r="Y913">
        <v>6.7</v>
      </c>
      <c r="Z913">
        <v>13.4</v>
      </c>
      <c r="AA913">
        <v>9.6999999999999993</v>
      </c>
      <c r="AB913">
        <f t="shared" si="28"/>
        <v>73.599999999999994</v>
      </c>
      <c r="AC913">
        <v>87</v>
      </c>
      <c r="AD913">
        <v>179</v>
      </c>
      <c r="AE913">
        <f t="shared" si="29"/>
        <v>3</v>
      </c>
      <c r="AF913">
        <v>1</v>
      </c>
      <c r="AG913">
        <v>1</v>
      </c>
      <c r="AH913">
        <v>0</v>
      </c>
      <c r="AI913">
        <v>0</v>
      </c>
      <c r="AJ913">
        <v>0.23529411764705882</v>
      </c>
      <c r="AK913">
        <v>0.1111111111111111</v>
      </c>
      <c r="AL913">
        <v>0.1111111111111111</v>
      </c>
      <c r="AM913">
        <v>0</v>
      </c>
      <c r="AN913">
        <v>0</v>
      </c>
    </row>
    <row r="914" spans="1:40" x14ac:dyDescent="0.25">
      <c r="A914">
        <v>2023</v>
      </c>
      <c r="B914" t="s">
        <v>331</v>
      </c>
      <c r="C914" t="str">
        <f>IF(COUNTIF('Rookies 22-25'!$B$2:$B$60,E914)&gt;0,"(R)","No")</f>
        <v>No</v>
      </c>
      <c r="D914">
        <v>38</v>
      </c>
      <c r="E914" t="s">
        <v>514</v>
      </c>
      <c r="F914" t="s">
        <v>510</v>
      </c>
      <c r="G914">
        <v>296</v>
      </c>
      <c r="H914">
        <v>10</v>
      </c>
      <c r="I914" t="s">
        <v>33</v>
      </c>
      <c r="J914" t="s">
        <v>33</v>
      </c>
      <c r="K914" t="s">
        <v>33</v>
      </c>
      <c r="L914">
        <v>2.2999999999999998</v>
      </c>
      <c r="M914">
        <v>0.9</v>
      </c>
      <c r="N914" t="s">
        <v>33</v>
      </c>
      <c r="O914" t="s">
        <v>33</v>
      </c>
      <c r="P914" t="s">
        <v>33</v>
      </c>
      <c r="Q914" t="s">
        <v>33</v>
      </c>
      <c r="R914">
        <v>0</v>
      </c>
      <c r="S914" t="s">
        <v>22</v>
      </c>
      <c r="T914">
        <v>1.2</v>
      </c>
      <c r="U914">
        <v>7.2</v>
      </c>
      <c r="V914">
        <v>21.9</v>
      </c>
      <c r="W914">
        <v>10.4</v>
      </c>
      <c r="X914">
        <v>16.399999999999999</v>
      </c>
      <c r="Y914">
        <v>15.1</v>
      </c>
      <c r="Z914">
        <v>2.8</v>
      </c>
      <c r="AA914">
        <v>7.8</v>
      </c>
      <c r="AB914">
        <f t="shared" si="28"/>
        <v>75.400000000000006</v>
      </c>
      <c r="AC914">
        <v>78.2</v>
      </c>
      <c r="AD914">
        <v>20</v>
      </c>
      <c r="AE914">
        <f t="shared" si="29"/>
        <v>4</v>
      </c>
      <c r="AF914">
        <v>3</v>
      </c>
      <c r="AG914">
        <v>1</v>
      </c>
      <c r="AH914">
        <v>0</v>
      </c>
      <c r="AI914">
        <v>0</v>
      </c>
      <c r="AJ914">
        <v>0.23529411764705882</v>
      </c>
      <c r="AK914">
        <v>0.3</v>
      </c>
      <c r="AL914">
        <v>0.1</v>
      </c>
      <c r="AM914">
        <v>0</v>
      </c>
      <c r="AN914">
        <v>0</v>
      </c>
    </row>
    <row r="915" spans="1:40" x14ac:dyDescent="0.25">
      <c r="A915">
        <v>2023</v>
      </c>
      <c r="B915" t="s">
        <v>331</v>
      </c>
      <c r="C915" t="str">
        <f>IF(COUNTIF('Rookies 22-25'!$B$2:$B$60,E915)&gt;0,"(R)","No")</f>
        <v>No</v>
      </c>
      <c r="D915">
        <v>39</v>
      </c>
      <c r="E915" t="s">
        <v>515</v>
      </c>
      <c r="F915" t="s">
        <v>73</v>
      </c>
      <c r="G915">
        <v>299</v>
      </c>
      <c r="H915">
        <v>5</v>
      </c>
      <c r="I915" t="s">
        <v>33</v>
      </c>
      <c r="J915" t="s">
        <v>33</v>
      </c>
      <c r="K915" t="s">
        <v>33</v>
      </c>
      <c r="L915" t="s">
        <v>33</v>
      </c>
      <c r="M915" t="s">
        <v>33</v>
      </c>
      <c r="N915" t="s">
        <v>33</v>
      </c>
      <c r="O915" t="s">
        <v>33</v>
      </c>
      <c r="P915" t="s">
        <v>33</v>
      </c>
      <c r="Q915" t="s">
        <v>33</v>
      </c>
      <c r="R915" t="s">
        <v>33</v>
      </c>
      <c r="S915" t="s">
        <v>33</v>
      </c>
      <c r="T915" t="s">
        <v>33</v>
      </c>
      <c r="U915" t="s">
        <v>22</v>
      </c>
      <c r="V915">
        <v>3.3</v>
      </c>
      <c r="W915">
        <v>19.100000000000001</v>
      </c>
      <c r="X915">
        <v>20.5</v>
      </c>
      <c r="Y915">
        <v>9.1</v>
      </c>
      <c r="Z915">
        <v>22.6</v>
      </c>
      <c r="AA915">
        <v>14.9</v>
      </c>
      <c r="AB915">
        <f t="shared" si="28"/>
        <v>52.1</v>
      </c>
      <c r="AC915">
        <v>74.7</v>
      </c>
      <c r="AD915">
        <v>20</v>
      </c>
      <c r="AE915">
        <f t="shared" si="29"/>
        <v>2</v>
      </c>
      <c r="AF915">
        <v>3</v>
      </c>
      <c r="AG915">
        <v>2</v>
      </c>
      <c r="AH915">
        <v>0</v>
      </c>
      <c r="AI915">
        <v>0</v>
      </c>
      <c r="AJ915">
        <v>0.17647058823529413</v>
      </c>
      <c r="AK915">
        <v>0.6</v>
      </c>
      <c r="AL915">
        <v>0.4</v>
      </c>
      <c r="AM915">
        <v>0</v>
      </c>
      <c r="AN915">
        <v>0</v>
      </c>
    </row>
    <row r="916" spans="1:40" x14ac:dyDescent="0.25">
      <c r="A916">
        <v>2023</v>
      </c>
      <c r="B916" t="s">
        <v>331</v>
      </c>
      <c r="C916" t="str">
        <f>IF(COUNTIF('Rookies 22-25'!$B$2:$B$60,E916)&gt;0,"(R)","No")</f>
        <v>(R)</v>
      </c>
      <c r="D916">
        <v>40</v>
      </c>
      <c r="E916" t="s">
        <v>377</v>
      </c>
      <c r="F916" t="s">
        <v>28</v>
      </c>
      <c r="G916">
        <f>VLOOKUP(E916,'23 Draft ADP'!$B$3:$D$323,3,)</f>
        <v>109</v>
      </c>
      <c r="H916">
        <v>4</v>
      </c>
      <c r="I916">
        <v>21.9</v>
      </c>
      <c r="J916">
        <v>17.7</v>
      </c>
      <c r="K916" t="s">
        <v>33</v>
      </c>
      <c r="L916">
        <v>29.6</v>
      </c>
      <c r="M916">
        <v>4.4000000000000004</v>
      </c>
      <c r="N916" t="s">
        <v>33</v>
      </c>
      <c r="O916" t="s">
        <v>33</v>
      </c>
      <c r="P916" t="s">
        <v>33</v>
      </c>
      <c r="Q916" t="s">
        <v>33</v>
      </c>
      <c r="R916" t="s">
        <v>33</v>
      </c>
      <c r="S916" t="s">
        <v>22</v>
      </c>
      <c r="T916" t="s">
        <v>33</v>
      </c>
      <c r="U916" t="s">
        <v>33</v>
      </c>
      <c r="V916" t="s">
        <v>33</v>
      </c>
      <c r="W916" t="s">
        <v>33</v>
      </c>
      <c r="X916" t="s">
        <v>33</v>
      </c>
      <c r="Y916" t="s">
        <v>33</v>
      </c>
      <c r="Z916">
        <v>0</v>
      </c>
      <c r="AA916">
        <v>18.399999999999999</v>
      </c>
      <c r="AB916">
        <f t="shared" si="28"/>
        <v>73.7</v>
      </c>
      <c r="AC916">
        <v>73.7</v>
      </c>
      <c r="AD916">
        <v>121</v>
      </c>
      <c r="AE916">
        <f t="shared" si="29"/>
        <v>3</v>
      </c>
      <c r="AF916">
        <v>3</v>
      </c>
      <c r="AG916">
        <v>2</v>
      </c>
      <c r="AH916">
        <v>1</v>
      </c>
      <c r="AI916">
        <v>0</v>
      </c>
      <c r="AJ916">
        <v>0.17647058823529413</v>
      </c>
      <c r="AK916">
        <v>0.75</v>
      </c>
      <c r="AL916">
        <v>0.5</v>
      </c>
      <c r="AM916">
        <v>0.25</v>
      </c>
      <c r="AN916">
        <v>0</v>
      </c>
    </row>
    <row r="917" spans="1:40" x14ac:dyDescent="0.25">
      <c r="A917">
        <v>2023</v>
      </c>
      <c r="B917" t="s">
        <v>331</v>
      </c>
      <c r="C917" t="str">
        <f>IF(COUNTIF('Rookies 22-25'!$B$2:$B$60,E917)&gt;0,"(R)","No")</f>
        <v>No</v>
      </c>
      <c r="D917">
        <v>41</v>
      </c>
      <c r="E917" t="s">
        <v>516</v>
      </c>
      <c r="F917" t="s">
        <v>43</v>
      </c>
      <c r="G917">
        <f>VLOOKUP(E917,'23 Draft ADP'!$B$3:$D$323,3,)</f>
        <v>203</v>
      </c>
      <c r="H917">
        <v>7</v>
      </c>
      <c r="I917">
        <v>16.100000000000001</v>
      </c>
      <c r="J917">
        <v>9.5</v>
      </c>
      <c r="K917">
        <v>20.7</v>
      </c>
      <c r="L917" t="s">
        <v>33</v>
      </c>
      <c r="M917">
        <v>11.7</v>
      </c>
      <c r="N917">
        <v>9.9</v>
      </c>
      <c r="O917" t="s">
        <v>33</v>
      </c>
      <c r="P917">
        <v>5.2</v>
      </c>
      <c r="Q917" t="s">
        <v>33</v>
      </c>
      <c r="R917" t="s">
        <v>33</v>
      </c>
      <c r="S917" t="s">
        <v>33</v>
      </c>
      <c r="T917" t="s">
        <v>33</v>
      </c>
      <c r="U917" t="s">
        <v>22</v>
      </c>
      <c r="V917" t="s">
        <v>33</v>
      </c>
      <c r="W917" t="s">
        <v>33</v>
      </c>
      <c r="X917" t="s">
        <v>33</v>
      </c>
      <c r="Y917" t="s">
        <v>33</v>
      </c>
      <c r="Z917">
        <v>0</v>
      </c>
      <c r="AA917">
        <v>10.4</v>
      </c>
      <c r="AB917">
        <f t="shared" si="28"/>
        <v>73.099999999999994</v>
      </c>
      <c r="AC917">
        <v>73.099999999999994</v>
      </c>
      <c r="AD917">
        <v>212</v>
      </c>
      <c r="AE917">
        <f t="shared" si="29"/>
        <v>3</v>
      </c>
      <c r="AF917">
        <v>2</v>
      </c>
      <c r="AG917">
        <v>1</v>
      </c>
      <c r="AH917">
        <v>0</v>
      </c>
      <c r="AI917">
        <v>0</v>
      </c>
      <c r="AJ917">
        <v>0.17647058823529413</v>
      </c>
      <c r="AK917">
        <v>0.2857142857142857</v>
      </c>
      <c r="AL917">
        <v>0.14285714285714285</v>
      </c>
      <c r="AM917">
        <v>0</v>
      </c>
      <c r="AN917">
        <v>0</v>
      </c>
    </row>
    <row r="918" spans="1:40" x14ac:dyDescent="0.25">
      <c r="A918">
        <v>2023</v>
      </c>
      <c r="B918" t="s">
        <v>331</v>
      </c>
      <c r="C918" t="str">
        <f>IF(COUNTIF('Rookies 22-25'!$B$2:$B$60,E918)&gt;0,"(R)","No")</f>
        <v>No</v>
      </c>
      <c r="D918">
        <v>42</v>
      </c>
      <c r="E918" t="s">
        <v>517</v>
      </c>
      <c r="F918" t="s">
        <v>24</v>
      </c>
      <c r="G918">
        <v>302</v>
      </c>
      <c r="H918">
        <v>5</v>
      </c>
      <c r="I918" t="s">
        <v>33</v>
      </c>
      <c r="J918" t="s">
        <v>33</v>
      </c>
      <c r="K918" t="s">
        <v>33</v>
      </c>
      <c r="L918" t="s">
        <v>33</v>
      </c>
      <c r="M918" t="s">
        <v>33</v>
      </c>
      <c r="N918" t="s">
        <v>33</v>
      </c>
      <c r="O918" t="s">
        <v>33</v>
      </c>
      <c r="P918">
        <v>12.4</v>
      </c>
      <c r="Q918">
        <v>15.7</v>
      </c>
      <c r="R918">
        <v>9.6</v>
      </c>
      <c r="S918" t="s">
        <v>22</v>
      </c>
      <c r="T918" t="s">
        <v>33</v>
      </c>
      <c r="U918" t="s">
        <v>33</v>
      </c>
      <c r="V918" t="s">
        <v>33</v>
      </c>
      <c r="W918" t="s">
        <v>33</v>
      </c>
      <c r="X918">
        <v>14.2</v>
      </c>
      <c r="Y918">
        <v>18.100000000000001</v>
      </c>
      <c r="Z918">
        <v>0</v>
      </c>
      <c r="AA918">
        <v>14</v>
      </c>
      <c r="AB918">
        <f t="shared" si="28"/>
        <v>70</v>
      </c>
      <c r="AC918">
        <v>70</v>
      </c>
      <c r="AD918">
        <v>402</v>
      </c>
      <c r="AE918">
        <f t="shared" si="29"/>
        <v>4</v>
      </c>
      <c r="AF918">
        <v>2</v>
      </c>
      <c r="AG918">
        <v>0</v>
      </c>
      <c r="AH918">
        <v>0</v>
      </c>
      <c r="AI918">
        <v>0</v>
      </c>
      <c r="AJ918">
        <v>0.23529411764705882</v>
      </c>
      <c r="AK918">
        <v>0.4</v>
      </c>
      <c r="AL918">
        <v>0</v>
      </c>
      <c r="AM918">
        <v>0</v>
      </c>
      <c r="AN918">
        <v>0</v>
      </c>
    </row>
    <row r="919" spans="1:40" x14ac:dyDescent="0.25">
      <c r="A919">
        <v>2023</v>
      </c>
      <c r="B919" t="s">
        <v>331</v>
      </c>
      <c r="C919" t="str">
        <f>IF(COUNTIF('Rookies 22-25'!$B$2:$B$60,E919)&gt;0,"(R)","No")</f>
        <v>No</v>
      </c>
      <c r="D919">
        <v>43</v>
      </c>
      <c r="E919" t="s">
        <v>518</v>
      </c>
      <c r="F919" t="s">
        <v>51</v>
      </c>
      <c r="G919">
        <v>303</v>
      </c>
      <c r="H919">
        <v>5</v>
      </c>
      <c r="I919" t="s">
        <v>33</v>
      </c>
      <c r="J919" t="s">
        <v>33</v>
      </c>
      <c r="K919" t="s">
        <v>33</v>
      </c>
      <c r="L919" t="s">
        <v>33</v>
      </c>
      <c r="M919" t="s">
        <v>22</v>
      </c>
      <c r="N919" t="s">
        <v>33</v>
      </c>
      <c r="O919" t="s">
        <v>33</v>
      </c>
      <c r="P919" t="s">
        <v>33</v>
      </c>
      <c r="Q919" t="s">
        <v>33</v>
      </c>
      <c r="R919" t="s">
        <v>33</v>
      </c>
      <c r="S919" t="s">
        <v>33</v>
      </c>
      <c r="T919" t="s">
        <v>33</v>
      </c>
      <c r="U919" t="s">
        <v>33</v>
      </c>
      <c r="V919">
        <v>5.2</v>
      </c>
      <c r="W919">
        <v>18.399999999999999</v>
      </c>
      <c r="X919">
        <v>16.600000000000001</v>
      </c>
      <c r="Y919">
        <v>11.9</v>
      </c>
      <c r="Z919">
        <v>16</v>
      </c>
      <c r="AA919">
        <v>13.6</v>
      </c>
      <c r="AB919">
        <f t="shared" si="28"/>
        <v>52.099999999999994</v>
      </c>
      <c r="AC919">
        <v>68.099999999999994</v>
      </c>
      <c r="AD919">
        <v>20</v>
      </c>
      <c r="AE919">
        <f t="shared" si="29"/>
        <v>3</v>
      </c>
      <c r="AF919">
        <v>3</v>
      </c>
      <c r="AG919">
        <v>0</v>
      </c>
      <c r="AH919">
        <v>0</v>
      </c>
      <c r="AI919">
        <v>0</v>
      </c>
      <c r="AJ919">
        <v>0.23529411764705882</v>
      </c>
      <c r="AK919">
        <v>0.6</v>
      </c>
      <c r="AL919">
        <v>0</v>
      </c>
      <c r="AM919">
        <v>0</v>
      </c>
      <c r="AN919">
        <v>0</v>
      </c>
    </row>
    <row r="920" spans="1:40" x14ac:dyDescent="0.25">
      <c r="A920">
        <v>2023</v>
      </c>
      <c r="B920" t="s">
        <v>331</v>
      </c>
      <c r="C920" t="str">
        <f>IF(COUNTIF('Rookies 22-25'!$B$2:$B$60,E920)&gt;0,"(R)","No")</f>
        <v>No</v>
      </c>
      <c r="D920">
        <v>44</v>
      </c>
      <c r="E920" t="s">
        <v>348</v>
      </c>
      <c r="F920" t="s">
        <v>57</v>
      </c>
      <c r="G920">
        <f>VLOOKUP(E920,'23 Draft ADP'!$B$3:$D$323,3,)</f>
        <v>105</v>
      </c>
      <c r="H920">
        <v>6</v>
      </c>
      <c r="I920">
        <v>6.5</v>
      </c>
      <c r="J920">
        <v>31.7</v>
      </c>
      <c r="K920">
        <v>5</v>
      </c>
      <c r="L920">
        <v>10.7</v>
      </c>
      <c r="M920">
        <v>7.2</v>
      </c>
      <c r="N920" t="s">
        <v>33</v>
      </c>
      <c r="O920" t="s">
        <v>33</v>
      </c>
      <c r="P920" t="s">
        <v>33</v>
      </c>
      <c r="Q920">
        <v>1.9</v>
      </c>
      <c r="R920" t="s">
        <v>33</v>
      </c>
      <c r="S920" t="s">
        <v>33</v>
      </c>
      <c r="T920" t="s">
        <v>33</v>
      </c>
      <c r="U920" t="s">
        <v>22</v>
      </c>
      <c r="V920" t="s">
        <v>33</v>
      </c>
      <c r="W920" t="s">
        <v>33</v>
      </c>
      <c r="X920" t="s">
        <v>33</v>
      </c>
      <c r="Y920" t="s">
        <v>33</v>
      </c>
      <c r="Z920">
        <v>0</v>
      </c>
      <c r="AA920">
        <v>10.5</v>
      </c>
      <c r="AB920">
        <f t="shared" si="28"/>
        <v>63</v>
      </c>
      <c r="AC920">
        <v>63</v>
      </c>
      <c r="AD920">
        <v>118</v>
      </c>
      <c r="AE920">
        <f t="shared" si="29"/>
        <v>2</v>
      </c>
      <c r="AF920">
        <v>1</v>
      </c>
      <c r="AG920">
        <v>1</v>
      </c>
      <c r="AH920">
        <v>1</v>
      </c>
      <c r="AI920">
        <v>1</v>
      </c>
      <c r="AJ920">
        <v>0.11764705882352941</v>
      </c>
      <c r="AK920">
        <v>0.16666666666666666</v>
      </c>
      <c r="AL920">
        <v>0.16666666666666666</v>
      </c>
      <c r="AM920">
        <v>0.16666666666666666</v>
      </c>
      <c r="AN920">
        <v>0.16666666666666666</v>
      </c>
    </row>
    <row r="921" spans="1:40" x14ac:dyDescent="0.25">
      <c r="A921">
        <v>2023</v>
      </c>
      <c r="B921" t="s">
        <v>331</v>
      </c>
      <c r="C921" t="str">
        <f>IF(COUNTIF('Rookies 22-25'!$B$2:$B$60,E921)&gt;0,"(R)","No")</f>
        <v>No</v>
      </c>
      <c r="D921">
        <v>45</v>
      </c>
      <c r="E921" t="s">
        <v>519</v>
      </c>
      <c r="F921" t="s">
        <v>45</v>
      </c>
      <c r="G921">
        <v>306</v>
      </c>
      <c r="H921">
        <v>5</v>
      </c>
      <c r="I921" t="s">
        <v>33</v>
      </c>
      <c r="J921" t="s">
        <v>33</v>
      </c>
      <c r="K921" t="s">
        <v>33</v>
      </c>
      <c r="L921" t="s">
        <v>33</v>
      </c>
      <c r="M921" t="s">
        <v>33</v>
      </c>
      <c r="N921">
        <v>6.7</v>
      </c>
      <c r="O921">
        <v>12.9</v>
      </c>
      <c r="P921">
        <v>13.2</v>
      </c>
      <c r="Q921">
        <v>18.8</v>
      </c>
      <c r="R921">
        <v>7.7</v>
      </c>
      <c r="S921" t="s">
        <v>33</v>
      </c>
      <c r="T921" t="s">
        <v>33</v>
      </c>
      <c r="U921" t="s">
        <v>22</v>
      </c>
      <c r="V921" t="s">
        <v>33</v>
      </c>
      <c r="W921" t="s">
        <v>33</v>
      </c>
      <c r="X921" t="s">
        <v>33</v>
      </c>
      <c r="Y921" t="s">
        <v>33</v>
      </c>
      <c r="Z921">
        <v>0</v>
      </c>
      <c r="AA921">
        <v>11.9</v>
      </c>
      <c r="AB921">
        <f t="shared" si="28"/>
        <v>59.3</v>
      </c>
      <c r="AC921">
        <v>59.3</v>
      </c>
      <c r="AD921">
        <v>20</v>
      </c>
      <c r="AE921">
        <f t="shared" si="29"/>
        <v>3</v>
      </c>
      <c r="AF921">
        <v>1</v>
      </c>
      <c r="AG921">
        <v>0</v>
      </c>
      <c r="AH921">
        <v>0</v>
      </c>
      <c r="AI921">
        <v>0</v>
      </c>
      <c r="AJ921">
        <v>0.17647058823529413</v>
      </c>
      <c r="AK921">
        <v>0.2</v>
      </c>
      <c r="AL921">
        <v>0</v>
      </c>
      <c r="AM921">
        <v>0</v>
      </c>
      <c r="AN921">
        <v>0</v>
      </c>
    </row>
    <row r="922" spans="1:40" x14ac:dyDescent="0.25">
      <c r="A922">
        <v>2022</v>
      </c>
      <c r="B922" t="s">
        <v>99</v>
      </c>
      <c r="C922" t="str">
        <f>IF(COUNTIF('Rookies 22-25'!$B$61:$B$125,E922)&gt;0,"(R)","No")</f>
        <v>No</v>
      </c>
      <c r="D922">
        <v>1</v>
      </c>
      <c r="E922" t="s">
        <v>120</v>
      </c>
      <c r="F922" t="s">
        <v>73</v>
      </c>
      <c r="G922">
        <f>VLOOKUP(E922,'22 Draft ADP'!$B$2:$D$510,3,FALSE)</f>
        <v>3</v>
      </c>
      <c r="H922">
        <v>17</v>
      </c>
      <c r="I922">
        <v>39.4</v>
      </c>
      <c r="J922">
        <v>10.8</v>
      </c>
      <c r="K922">
        <v>4.4000000000000004</v>
      </c>
      <c r="L922">
        <v>31</v>
      </c>
      <c r="M922">
        <v>30.3</v>
      </c>
      <c r="N922">
        <v>16.7</v>
      </c>
      <c r="O922" t="s">
        <v>22</v>
      </c>
      <c r="P922">
        <v>15.8</v>
      </c>
      <c r="Q922">
        <v>25.5</v>
      </c>
      <c r="R922">
        <v>35.299999999999997</v>
      </c>
      <c r="S922">
        <v>6.3</v>
      </c>
      <c r="T922">
        <v>29.3</v>
      </c>
      <c r="U922">
        <v>18.600000000000001</v>
      </c>
      <c r="V922">
        <v>33.299999999999997</v>
      </c>
      <c r="W922">
        <v>30.3</v>
      </c>
      <c r="X922">
        <v>31.3</v>
      </c>
      <c r="Y922">
        <v>2.5</v>
      </c>
      <c r="Z922">
        <v>7.8</v>
      </c>
      <c r="AA922">
        <v>21.7</v>
      </c>
      <c r="AB922">
        <f t="shared" si="28"/>
        <v>360.9</v>
      </c>
      <c r="AC922">
        <v>368.7</v>
      </c>
      <c r="AE922">
        <f t="shared" si="29"/>
        <v>13</v>
      </c>
    </row>
    <row r="923" spans="1:40" x14ac:dyDescent="0.25">
      <c r="A923">
        <v>2022</v>
      </c>
      <c r="B923" t="s">
        <v>99</v>
      </c>
      <c r="C923" t="str">
        <f>IF(COUNTIF('Rookies 22-25'!$B$61:$B$125,E923)&gt;0,"(R)","No")</f>
        <v>No</v>
      </c>
      <c r="D923">
        <v>2</v>
      </c>
      <c r="E923" t="s">
        <v>204</v>
      </c>
      <c r="F923" t="s">
        <v>84</v>
      </c>
      <c r="G923">
        <f>VLOOKUP(E923,'22 Draft ADP'!$B$2:$D$510,3,FALSE)</f>
        <v>21</v>
      </c>
      <c r="H923">
        <v>17</v>
      </c>
      <c r="I923">
        <v>18</v>
      </c>
      <c r="J923">
        <v>42</v>
      </c>
      <c r="K923">
        <v>5.3</v>
      </c>
      <c r="L923">
        <v>25.9</v>
      </c>
      <c r="M923">
        <v>13</v>
      </c>
      <c r="N923">
        <v>29.7</v>
      </c>
      <c r="O923">
        <v>14.2</v>
      </c>
      <c r="P923">
        <v>31.5</v>
      </c>
      <c r="Q923">
        <v>27.3</v>
      </c>
      <c r="R923">
        <v>15.4</v>
      </c>
      <c r="S923" t="s">
        <v>22</v>
      </c>
      <c r="T923">
        <v>15</v>
      </c>
      <c r="U923">
        <v>29.6</v>
      </c>
      <c r="V923">
        <v>24.1</v>
      </c>
      <c r="W923">
        <v>21.9</v>
      </c>
      <c r="X923">
        <v>14.3</v>
      </c>
      <c r="Y923">
        <v>15.7</v>
      </c>
      <c r="Z923">
        <v>4.3</v>
      </c>
      <c r="AA923">
        <v>20.399999999999999</v>
      </c>
      <c r="AB923">
        <f t="shared" si="28"/>
        <v>342.9</v>
      </c>
      <c r="AC923">
        <v>347.2</v>
      </c>
      <c r="AE923">
        <f t="shared" si="29"/>
        <v>15</v>
      </c>
    </row>
    <row r="924" spans="1:40" x14ac:dyDescent="0.25">
      <c r="A924">
        <v>2022</v>
      </c>
      <c r="B924" t="s">
        <v>99</v>
      </c>
      <c r="C924" t="str">
        <f>IF(COUNTIF('Rookies 22-25'!$B$61:$B$125,E924)&gt;0,"(R)","No")</f>
        <v>No</v>
      </c>
      <c r="D924">
        <v>3</v>
      </c>
      <c r="E924" t="s">
        <v>108</v>
      </c>
      <c r="F924" t="s">
        <v>43</v>
      </c>
      <c r="G924">
        <f>VLOOKUP(E924,'22 Draft ADP'!$B$2:$D$510,3,FALSE)</f>
        <v>11</v>
      </c>
      <c r="H924">
        <v>17</v>
      </c>
      <c r="I924">
        <v>30.1</v>
      </c>
      <c r="J924">
        <v>9.1999999999999993</v>
      </c>
      <c r="K924">
        <v>14.2</v>
      </c>
      <c r="L924">
        <v>19.5</v>
      </c>
      <c r="M924">
        <v>27.4</v>
      </c>
      <c r="N924" t="s">
        <v>22</v>
      </c>
      <c r="O924">
        <v>17.5</v>
      </c>
      <c r="P924">
        <v>1.2</v>
      </c>
      <c r="Q924">
        <v>36.6</v>
      </c>
      <c r="R924">
        <v>27.6</v>
      </c>
      <c r="S924">
        <v>33.1</v>
      </c>
      <c r="T924">
        <v>14.4</v>
      </c>
      <c r="U924">
        <v>37.700000000000003</v>
      </c>
      <c r="V924">
        <v>10.1</v>
      </c>
      <c r="W924">
        <v>6.8</v>
      </c>
      <c r="X924">
        <v>3.5</v>
      </c>
      <c r="Y924">
        <v>34.299999999999997</v>
      </c>
      <c r="Z924">
        <v>12.3</v>
      </c>
      <c r="AA924">
        <v>19.7</v>
      </c>
      <c r="AB924">
        <f t="shared" si="28"/>
        <v>323.2</v>
      </c>
      <c r="AC924">
        <v>335.5</v>
      </c>
      <c r="AE924">
        <f t="shared" si="29"/>
        <v>12</v>
      </c>
    </row>
    <row r="925" spans="1:40" x14ac:dyDescent="0.25">
      <c r="A925">
        <v>2022</v>
      </c>
      <c r="B925" t="s">
        <v>99</v>
      </c>
      <c r="C925" t="str">
        <f>IF(COUNTIF('Rookies 22-25'!$B$61:$B$125,E925)&gt;0,"(R)","No")</f>
        <v>No</v>
      </c>
      <c r="D925">
        <v>4</v>
      </c>
      <c r="E925" t="s">
        <v>116</v>
      </c>
      <c r="F925" t="s">
        <v>61</v>
      </c>
      <c r="G925">
        <f>VLOOKUP(E925,'22 Draft ADP'!$B$2:$D$510,3,FALSE)</f>
        <v>10</v>
      </c>
      <c r="H925">
        <v>17</v>
      </c>
      <c r="I925">
        <v>26.2</v>
      </c>
      <c r="J925">
        <v>44.8</v>
      </c>
      <c r="K925">
        <v>14.4</v>
      </c>
      <c r="L925">
        <v>10.199999999999999</v>
      </c>
      <c r="M925">
        <v>24.2</v>
      </c>
      <c r="N925">
        <v>30.8</v>
      </c>
      <c r="O925" t="s">
        <v>22</v>
      </c>
      <c r="P925">
        <v>22.8</v>
      </c>
      <c r="Q925">
        <v>14.3</v>
      </c>
      <c r="R925">
        <v>24.8</v>
      </c>
      <c r="S925">
        <v>14.8</v>
      </c>
      <c r="T925">
        <v>21.7</v>
      </c>
      <c r="U925">
        <v>22.2</v>
      </c>
      <c r="V925">
        <v>6.7</v>
      </c>
      <c r="W925">
        <v>10.7</v>
      </c>
      <c r="X925">
        <v>4.5999999999999996</v>
      </c>
      <c r="Y925">
        <v>4.5999999999999996</v>
      </c>
      <c r="Z925">
        <v>23.4</v>
      </c>
      <c r="AA925">
        <v>18.899999999999999</v>
      </c>
      <c r="AB925">
        <f t="shared" si="28"/>
        <v>297.8</v>
      </c>
      <c r="AC925">
        <v>321.2</v>
      </c>
      <c r="AE925">
        <f t="shared" si="29"/>
        <v>13</v>
      </c>
    </row>
    <row r="926" spans="1:40" x14ac:dyDescent="0.25">
      <c r="A926">
        <v>2022</v>
      </c>
      <c r="B926" t="s">
        <v>99</v>
      </c>
      <c r="C926" t="str">
        <f>IF(COUNTIF('Rookies 22-25'!$B$61:$B$125,E926)&gt;0,"(R)","No")</f>
        <v>No</v>
      </c>
      <c r="D926">
        <v>5</v>
      </c>
      <c r="E926" t="s">
        <v>121</v>
      </c>
      <c r="F926" t="s">
        <v>30</v>
      </c>
      <c r="G926">
        <f>VLOOKUP(E926,'22 Draft ADP'!$B$2:$D$510,3,FALSE)</f>
        <v>17</v>
      </c>
      <c r="H926">
        <v>17</v>
      </c>
      <c r="I926">
        <v>4.9000000000000004</v>
      </c>
      <c r="J926">
        <v>15.1</v>
      </c>
      <c r="K926">
        <v>22.7</v>
      </c>
      <c r="L926">
        <v>21.7</v>
      </c>
      <c r="M926">
        <v>10.3</v>
      </c>
      <c r="N926">
        <v>12.7</v>
      </c>
      <c r="O926">
        <v>10.6</v>
      </c>
      <c r="P926">
        <v>18.8</v>
      </c>
      <c r="Q926" t="s">
        <v>22</v>
      </c>
      <c r="R926">
        <v>38</v>
      </c>
      <c r="S926">
        <v>9.5</v>
      </c>
      <c r="T926">
        <v>17.7</v>
      </c>
      <c r="U926">
        <v>20.399999999999999</v>
      </c>
      <c r="V926">
        <v>8.3000000000000007</v>
      </c>
      <c r="W926">
        <v>19.7</v>
      </c>
      <c r="X926">
        <v>34</v>
      </c>
      <c r="Y926">
        <v>21</v>
      </c>
      <c r="Z926">
        <v>16.2</v>
      </c>
      <c r="AA926">
        <v>17.7</v>
      </c>
      <c r="AB926">
        <f t="shared" si="28"/>
        <v>285.40000000000003</v>
      </c>
      <c r="AC926">
        <v>301.60000000000002</v>
      </c>
      <c r="AE926">
        <f t="shared" si="29"/>
        <v>13</v>
      </c>
    </row>
    <row r="927" spans="1:40" x14ac:dyDescent="0.25">
      <c r="A927">
        <v>2022</v>
      </c>
      <c r="B927" t="s">
        <v>99</v>
      </c>
      <c r="C927" t="str">
        <f>IF(COUNTIF('Rookies 22-25'!$B$61:$B$125,E927)&gt;0,"(R)","No")</f>
        <v>No</v>
      </c>
      <c r="D927">
        <v>6</v>
      </c>
      <c r="E927" t="s">
        <v>110</v>
      </c>
      <c r="F927" t="s">
        <v>35</v>
      </c>
      <c r="G927">
        <f>VLOOKUP(E927,'22 Draft ADP'!$B$2:$D$510,3,FALSE)</f>
        <v>27</v>
      </c>
      <c r="H927">
        <v>17</v>
      </c>
      <c r="I927">
        <v>25.5</v>
      </c>
      <c r="J927">
        <v>11.9</v>
      </c>
      <c r="K927">
        <v>19.5</v>
      </c>
      <c r="L927">
        <v>14.5</v>
      </c>
      <c r="M927">
        <v>6.2</v>
      </c>
      <c r="N927">
        <v>17.7</v>
      </c>
      <c r="O927" t="s">
        <v>22</v>
      </c>
      <c r="P927">
        <v>39.6</v>
      </c>
      <c r="Q927">
        <v>15.9</v>
      </c>
      <c r="R927">
        <v>1.7</v>
      </c>
      <c r="S927">
        <v>9</v>
      </c>
      <c r="T927">
        <v>12.6</v>
      </c>
      <c r="U927">
        <v>31.9</v>
      </c>
      <c r="V927">
        <v>17</v>
      </c>
      <c r="W927">
        <v>27.1</v>
      </c>
      <c r="X927">
        <v>16.3</v>
      </c>
      <c r="Y927">
        <v>19.7</v>
      </c>
      <c r="Z927">
        <v>13.5</v>
      </c>
      <c r="AA927">
        <v>17.600000000000001</v>
      </c>
      <c r="AB927">
        <f t="shared" si="28"/>
        <v>286.10000000000002</v>
      </c>
      <c r="AC927">
        <v>299.60000000000002</v>
      </c>
      <c r="AE927">
        <f t="shared" si="29"/>
        <v>13</v>
      </c>
    </row>
    <row r="928" spans="1:40" x14ac:dyDescent="0.25">
      <c r="A928">
        <v>2022</v>
      </c>
      <c r="B928" t="s">
        <v>99</v>
      </c>
      <c r="C928" t="str">
        <f>IF(COUNTIF('Rookies 22-25'!$B$61:$B$125,E928)&gt;0,"(R)","No")</f>
        <v>No</v>
      </c>
      <c r="D928">
        <v>7</v>
      </c>
      <c r="E928" t="s">
        <v>102</v>
      </c>
      <c r="F928" t="s">
        <v>75</v>
      </c>
      <c r="G928">
        <f>VLOOKUP(E928,'22 Draft ADP'!$B$2:$D$510,3,FALSE)</f>
        <v>49</v>
      </c>
      <c r="H928">
        <v>16</v>
      </c>
      <c r="I928">
        <v>20.399999999999999</v>
      </c>
      <c r="J928">
        <v>39.4</v>
      </c>
      <c r="K928">
        <v>13.3</v>
      </c>
      <c r="M928">
        <v>5.8</v>
      </c>
      <c r="N928" t="s">
        <v>22</v>
      </c>
      <c r="O928">
        <v>1.4</v>
      </c>
      <c r="P928">
        <v>13.9</v>
      </c>
      <c r="Q928">
        <v>9.5</v>
      </c>
      <c r="R928">
        <v>22.1</v>
      </c>
      <c r="S928">
        <v>15</v>
      </c>
      <c r="T928">
        <v>27.9</v>
      </c>
      <c r="U928">
        <v>34.6</v>
      </c>
      <c r="V928">
        <v>13.4</v>
      </c>
      <c r="W928">
        <v>15.2</v>
      </c>
      <c r="X928">
        <v>14.6</v>
      </c>
      <c r="Y928">
        <v>10.199999999999999</v>
      </c>
      <c r="Z928">
        <v>10.9</v>
      </c>
      <c r="AA928">
        <v>16.7</v>
      </c>
      <c r="AB928">
        <f t="shared" si="28"/>
        <v>256.70000000000005</v>
      </c>
      <c r="AC928">
        <v>267.60000000000002</v>
      </c>
      <c r="AE928">
        <f t="shared" si="29"/>
        <v>12</v>
      </c>
    </row>
    <row r="929" spans="1:31" x14ac:dyDescent="0.25">
      <c r="A929">
        <v>2022</v>
      </c>
      <c r="B929" t="s">
        <v>99</v>
      </c>
      <c r="C929" t="str">
        <f>IF(COUNTIF('Rookies 22-25'!$B$61:$B$125,E929)&gt;0,"(R)","No")</f>
        <v>No</v>
      </c>
      <c r="D929">
        <v>8</v>
      </c>
      <c r="E929" t="s">
        <v>123</v>
      </c>
      <c r="F929" t="s">
        <v>84</v>
      </c>
      <c r="G929">
        <f>VLOOKUP(E929,'22 Draft ADP'!$B$2:$D$510,3,FALSE)</f>
        <v>40</v>
      </c>
      <c r="H929">
        <v>17</v>
      </c>
      <c r="I929">
        <v>17.7</v>
      </c>
      <c r="J929">
        <v>40.1</v>
      </c>
      <c r="K929">
        <v>15.1</v>
      </c>
      <c r="L929">
        <v>5.9</v>
      </c>
      <c r="M929">
        <v>5.3</v>
      </c>
      <c r="N929">
        <v>16.899999999999999</v>
      </c>
      <c r="O929">
        <v>12.8</v>
      </c>
      <c r="P929">
        <v>30.6</v>
      </c>
      <c r="Q929">
        <v>19.5</v>
      </c>
      <c r="R929">
        <v>10.6</v>
      </c>
      <c r="S929" t="s">
        <v>22</v>
      </c>
      <c r="T929">
        <v>13.5</v>
      </c>
      <c r="U929">
        <v>1.9</v>
      </c>
      <c r="V929">
        <v>5.0999999999999996</v>
      </c>
      <c r="W929">
        <v>20.399999999999999</v>
      </c>
      <c r="X929">
        <v>25.3</v>
      </c>
      <c r="Y929">
        <v>8.1999999999999993</v>
      </c>
      <c r="Z929">
        <v>10.3</v>
      </c>
      <c r="AA929">
        <v>15.2</v>
      </c>
      <c r="AB929">
        <f t="shared" si="28"/>
        <v>248.89999999999998</v>
      </c>
      <c r="AC929">
        <v>259.2</v>
      </c>
      <c r="AE929">
        <f t="shared" si="29"/>
        <v>11</v>
      </c>
    </row>
    <row r="930" spans="1:31" x14ac:dyDescent="0.25">
      <c r="A930">
        <v>2022</v>
      </c>
      <c r="B930" t="s">
        <v>99</v>
      </c>
      <c r="C930" t="str">
        <f>IF(COUNTIF('Rookies 22-25'!$B$61:$B$125,E930)&gt;0,"(R)","No")</f>
        <v>No</v>
      </c>
      <c r="D930">
        <v>9</v>
      </c>
      <c r="E930" t="s">
        <v>119</v>
      </c>
      <c r="F930" t="s">
        <v>35</v>
      </c>
      <c r="G930">
        <f>VLOOKUP(E930,'22 Draft ADP'!$B$2:$D$510,3,FALSE)</f>
        <v>85</v>
      </c>
      <c r="H930">
        <v>17</v>
      </c>
      <c r="I930">
        <v>0</v>
      </c>
      <c r="J930">
        <v>15</v>
      </c>
      <c r="K930">
        <v>30.9</v>
      </c>
      <c r="L930">
        <v>4.7</v>
      </c>
      <c r="M930">
        <v>18.7</v>
      </c>
      <c r="N930">
        <v>15.4</v>
      </c>
      <c r="O930" t="s">
        <v>22</v>
      </c>
      <c r="P930">
        <v>7.3</v>
      </c>
      <c r="Q930">
        <v>4.2</v>
      </c>
      <c r="R930">
        <v>13.9</v>
      </c>
      <c r="S930">
        <v>13.8</v>
      </c>
      <c r="T930">
        <v>9</v>
      </c>
      <c r="U930">
        <v>21.2</v>
      </c>
      <c r="V930">
        <v>17.399999999999999</v>
      </c>
      <c r="W930">
        <v>17.600000000000001</v>
      </c>
      <c r="X930">
        <v>31.3</v>
      </c>
      <c r="Y930">
        <v>20.5</v>
      </c>
      <c r="Z930">
        <v>13.7</v>
      </c>
      <c r="AA930">
        <v>15</v>
      </c>
      <c r="AB930">
        <f t="shared" si="28"/>
        <v>240.9</v>
      </c>
      <c r="AC930">
        <v>254.6</v>
      </c>
      <c r="AE930">
        <f t="shared" si="29"/>
        <v>11</v>
      </c>
    </row>
    <row r="931" spans="1:31" x14ac:dyDescent="0.25">
      <c r="A931">
        <v>2022</v>
      </c>
      <c r="B931" t="s">
        <v>99</v>
      </c>
      <c r="C931" t="str">
        <f>IF(COUNTIF('Rookies 22-25'!$B$61:$B$125,E931)&gt;0,"(R)","No")</f>
        <v>No</v>
      </c>
      <c r="D931">
        <v>10</v>
      </c>
      <c r="E931" t="s">
        <v>415</v>
      </c>
      <c r="F931" t="s">
        <v>32</v>
      </c>
      <c r="G931">
        <f>VLOOKUP(E931,'22 Draft ADP'!$B$2:$D$510,3,FALSE)</f>
        <v>79</v>
      </c>
      <c r="H931">
        <v>17</v>
      </c>
      <c r="I931">
        <v>4.7</v>
      </c>
      <c r="J931">
        <v>25.1</v>
      </c>
      <c r="K931">
        <v>23.1</v>
      </c>
      <c r="L931">
        <v>1.9</v>
      </c>
      <c r="M931">
        <v>20.6</v>
      </c>
      <c r="N931">
        <v>14.4</v>
      </c>
      <c r="O931">
        <v>10.4</v>
      </c>
      <c r="P931">
        <v>23.1</v>
      </c>
      <c r="Q931" t="s">
        <v>22</v>
      </c>
      <c r="R931">
        <v>6.2</v>
      </c>
      <c r="S931">
        <v>31.3</v>
      </c>
      <c r="T931">
        <v>16.399999999999999</v>
      </c>
      <c r="U931">
        <v>8</v>
      </c>
      <c r="V931">
        <v>6.2</v>
      </c>
      <c r="W931">
        <v>9.8000000000000007</v>
      </c>
      <c r="X931">
        <v>13.2</v>
      </c>
      <c r="Y931">
        <v>25.5</v>
      </c>
      <c r="Z931">
        <v>7.1</v>
      </c>
      <c r="AA931">
        <v>14.5</v>
      </c>
      <c r="AB931">
        <f t="shared" si="28"/>
        <v>239.9</v>
      </c>
      <c r="AC931">
        <v>247</v>
      </c>
      <c r="AE931">
        <f t="shared" si="29"/>
        <v>10</v>
      </c>
    </row>
    <row r="932" spans="1:31" x14ac:dyDescent="0.25">
      <c r="A932">
        <v>2022</v>
      </c>
      <c r="B932" t="s">
        <v>99</v>
      </c>
      <c r="C932" t="str">
        <f>IF(COUNTIF('Rookies 22-25'!$B$61:$B$125,E932)&gt;0,"(R)","No")</f>
        <v>No</v>
      </c>
      <c r="D932">
        <v>11</v>
      </c>
      <c r="E932" t="s">
        <v>103</v>
      </c>
      <c r="F932" t="s">
        <v>89</v>
      </c>
      <c r="G932">
        <f>VLOOKUP(E932,'22 Draft ADP'!$B$2:$D$510,3,FALSE)</f>
        <v>6</v>
      </c>
      <c r="H932">
        <v>13</v>
      </c>
      <c r="I932">
        <v>28.9</v>
      </c>
      <c r="J932">
        <v>10.8</v>
      </c>
      <c r="K932">
        <v>12.7</v>
      </c>
      <c r="L932">
        <v>12.1</v>
      </c>
      <c r="M932">
        <v>12</v>
      </c>
      <c r="N932">
        <v>32.200000000000003</v>
      </c>
      <c r="O932">
        <v>33</v>
      </c>
      <c r="R932" t="s">
        <v>22</v>
      </c>
      <c r="U932">
        <v>16.7</v>
      </c>
      <c r="V932">
        <v>28.5</v>
      </c>
      <c r="W932">
        <v>19</v>
      </c>
      <c r="X932">
        <v>13.9</v>
      </c>
      <c r="Y932">
        <v>0</v>
      </c>
      <c r="Z932">
        <v>22.6</v>
      </c>
      <c r="AA932">
        <v>18.600000000000001</v>
      </c>
      <c r="AB932">
        <f t="shared" si="28"/>
        <v>219.8</v>
      </c>
      <c r="AC932">
        <v>242.4</v>
      </c>
      <c r="AE932">
        <f t="shared" si="29"/>
        <v>11</v>
      </c>
    </row>
    <row r="933" spans="1:31" x14ac:dyDescent="0.25">
      <c r="A933">
        <v>2022</v>
      </c>
      <c r="B933" t="s">
        <v>99</v>
      </c>
      <c r="C933" t="str">
        <f>IF(COUNTIF('Rookies 22-25'!$B$61:$B$125,E933)&gt;0,"(R)","No")</f>
        <v>No</v>
      </c>
      <c r="D933">
        <v>12</v>
      </c>
      <c r="E933" t="s">
        <v>200</v>
      </c>
      <c r="F933" t="s">
        <v>67</v>
      </c>
      <c r="G933">
        <f>VLOOKUP(E933,'22 Draft ADP'!$B$2:$D$510,3,FALSE)</f>
        <v>81</v>
      </c>
      <c r="H933">
        <v>17</v>
      </c>
      <c r="I933">
        <v>17.7</v>
      </c>
      <c r="J933">
        <v>25.8</v>
      </c>
      <c r="K933">
        <v>19.2</v>
      </c>
      <c r="L933">
        <v>8.3000000000000007</v>
      </c>
      <c r="M933">
        <v>2.1</v>
      </c>
      <c r="N933">
        <v>10.8</v>
      </c>
      <c r="O933">
        <v>17.100000000000001</v>
      </c>
      <c r="P933">
        <v>7</v>
      </c>
      <c r="Q933">
        <v>21.6</v>
      </c>
      <c r="R933">
        <v>31.5</v>
      </c>
      <c r="S933" t="s">
        <v>22</v>
      </c>
      <c r="T933">
        <v>8.1</v>
      </c>
      <c r="U933">
        <v>16.399999999999999</v>
      </c>
      <c r="V933">
        <v>9.5</v>
      </c>
      <c r="W933">
        <v>15.2</v>
      </c>
      <c r="X933">
        <v>5.6</v>
      </c>
      <c r="Y933">
        <v>4.0999999999999996</v>
      </c>
      <c r="Z933">
        <v>21.9</v>
      </c>
      <c r="AA933">
        <v>14.2</v>
      </c>
      <c r="AB933">
        <f t="shared" si="28"/>
        <v>220</v>
      </c>
      <c r="AC933">
        <v>241.9</v>
      </c>
      <c r="AE933">
        <f t="shared" si="29"/>
        <v>9</v>
      </c>
    </row>
    <row r="934" spans="1:31" x14ac:dyDescent="0.25">
      <c r="A934">
        <v>2022</v>
      </c>
      <c r="B934" t="s">
        <v>99</v>
      </c>
      <c r="C934" t="str">
        <f>IF(COUNTIF('Rookies 22-25'!$B$61:$B$125,E934)&gt;0,"(R)","No")</f>
        <v>No</v>
      </c>
      <c r="D934">
        <v>13</v>
      </c>
      <c r="E934" t="s">
        <v>186</v>
      </c>
      <c r="F934" t="s">
        <v>49</v>
      </c>
      <c r="G934">
        <f>VLOOKUP(E934,'22 Draft ADP'!$B$2:$D$510,3,FALSE)</f>
        <v>104</v>
      </c>
      <c r="H934">
        <v>16</v>
      </c>
      <c r="I934">
        <v>5.8</v>
      </c>
      <c r="J934">
        <v>19.7</v>
      </c>
      <c r="K934">
        <v>16.600000000000001</v>
      </c>
      <c r="L934">
        <v>13.1</v>
      </c>
      <c r="M934">
        <v>27.4</v>
      </c>
      <c r="N934">
        <v>3.7</v>
      </c>
      <c r="O934">
        <v>11.5</v>
      </c>
      <c r="P934">
        <v>15.3</v>
      </c>
      <c r="Q934">
        <v>17.7</v>
      </c>
      <c r="R934">
        <v>13.2</v>
      </c>
      <c r="S934" t="s">
        <v>22</v>
      </c>
      <c r="T934">
        <v>15.8</v>
      </c>
      <c r="U934">
        <v>27.8</v>
      </c>
      <c r="V934">
        <v>17</v>
      </c>
      <c r="W934">
        <v>13.8</v>
      </c>
      <c r="Y934">
        <v>3.5</v>
      </c>
      <c r="Z934">
        <v>15.4</v>
      </c>
      <c r="AA934">
        <v>14.8</v>
      </c>
      <c r="AB934">
        <f t="shared" si="28"/>
        <v>221.9</v>
      </c>
      <c r="AC934">
        <v>237.3</v>
      </c>
      <c r="AE934">
        <f t="shared" si="29"/>
        <v>12</v>
      </c>
    </row>
    <row r="935" spans="1:31" x14ac:dyDescent="0.25">
      <c r="A935">
        <v>2022</v>
      </c>
      <c r="B935" t="s">
        <v>99</v>
      </c>
      <c r="C935" t="str">
        <f>IF(COUNTIF('Rookies 22-25'!$B$61:$B$125,E935)&gt;0,"(R)","No")</f>
        <v>No</v>
      </c>
      <c r="D935">
        <v>14</v>
      </c>
      <c r="E935" t="s">
        <v>155</v>
      </c>
      <c r="F935" t="s">
        <v>59</v>
      </c>
      <c r="G935">
        <f>VLOOKUP(E935,'22 Draft ADP'!$B$2:$D$510,3,FALSE)</f>
        <v>41</v>
      </c>
      <c r="H935">
        <v>17</v>
      </c>
      <c r="I935">
        <v>13.8</v>
      </c>
      <c r="J935">
        <v>12.2</v>
      </c>
      <c r="K935">
        <v>16.2</v>
      </c>
      <c r="L935">
        <v>3.5</v>
      </c>
      <c r="M935">
        <v>12.6</v>
      </c>
      <c r="N935">
        <v>8.1999999999999993</v>
      </c>
      <c r="O935">
        <v>18.3</v>
      </c>
      <c r="P935">
        <v>16.600000000000001</v>
      </c>
      <c r="Q935">
        <v>10.6</v>
      </c>
      <c r="R935">
        <v>20.8</v>
      </c>
      <c r="S935">
        <v>9.6</v>
      </c>
      <c r="T935">
        <v>9.3000000000000007</v>
      </c>
      <c r="U935">
        <v>24.5</v>
      </c>
      <c r="V935" t="s">
        <v>22</v>
      </c>
      <c r="W935">
        <v>13</v>
      </c>
      <c r="X935">
        <v>17.7</v>
      </c>
      <c r="Y935">
        <v>5.7</v>
      </c>
      <c r="Z935">
        <v>16.399999999999999</v>
      </c>
      <c r="AA935">
        <v>13.5</v>
      </c>
      <c r="AB935">
        <f t="shared" si="28"/>
        <v>212.6</v>
      </c>
      <c r="AC935">
        <v>229</v>
      </c>
      <c r="AE935">
        <f t="shared" si="29"/>
        <v>11</v>
      </c>
    </row>
    <row r="936" spans="1:31" x14ac:dyDescent="0.25">
      <c r="A936">
        <v>2022</v>
      </c>
      <c r="B936" t="s">
        <v>99</v>
      </c>
      <c r="C936" t="str">
        <f>IF(COUNTIF('Rookies 22-25'!$B$61:$B$125,E936)&gt;0,"(R)","No")</f>
        <v>No</v>
      </c>
      <c r="D936">
        <v>15</v>
      </c>
      <c r="E936" t="s">
        <v>426</v>
      </c>
      <c r="F936" t="s">
        <v>47</v>
      </c>
      <c r="G936">
        <f>VLOOKUP(E936,'22 Draft ADP'!$B$2:$D$510,3,FALSE)</f>
        <v>76</v>
      </c>
      <c r="H936">
        <v>17</v>
      </c>
      <c r="I936">
        <v>6.7</v>
      </c>
      <c r="J936">
        <v>11.3</v>
      </c>
      <c r="K936">
        <v>12.9</v>
      </c>
      <c r="L936">
        <v>7.7</v>
      </c>
      <c r="M936">
        <v>8.8000000000000007</v>
      </c>
      <c r="N936">
        <v>28.3</v>
      </c>
      <c r="O936">
        <v>15.2</v>
      </c>
      <c r="P936">
        <v>20.100000000000001</v>
      </c>
      <c r="Q936" t="s">
        <v>22</v>
      </c>
      <c r="R936">
        <v>12.4</v>
      </c>
      <c r="S936">
        <v>16</v>
      </c>
      <c r="T936">
        <v>11.5</v>
      </c>
      <c r="U936">
        <v>9.6</v>
      </c>
      <c r="V936">
        <v>13.7</v>
      </c>
      <c r="W936">
        <v>3.9</v>
      </c>
      <c r="X936">
        <v>13.1</v>
      </c>
      <c r="Y936">
        <v>26.7</v>
      </c>
      <c r="Z936">
        <v>9.9</v>
      </c>
      <c r="AA936">
        <v>13.4</v>
      </c>
      <c r="AB936">
        <f t="shared" si="28"/>
        <v>217.9</v>
      </c>
      <c r="AC936">
        <v>227.8</v>
      </c>
      <c r="AE936">
        <f t="shared" si="29"/>
        <v>11</v>
      </c>
    </row>
    <row r="937" spans="1:31" x14ac:dyDescent="0.25">
      <c r="A937">
        <v>2022</v>
      </c>
      <c r="B937" t="s">
        <v>99</v>
      </c>
      <c r="C937" t="str">
        <f>IF(COUNTIF('Rookies 22-25'!$B$61:$B$125,E937)&gt;0,"(R)","No")</f>
        <v>No</v>
      </c>
      <c r="D937">
        <v>16</v>
      </c>
      <c r="E937" t="s">
        <v>125</v>
      </c>
      <c r="F937" t="s">
        <v>49</v>
      </c>
      <c r="G937">
        <f>VLOOKUP(E937,'22 Draft ADP'!$B$2:$D$510,3,FALSE)</f>
        <v>56</v>
      </c>
      <c r="H937">
        <v>17</v>
      </c>
      <c r="I937">
        <v>8.6</v>
      </c>
      <c r="J937">
        <v>7.5</v>
      </c>
      <c r="K937">
        <v>17.399999999999999</v>
      </c>
      <c r="L937">
        <v>21.9</v>
      </c>
      <c r="M937">
        <v>17.8</v>
      </c>
      <c r="N937">
        <v>5.4</v>
      </c>
      <c r="O937">
        <v>2.2000000000000002</v>
      </c>
      <c r="P937">
        <v>17.5</v>
      </c>
      <c r="Q937">
        <v>14.7</v>
      </c>
      <c r="R937">
        <v>13.1</v>
      </c>
      <c r="S937" t="s">
        <v>22</v>
      </c>
      <c r="T937">
        <v>20</v>
      </c>
      <c r="U937">
        <v>26.7</v>
      </c>
      <c r="V937">
        <v>18.100000000000001</v>
      </c>
      <c r="W937">
        <v>12.5</v>
      </c>
      <c r="X937">
        <v>15.1</v>
      </c>
      <c r="Y937">
        <v>1.3</v>
      </c>
      <c r="Z937">
        <v>7</v>
      </c>
      <c r="AA937">
        <v>13.3</v>
      </c>
      <c r="AB937">
        <f t="shared" si="28"/>
        <v>219.8</v>
      </c>
      <c r="AC937">
        <v>226.8</v>
      </c>
      <c r="AE937">
        <f t="shared" si="29"/>
        <v>11</v>
      </c>
    </row>
    <row r="938" spans="1:31" x14ac:dyDescent="0.25">
      <c r="A938">
        <v>2022</v>
      </c>
      <c r="B938" t="s">
        <v>99</v>
      </c>
      <c r="C938" t="str">
        <f>IF(COUNTIF('Rookies 22-25'!$B$61:$B$125,E938)&gt;0,"(R)","No")</f>
        <v>No</v>
      </c>
      <c r="D938">
        <v>17</v>
      </c>
      <c r="E938" t="s">
        <v>174</v>
      </c>
      <c r="F938" t="s">
        <v>65</v>
      </c>
      <c r="G938">
        <f>VLOOKUP(E938,'22 Draft ADP'!$B$2:$D$510,3,FALSE)</f>
        <v>26</v>
      </c>
      <c r="H938">
        <v>15</v>
      </c>
      <c r="I938">
        <v>18.100000000000001</v>
      </c>
      <c r="J938">
        <v>9.1</v>
      </c>
      <c r="L938">
        <v>30.3</v>
      </c>
      <c r="M938">
        <v>12.1</v>
      </c>
      <c r="N938">
        <v>8.1999999999999993</v>
      </c>
      <c r="O938">
        <v>18.600000000000001</v>
      </c>
      <c r="P938">
        <v>18.3</v>
      </c>
      <c r="Q938">
        <v>9</v>
      </c>
      <c r="R938">
        <v>10.4</v>
      </c>
      <c r="S938" t="s">
        <v>22</v>
      </c>
      <c r="T938">
        <v>5.0999999999999996</v>
      </c>
      <c r="U938">
        <v>9.9</v>
      </c>
      <c r="V938">
        <v>8.4</v>
      </c>
      <c r="W938">
        <v>13.3</v>
      </c>
      <c r="X938">
        <v>5.9</v>
      </c>
      <c r="Y938">
        <v>48.7</v>
      </c>
      <c r="AA938">
        <v>15</v>
      </c>
      <c r="AB938">
        <f t="shared" si="28"/>
        <v>225.4</v>
      </c>
      <c r="AC938">
        <v>225.4</v>
      </c>
      <c r="AE938">
        <f t="shared" si="29"/>
        <v>8</v>
      </c>
    </row>
    <row r="939" spans="1:31" x14ac:dyDescent="0.25">
      <c r="A939">
        <v>2022</v>
      </c>
      <c r="B939" t="s">
        <v>99</v>
      </c>
      <c r="C939" t="str">
        <f>IF(COUNTIF('Rookies 22-25'!$B$61:$B$125,E939)&gt;0,"(R)","No")</f>
        <v>No</v>
      </c>
      <c r="D939">
        <v>18</v>
      </c>
      <c r="E939" t="s">
        <v>114</v>
      </c>
      <c r="F939" t="s">
        <v>89</v>
      </c>
      <c r="G939">
        <f>VLOOKUP(E939,'22 Draft ADP'!$B$2:$D$510,3,FALSE)</f>
        <v>30</v>
      </c>
      <c r="H939">
        <v>15</v>
      </c>
      <c r="I939">
        <v>4.7</v>
      </c>
      <c r="J939">
        <v>19.100000000000001</v>
      </c>
      <c r="K939">
        <v>14.3</v>
      </c>
      <c r="L939">
        <v>25.4</v>
      </c>
      <c r="N939">
        <v>10.7</v>
      </c>
      <c r="O939">
        <v>14.3</v>
      </c>
      <c r="P939">
        <v>13.9</v>
      </c>
      <c r="Q939">
        <v>13</v>
      </c>
      <c r="R939" t="s">
        <v>22</v>
      </c>
      <c r="S939">
        <v>23.8</v>
      </c>
      <c r="T939">
        <v>24.4</v>
      </c>
      <c r="U939">
        <v>12.5</v>
      </c>
      <c r="W939">
        <v>16.3</v>
      </c>
      <c r="X939">
        <v>26.8</v>
      </c>
      <c r="Y939">
        <v>2.2999999999999998</v>
      </c>
      <c r="Z939">
        <v>1.7</v>
      </c>
      <c r="AA939">
        <v>14.9</v>
      </c>
      <c r="AB939">
        <f t="shared" si="28"/>
        <v>221.5</v>
      </c>
      <c r="AC939">
        <v>223.2</v>
      </c>
      <c r="AE939">
        <f t="shared" si="29"/>
        <v>12</v>
      </c>
    </row>
    <row r="940" spans="1:31" x14ac:dyDescent="0.25">
      <c r="A940">
        <v>2022</v>
      </c>
      <c r="B940" t="s">
        <v>99</v>
      </c>
      <c r="C940" t="str">
        <f>IF(COUNTIF('Rookies 22-25'!$B$61:$B$125,E940)&gt;0,"(R)","No")</f>
        <v>No</v>
      </c>
      <c r="D940">
        <v>19</v>
      </c>
      <c r="E940" t="s">
        <v>1480</v>
      </c>
      <c r="F940" t="s">
        <v>65</v>
      </c>
      <c r="G940">
        <f>VLOOKUP(E940,'22 Draft ADP'!$B$2:$D$510,3,FALSE)</f>
        <v>57</v>
      </c>
      <c r="H940">
        <v>15</v>
      </c>
      <c r="I940">
        <v>6.5</v>
      </c>
      <c r="L940">
        <v>12.9</v>
      </c>
      <c r="M940">
        <v>12.3</v>
      </c>
      <c r="N940">
        <v>15.5</v>
      </c>
      <c r="O940">
        <v>11.5</v>
      </c>
      <c r="P940">
        <v>13.5</v>
      </c>
      <c r="Q940">
        <v>10.7</v>
      </c>
      <c r="R940">
        <v>19.100000000000001</v>
      </c>
      <c r="S940" t="s">
        <v>22</v>
      </c>
      <c r="T940">
        <v>29</v>
      </c>
      <c r="U940">
        <v>14.3</v>
      </c>
      <c r="V940">
        <v>10.4</v>
      </c>
      <c r="W940">
        <v>22.3</v>
      </c>
      <c r="X940">
        <v>14.3</v>
      </c>
      <c r="Y940">
        <v>21</v>
      </c>
      <c r="Z940">
        <v>9.5</v>
      </c>
      <c r="AA940">
        <v>14.9</v>
      </c>
      <c r="AB940">
        <f t="shared" si="28"/>
        <v>213.3</v>
      </c>
      <c r="AC940">
        <v>222.8</v>
      </c>
      <c r="AE940">
        <f t="shared" si="29"/>
        <v>13</v>
      </c>
    </row>
    <row r="941" spans="1:31" x14ac:dyDescent="0.25">
      <c r="A941">
        <v>2022</v>
      </c>
      <c r="B941" t="s">
        <v>99</v>
      </c>
      <c r="C941" t="str">
        <f>IF(COUNTIF('Rookies 22-25'!$B$61:$B$125,E941)&gt;0,"(R)","No")</f>
        <v>No</v>
      </c>
      <c r="D941">
        <v>20</v>
      </c>
      <c r="E941" t="s">
        <v>117</v>
      </c>
      <c r="F941" t="s">
        <v>28</v>
      </c>
      <c r="G941">
        <f>VLOOKUP(E941,'22 Draft ADP'!$B$2:$D$510,3,FALSE)</f>
        <v>29</v>
      </c>
      <c r="H941">
        <v>16</v>
      </c>
      <c r="I941">
        <v>27.1</v>
      </c>
      <c r="K941">
        <v>15.2</v>
      </c>
      <c r="L941">
        <v>6.1</v>
      </c>
      <c r="M941">
        <v>10.9</v>
      </c>
      <c r="N941">
        <v>26.4</v>
      </c>
      <c r="O941">
        <v>9.8000000000000007</v>
      </c>
      <c r="P941">
        <v>12.3</v>
      </c>
      <c r="Q941">
        <v>5.2</v>
      </c>
      <c r="R941">
        <v>12.3</v>
      </c>
      <c r="S941">
        <v>13.5</v>
      </c>
      <c r="T941">
        <v>19.100000000000001</v>
      </c>
      <c r="U941">
        <v>3.6</v>
      </c>
      <c r="V941" t="s">
        <v>22</v>
      </c>
      <c r="W941">
        <v>19</v>
      </c>
      <c r="X941">
        <v>7.9</v>
      </c>
      <c r="Y941">
        <v>16.100000000000001</v>
      </c>
      <c r="Z941">
        <v>12</v>
      </c>
      <c r="AA941">
        <v>13.5</v>
      </c>
      <c r="AB941">
        <f t="shared" si="28"/>
        <v>204.5</v>
      </c>
      <c r="AC941">
        <v>216.5</v>
      </c>
      <c r="AE941">
        <f t="shared" si="29"/>
        <v>10</v>
      </c>
    </row>
    <row r="942" spans="1:31" x14ac:dyDescent="0.25">
      <c r="A942">
        <v>2022</v>
      </c>
      <c r="B942" t="s">
        <v>99</v>
      </c>
      <c r="C942" t="str">
        <f>IF(COUNTIF('Rookies 22-25'!$B$61:$B$125,E942)&gt;0,"(R)","No")</f>
        <v>(R)</v>
      </c>
      <c r="D942">
        <v>21</v>
      </c>
      <c r="E942" t="s">
        <v>161</v>
      </c>
      <c r="F942" t="s">
        <v>82</v>
      </c>
      <c r="G942">
        <f>VLOOKUP(E942,'22 Draft ADP'!$B$2:$D$510,3,FALSE)</f>
        <v>129</v>
      </c>
      <c r="H942">
        <v>17</v>
      </c>
      <c r="I942">
        <v>9.1999999999999993</v>
      </c>
      <c r="J942">
        <v>30</v>
      </c>
      <c r="K942">
        <v>12</v>
      </c>
      <c r="L942">
        <v>6.1</v>
      </c>
      <c r="M942">
        <v>5.7</v>
      </c>
      <c r="N942">
        <v>1.8</v>
      </c>
      <c r="O942">
        <v>6.4</v>
      </c>
      <c r="P942">
        <v>17.5</v>
      </c>
      <c r="Q942">
        <v>17.899999999999999</v>
      </c>
      <c r="R942" t="s">
        <v>22</v>
      </c>
      <c r="S942">
        <v>3.2</v>
      </c>
      <c r="T942">
        <v>26.4</v>
      </c>
      <c r="U942">
        <v>24.2</v>
      </c>
      <c r="V942">
        <v>13.8</v>
      </c>
      <c r="W942">
        <v>13.8</v>
      </c>
      <c r="X942">
        <v>5</v>
      </c>
      <c r="Y942">
        <v>4.8</v>
      </c>
      <c r="Z942">
        <v>17.899999999999999</v>
      </c>
      <c r="AA942">
        <v>12.7</v>
      </c>
      <c r="AB942">
        <f t="shared" si="28"/>
        <v>197.79999999999998</v>
      </c>
      <c r="AC942">
        <v>215.7</v>
      </c>
      <c r="AE942">
        <f t="shared" si="29"/>
        <v>8</v>
      </c>
    </row>
    <row r="943" spans="1:31" x14ac:dyDescent="0.25">
      <c r="A943">
        <v>2022</v>
      </c>
      <c r="B943" t="s">
        <v>99</v>
      </c>
      <c r="C943" t="str">
        <f>IF(COUNTIF('Rookies 22-25'!$B$61:$B$125,E943)&gt;0,"(R)","No")</f>
        <v>No</v>
      </c>
      <c r="D943">
        <v>22</v>
      </c>
      <c r="E943" t="s">
        <v>151</v>
      </c>
      <c r="F943" t="s">
        <v>78</v>
      </c>
      <c r="G943">
        <f>VLOOKUP(E943,'22 Draft ADP'!$B$2:$D$510,3,FALSE)</f>
        <v>60</v>
      </c>
      <c r="H943">
        <v>15</v>
      </c>
      <c r="I943">
        <v>20.2</v>
      </c>
      <c r="J943">
        <v>2.2000000000000002</v>
      </c>
      <c r="K943">
        <v>3.7</v>
      </c>
      <c r="L943">
        <v>15.3</v>
      </c>
      <c r="M943">
        <v>8.3000000000000007</v>
      </c>
      <c r="N943">
        <v>8.4</v>
      </c>
      <c r="O943">
        <v>16.600000000000001</v>
      </c>
      <c r="P943">
        <v>18.3</v>
      </c>
      <c r="Q943" t="s">
        <v>22</v>
      </c>
      <c r="R943">
        <v>0</v>
      </c>
      <c r="U943">
        <v>10.5</v>
      </c>
      <c r="V943">
        <v>33.299999999999997</v>
      </c>
      <c r="W943">
        <v>14.6</v>
      </c>
      <c r="X943">
        <v>17.7</v>
      </c>
      <c r="Y943">
        <v>10.8</v>
      </c>
      <c r="Z943">
        <v>24.3</v>
      </c>
      <c r="AA943">
        <v>13.6</v>
      </c>
      <c r="AB943">
        <f t="shared" si="28"/>
        <v>179.89999999999998</v>
      </c>
      <c r="AC943">
        <v>204.2</v>
      </c>
      <c r="AE943">
        <f t="shared" si="29"/>
        <v>9</v>
      </c>
    </row>
    <row r="944" spans="1:31" x14ac:dyDescent="0.25">
      <c r="A944">
        <v>2022</v>
      </c>
      <c r="B944" t="s">
        <v>99</v>
      </c>
      <c r="C944" t="str">
        <f>IF(COUNTIF('Rookies 22-25'!$B$61:$B$125,E944)&gt;0,"(R)","No")</f>
        <v>No</v>
      </c>
      <c r="D944">
        <v>23</v>
      </c>
      <c r="E944" t="s">
        <v>152</v>
      </c>
      <c r="F944" t="s">
        <v>55</v>
      </c>
      <c r="G944">
        <f>VLOOKUP(E944,'22 Draft ADP'!$B$2:$D$510,3,FALSE)</f>
        <v>4</v>
      </c>
      <c r="H944">
        <v>9</v>
      </c>
      <c r="I944">
        <v>31.8</v>
      </c>
      <c r="J944">
        <v>31.8</v>
      </c>
      <c r="K944">
        <v>16.399999999999999</v>
      </c>
      <c r="L944">
        <v>26.2</v>
      </c>
      <c r="M944">
        <v>25.9</v>
      </c>
      <c r="N944">
        <v>16.7</v>
      </c>
      <c r="O944" t="s">
        <v>22</v>
      </c>
      <c r="P944">
        <v>22.9</v>
      </c>
      <c r="Q944">
        <v>26.8</v>
      </c>
      <c r="R944">
        <v>2.9</v>
      </c>
      <c r="AA944">
        <v>22.4</v>
      </c>
      <c r="AB944">
        <f t="shared" si="28"/>
        <v>201.4</v>
      </c>
      <c r="AC944">
        <v>201.4</v>
      </c>
      <c r="AE944">
        <f t="shared" si="29"/>
        <v>8</v>
      </c>
    </row>
    <row r="945" spans="1:31" x14ac:dyDescent="0.25">
      <c r="A945">
        <v>2022</v>
      </c>
      <c r="B945" t="s">
        <v>99</v>
      </c>
      <c r="C945" t="str">
        <f>IF(COUNTIF('Rookies 22-25'!$B$61:$B$125,E945)&gt;0,"(R)","No")</f>
        <v>No</v>
      </c>
      <c r="D945">
        <v>24</v>
      </c>
      <c r="E945" t="s">
        <v>134</v>
      </c>
      <c r="F945" t="s">
        <v>95</v>
      </c>
      <c r="G945">
        <f>VLOOKUP(E945,'22 Draft ADP'!$B$2:$D$510,3,FALSE)</f>
        <v>33</v>
      </c>
      <c r="H945">
        <v>17</v>
      </c>
      <c r="I945">
        <v>8</v>
      </c>
      <c r="J945">
        <v>13.3</v>
      </c>
      <c r="K945">
        <v>2.5</v>
      </c>
      <c r="L945">
        <v>12.1</v>
      </c>
      <c r="M945">
        <v>10.7</v>
      </c>
      <c r="N945">
        <v>3.7</v>
      </c>
      <c r="O945">
        <v>19.600000000000001</v>
      </c>
      <c r="P945">
        <v>27.5</v>
      </c>
      <c r="Q945">
        <v>4.4000000000000004</v>
      </c>
      <c r="R945">
        <v>6.9</v>
      </c>
      <c r="S945">
        <v>5.4</v>
      </c>
      <c r="T945">
        <v>20.3</v>
      </c>
      <c r="U945" t="s">
        <v>22</v>
      </c>
      <c r="V945">
        <v>0.6</v>
      </c>
      <c r="W945">
        <v>18.3</v>
      </c>
      <c r="X945">
        <v>20.100000000000001</v>
      </c>
      <c r="Y945">
        <v>23.7</v>
      </c>
      <c r="Z945">
        <v>2</v>
      </c>
      <c r="AA945">
        <v>11.7</v>
      </c>
      <c r="AB945">
        <f t="shared" si="28"/>
        <v>197.1</v>
      </c>
      <c r="AC945">
        <v>199.1</v>
      </c>
      <c r="AE945">
        <f t="shared" si="29"/>
        <v>9</v>
      </c>
    </row>
    <row r="946" spans="1:31" x14ac:dyDescent="0.25">
      <c r="A946">
        <v>2022</v>
      </c>
      <c r="B946" t="s">
        <v>99</v>
      </c>
      <c r="C946" t="str">
        <f>IF(COUNTIF('Rookies 22-25'!$B$61:$B$125,E946)&gt;0,"(R)","No")</f>
        <v>(R)</v>
      </c>
      <c r="D946">
        <v>25</v>
      </c>
      <c r="E946" t="s">
        <v>105</v>
      </c>
      <c r="F946" t="s">
        <v>37</v>
      </c>
      <c r="G946">
        <f>VLOOKUP(E946,'22 Draft ADP'!$B$2:$D$510,3,FALSE)</f>
        <v>97</v>
      </c>
      <c r="H946">
        <v>15</v>
      </c>
      <c r="I946">
        <v>9.1</v>
      </c>
      <c r="J946">
        <v>11</v>
      </c>
      <c r="K946">
        <v>23.7</v>
      </c>
      <c r="L946">
        <v>16.7</v>
      </c>
      <c r="M946">
        <v>15.4</v>
      </c>
      <c r="O946">
        <v>17.600000000000001</v>
      </c>
      <c r="P946">
        <v>10.199999999999999</v>
      </c>
      <c r="Q946">
        <v>13.1</v>
      </c>
      <c r="R946">
        <v>7</v>
      </c>
      <c r="S946">
        <v>21.2</v>
      </c>
      <c r="T946">
        <v>11.2</v>
      </c>
      <c r="U946">
        <v>10.5</v>
      </c>
      <c r="V946" t="s">
        <v>22</v>
      </c>
      <c r="W946">
        <v>8.3000000000000007</v>
      </c>
      <c r="Y946">
        <v>8.1999999999999993</v>
      </c>
      <c r="Z946">
        <v>15</v>
      </c>
      <c r="AA946">
        <v>13.2</v>
      </c>
      <c r="AB946">
        <f t="shared" si="28"/>
        <v>183.2</v>
      </c>
      <c r="AC946">
        <v>198.2</v>
      </c>
      <c r="AE946">
        <f t="shared" si="29"/>
        <v>10</v>
      </c>
    </row>
    <row r="947" spans="1:31" x14ac:dyDescent="0.25">
      <c r="A947">
        <v>2022</v>
      </c>
      <c r="B947" t="s">
        <v>99</v>
      </c>
      <c r="C947" t="str">
        <f>IF(COUNTIF('Rookies 22-25'!$B$61:$B$125,E947)&gt;0,"(R)","No")</f>
        <v>No</v>
      </c>
      <c r="D947">
        <v>26</v>
      </c>
      <c r="E947" t="s">
        <v>468</v>
      </c>
      <c r="F947" t="s">
        <v>67</v>
      </c>
      <c r="G947">
        <f>VLOOKUP(E947,'22 Draft ADP'!$B$2:$D$510,3,FALSE)</f>
        <v>195</v>
      </c>
      <c r="H947">
        <v>16</v>
      </c>
      <c r="I947">
        <v>12.5</v>
      </c>
      <c r="J947">
        <v>5.3</v>
      </c>
      <c r="K947">
        <v>24.5</v>
      </c>
      <c r="M947">
        <v>4.2</v>
      </c>
      <c r="N947">
        <v>9.1999999999999993</v>
      </c>
      <c r="O947">
        <v>10.8</v>
      </c>
      <c r="P947">
        <v>6.5</v>
      </c>
      <c r="Q947">
        <v>9</v>
      </c>
      <c r="R947">
        <v>14.8</v>
      </c>
      <c r="S947" t="s">
        <v>22</v>
      </c>
      <c r="T947">
        <v>27.5</v>
      </c>
      <c r="U947">
        <v>3.6</v>
      </c>
      <c r="V947">
        <v>21.7</v>
      </c>
      <c r="W947">
        <v>34.9</v>
      </c>
      <c r="X947">
        <v>2.1</v>
      </c>
      <c r="Y947">
        <v>5.4</v>
      </c>
      <c r="Z947">
        <v>6.1</v>
      </c>
      <c r="AA947">
        <v>12.4</v>
      </c>
      <c r="AB947">
        <f t="shared" si="28"/>
        <v>192</v>
      </c>
      <c r="AC947">
        <v>198.1</v>
      </c>
      <c r="AE947">
        <f t="shared" si="29"/>
        <v>7</v>
      </c>
    </row>
    <row r="948" spans="1:31" x14ac:dyDescent="0.25">
      <c r="A948">
        <v>2022</v>
      </c>
      <c r="B948" t="s">
        <v>99</v>
      </c>
      <c r="C948" t="str">
        <f>IF(COUNTIF('Rookies 22-25'!$B$61:$B$125,E948)&gt;0,"(R)","No")</f>
        <v>No</v>
      </c>
      <c r="D948">
        <v>27</v>
      </c>
      <c r="E948" t="s">
        <v>185</v>
      </c>
      <c r="F948" t="s">
        <v>26</v>
      </c>
      <c r="G948">
        <f>VLOOKUP(E948,'22 Draft ADP'!$B$2:$D$510,3,FALSE)</f>
        <v>55</v>
      </c>
      <c r="H948">
        <v>16</v>
      </c>
      <c r="I948">
        <v>11.9</v>
      </c>
      <c r="J948">
        <v>4</v>
      </c>
      <c r="K948">
        <v>13.9</v>
      </c>
      <c r="L948">
        <v>9.6</v>
      </c>
      <c r="M948">
        <v>6.3</v>
      </c>
      <c r="N948">
        <v>22.3</v>
      </c>
      <c r="O948">
        <v>25.4</v>
      </c>
      <c r="P948" t="s">
        <v>22</v>
      </c>
      <c r="Q948">
        <v>18.8</v>
      </c>
      <c r="R948">
        <v>5.3</v>
      </c>
      <c r="T948">
        <v>6.8</v>
      </c>
      <c r="U948">
        <v>6.5</v>
      </c>
      <c r="V948">
        <v>22.4</v>
      </c>
      <c r="W948">
        <v>16.8</v>
      </c>
      <c r="X948">
        <v>5.7</v>
      </c>
      <c r="Y948">
        <v>4.0999999999999996</v>
      </c>
      <c r="Z948">
        <v>5.5</v>
      </c>
      <c r="AA948">
        <v>11.6</v>
      </c>
      <c r="AB948">
        <f t="shared" si="28"/>
        <v>179.8</v>
      </c>
      <c r="AC948">
        <v>185.3</v>
      </c>
      <c r="AE948">
        <f t="shared" si="29"/>
        <v>7</v>
      </c>
    </row>
    <row r="949" spans="1:31" x14ac:dyDescent="0.25">
      <c r="A949">
        <v>2022</v>
      </c>
      <c r="B949" t="s">
        <v>99</v>
      </c>
      <c r="C949" t="str">
        <f>IF(COUNTIF('Rookies 22-25'!$B$61:$B$125,E949)&gt;0,"(R)","No")</f>
        <v>No</v>
      </c>
      <c r="D949">
        <v>28</v>
      </c>
      <c r="E949" t="s">
        <v>418</v>
      </c>
      <c r="F949" t="s">
        <v>71</v>
      </c>
      <c r="G949">
        <f>VLOOKUP(E949,'22 Draft ADP'!$B$2:$D$510,3,FALSE)</f>
        <v>44</v>
      </c>
      <c r="H949">
        <v>17</v>
      </c>
      <c r="I949">
        <v>12.5</v>
      </c>
      <c r="J949">
        <v>13.7</v>
      </c>
      <c r="K949">
        <v>16.399999999999999</v>
      </c>
      <c r="L949">
        <v>4.2</v>
      </c>
      <c r="M949">
        <v>11</v>
      </c>
      <c r="N949">
        <v>8.6</v>
      </c>
      <c r="O949">
        <v>9.5</v>
      </c>
      <c r="P949">
        <v>8.5</v>
      </c>
      <c r="Q949" t="s">
        <v>22</v>
      </c>
      <c r="R949">
        <v>10.3</v>
      </c>
      <c r="S949">
        <v>6.2</v>
      </c>
      <c r="T949">
        <v>9.9</v>
      </c>
      <c r="U949">
        <v>11</v>
      </c>
      <c r="V949">
        <v>14.2</v>
      </c>
      <c r="W949">
        <v>20</v>
      </c>
      <c r="X949">
        <v>11.4</v>
      </c>
      <c r="Y949">
        <v>5.5</v>
      </c>
      <c r="Z949">
        <v>7.8</v>
      </c>
      <c r="AA949">
        <v>10.6</v>
      </c>
      <c r="AB949">
        <f t="shared" si="28"/>
        <v>172.89999999999998</v>
      </c>
      <c r="AC949">
        <v>180.7</v>
      </c>
      <c r="AE949">
        <f t="shared" si="29"/>
        <v>9</v>
      </c>
    </row>
    <row r="950" spans="1:31" x14ac:dyDescent="0.25">
      <c r="A950">
        <v>2022</v>
      </c>
      <c r="B950" t="s">
        <v>99</v>
      </c>
      <c r="C950" t="str">
        <f>IF(COUNTIF('Rookies 22-25'!$B$61:$B$125,E950)&gt;0,"(R)","No")</f>
        <v>No</v>
      </c>
      <c r="D950">
        <v>29</v>
      </c>
      <c r="E950" t="s">
        <v>131</v>
      </c>
      <c r="F950" t="s">
        <v>510</v>
      </c>
      <c r="G950">
        <f>VLOOKUP(E950,'22 Draft ADP'!$B$2:$D$510,3,FALSE)</f>
        <v>135</v>
      </c>
      <c r="H950">
        <v>14</v>
      </c>
      <c r="I950">
        <v>10.199999999999999</v>
      </c>
      <c r="J950">
        <v>18.5</v>
      </c>
      <c r="M950">
        <v>24.1</v>
      </c>
      <c r="N950">
        <v>10</v>
      </c>
      <c r="O950">
        <v>11.4</v>
      </c>
      <c r="P950">
        <v>21</v>
      </c>
      <c r="Q950">
        <v>7.4</v>
      </c>
      <c r="R950" t="s">
        <v>22</v>
      </c>
      <c r="S950">
        <v>9.1999999999999993</v>
      </c>
      <c r="T950">
        <v>9.1999999999999993</v>
      </c>
      <c r="U950">
        <v>5.2</v>
      </c>
      <c r="W950">
        <v>4.7</v>
      </c>
      <c r="X950">
        <v>20.3</v>
      </c>
      <c r="Y950">
        <v>16.899999999999999</v>
      </c>
      <c r="Z950">
        <v>12.2</v>
      </c>
      <c r="AA950">
        <v>12.9</v>
      </c>
      <c r="AB950">
        <f t="shared" si="28"/>
        <v>168.10000000000002</v>
      </c>
      <c r="AC950">
        <v>180.3</v>
      </c>
      <c r="AE950">
        <f t="shared" si="29"/>
        <v>7</v>
      </c>
    </row>
    <row r="951" spans="1:31" x14ac:dyDescent="0.25">
      <c r="A951">
        <v>2022</v>
      </c>
      <c r="B951" t="s">
        <v>99</v>
      </c>
      <c r="C951" t="str">
        <f>IF(COUNTIF('Rookies 22-25'!$B$61:$B$125,E951)&gt;0,"(R)","No")</f>
        <v>No</v>
      </c>
      <c r="D951">
        <v>30</v>
      </c>
      <c r="E951" t="s">
        <v>411</v>
      </c>
      <c r="F951" t="s">
        <v>73</v>
      </c>
      <c r="G951">
        <f>VLOOKUP(E951,'22 Draft ADP'!$B$2:$D$510,3,FALSE)</f>
        <v>68</v>
      </c>
      <c r="H951">
        <v>17</v>
      </c>
      <c r="I951">
        <v>6.6</v>
      </c>
      <c r="J951">
        <v>9.1999999999999993</v>
      </c>
      <c r="K951">
        <v>18.100000000000001</v>
      </c>
      <c r="L951">
        <v>15.2</v>
      </c>
      <c r="M951">
        <v>6.7</v>
      </c>
      <c r="N951">
        <v>15.6</v>
      </c>
      <c r="O951" t="s">
        <v>22</v>
      </c>
      <c r="P951">
        <v>12.7</v>
      </c>
      <c r="Q951">
        <v>9.6999999999999993</v>
      </c>
      <c r="R951">
        <v>9.9</v>
      </c>
      <c r="S951">
        <v>4.5</v>
      </c>
      <c r="T951">
        <v>21.1</v>
      </c>
      <c r="U951">
        <v>4.7</v>
      </c>
      <c r="V951">
        <v>19.5</v>
      </c>
      <c r="W951">
        <v>13.1</v>
      </c>
      <c r="X951">
        <v>1.6</v>
      </c>
      <c r="Y951">
        <v>2.6</v>
      </c>
      <c r="Z951">
        <v>9.1999999999999993</v>
      </c>
      <c r="AA951">
        <v>10.6</v>
      </c>
      <c r="AB951">
        <f t="shared" si="28"/>
        <v>170.8</v>
      </c>
      <c r="AC951">
        <v>180</v>
      </c>
      <c r="AE951">
        <f t="shared" si="29"/>
        <v>7</v>
      </c>
    </row>
    <row r="952" spans="1:31" x14ac:dyDescent="0.25">
      <c r="A952">
        <v>2022</v>
      </c>
      <c r="B952" t="s">
        <v>99</v>
      </c>
      <c r="C952" t="str">
        <f>IF(COUNTIF('Rookies 22-25'!$B$61:$B$125,E952)&gt;0,"(R)","No")</f>
        <v>(R)</v>
      </c>
      <c r="D952">
        <v>31</v>
      </c>
      <c r="E952" t="s">
        <v>118</v>
      </c>
      <c r="F952" t="s">
        <v>24</v>
      </c>
      <c r="G952">
        <f>VLOOKUP(E952,'22 Draft ADP'!$B$2:$D$510,3,FALSE)</f>
        <v>90</v>
      </c>
      <c r="H952">
        <v>17</v>
      </c>
      <c r="I952">
        <v>12.4</v>
      </c>
      <c r="J952">
        <v>24.6</v>
      </c>
      <c r="K952">
        <v>14.4</v>
      </c>
      <c r="L952">
        <v>3.7</v>
      </c>
      <c r="M952">
        <v>7.5</v>
      </c>
      <c r="N952">
        <v>7</v>
      </c>
      <c r="O952">
        <v>1.9</v>
      </c>
      <c r="P952">
        <v>7.1</v>
      </c>
      <c r="Q952">
        <v>3.3</v>
      </c>
      <c r="R952">
        <v>14.8</v>
      </c>
      <c r="S952">
        <v>7.2</v>
      </c>
      <c r="T952">
        <v>4.9000000000000004</v>
      </c>
      <c r="U952">
        <v>15.5</v>
      </c>
      <c r="V952" t="s">
        <v>22</v>
      </c>
      <c r="W952">
        <v>12</v>
      </c>
      <c r="X952">
        <v>14.6</v>
      </c>
      <c r="Y952">
        <v>9.6999999999999993</v>
      </c>
      <c r="Z952">
        <v>18</v>
      </c>
      <c r="AA952">
        <v>10.5</v>
      </c>
      <c r="AB952">
        <f t="shared" si="28"/>
        <v>160.6</v>
      </c>
      <c r="AC952">
        <v>178.6</v>
      </c>
      <c r="AE952">
        <f t="shared" si="29"/>
        <v>7</v>
      </c>
    </row>
    <row r="953" spans="1:31" x14ac:dyDescent="0.25">
      <c r="A953">
        <v>2022</v>
      </c>
      <c r="B953" t="s">
        <v>99</v>
      </c>
      <c r="C953" t="str">
        <f>IF(COUNTIF('Rookies 22-25'!$B$61:$B$125,E953)&gt;0,"(R)","No")</f>
        <v>No</v>
      </c>
      <c r="D953">
        <v>32</v>
      </c>
      <c r="E953" t="s">
        <v>428</v>
      </c>
      <c r="F953" t="s">
        <v>51</v>
      </c>
      <c r="G953">
        <f>VLOOKUP(E953,'22 Draft ADP'!$B$2:$D$510,3,FALSE)</f>
        <v>34</v>
      </c>
      <c r="H953">
        <v>13</v>
      </c>
      <c r="I953">
        <v>3</v>
      </c>
      <c r="J953">
        <v>25.3</v>
      </c>
      <c r="K953">
        <v>8.5</v>
      </c>
      <c r="L953">
        <v>19</v>
      </c>
      <c r="M953">
        <v>23.4</v>
      </c>
      <c r="N953">
        <v>3.7</v>
      </c>
      <c r="O953">
        <v>21.6</v>
      </c>
      <c r="P953" t="s">
        <v>22</v>
      </c>
      <c r="S953">
        <v>2.5</v>
      </c>
      <c r="V953">
        <v>23.6</v>
      </c>
      <c r="W953">
        <v>10.7</v>
      </c>
      <c r="X953">
        <v>11.6</v>
      </c>
      <c r="Y953">
        <v>16.399999999999999</v>
      </c>
      <c r="Z953">
        <v>7.2</v>
      </c>
      <c r="AA953">
        <v>13.6</v>
      </c>
      <c r="AB953">
        <f t="shared" si="28"/>
        <v>169.3</v>
      </c>
      <c r="AC953">
        <v>176.5</v>
      </c>
      <c r="AE953">
        <f t="shared" si="29"/>
        <v>8</v>
      </c>
    </row>
    <row r="954" spans="1:31" x14ac:dyDescent="0.25">
      <c r="A954">
        <v>2022</v>
      </c>
      <c r="B954" t="s">
        <v>99</v>
      </c>
      <c r="C954" t="str">
        <f>IF(COUNTIF('Rookies 22-25'!$B$61:$B$125,E954)&gt;0,"(R)","No")</f>
        <v>No</v>
      </c>
      <c r="D954">
        <v>33</v>
      </c>
      <c r="E954" t="s">
        <v>424</v>
      </c>
      <c r="F954" t="s">
        <v>59</v>
      </c>
      <c r="G954">
        <f>VLOOKUP(E954,'22 Draft ADP'!$B$2:$D$510,3,FALSE)</f>
        <v>227</v>
      </c>
      <c r="H954">
        <v>17</v>
      </c>
      <c r="I954">
        <v>19.2</v>
      </c>
      <c r="J954">
        <v>22.9</v>
      </c>
      <c r="K954">
        <v>13.1</v>
      </c>
      <c r="L954">
        <v>7.8</v>
      </c>
      <c r="M954">
        <v>12.2</v>
      </c>
      <c r="N954">
        <v>2.6</v>
      </c>
      <c r="O954">
        <v>12.9</v>
      </c>
      <c r="P954">
        <v>10.9</v>
      </c>
      <c r="Q954">
        <v>17.100000000000001</v>
      </c>
      <c r="R954">
        <v>6</v>
      </c>
      <c r="S954">
        <v>9.8000000000000007</v>
      </c>
      <c r="T954">
        <v>1.3</v>
      </c>
      <c r="U954">
        <v>14.6</v>
      </c>
      <c r="V954" t="s">
        <v>22</v>
      </c>
      <c r="W954">
        <v>7.5</v>
      </c>
      <c r="X954">
        <v>16.399999999999999</v>
      </c>
      <c r="Y954">
        <v>1.6</v>
      </c>
      <c r="Z954">
        <v>0.4</v>
      </c>
      <c r="AA954">
        <v>10.4</v>
      </c>
      <c r="AB954">
        <f t="shared" si="28"/>
        <v>175.9</v>
      </c>
      <c r="AC954">
        <v>176.3</v>
      </c>
      <c r="AE954">
        <f t="shared" si="29"/>
        <v>9</v>
      </c>
    </row>
    <row r="955" spans="1:31" x14ac:dyDescent="0.25">
      <c r="A955">
        <v>2022</v>
      </c>
      <c r="B955" t="s">
        <v>99</v>
      </c>
      <c r="C955" t="str">
        <f>IF(COUNTIF('Rookies 22-25'!$B$61:$B$125,E955)&gt;0,"(R)","No")</f>
        <v>No</v>
      </c>
      <c r="D955">
        <v>34</v>
      </c>
      <c r="E955" t="s">
        <v>422</v>
      </c>
      <c r="F955" t="s">
        <v>89</v>
      </c>
      <c r="G955">
        <f>VLOOKUP(E955,'22 Draft ADP'!$B$2:$D$510,3,FALSE)</f>
        <v>116</v>
      </c>
      <c r="H955">
        <v>17</v>
      </c>
      <c r="I955">
        <v>13.3</v>
      </c>
      <c r="J955">
        <v>5.7</v>
      </c>
      <c r="K955">
        <v>20.5</v>
      </c>
      <c r="L955">
        <v>7.6</v>
      </c>
      <c r="M955">
        <v>6.2</v>
      </c>
      <c r="N955">
        <v>12.6</v>
      </c>
      <c r="O955">
        <v>29.5</v>
      </c>
      <c r="P955">
        <v>12.8</v>
      </c>
      <c r="Q955">
        <v>9.4</v>
      </c>
      <c r="R955" t="s">
        <v>22</v>
      </c>
      <c r="S955">
        <v>6.2</v>
      </c>
      <c r="T955">
        <v>3.6</v>
      </c>
      <c r="U955">
        <v>10</v>
      </c>
      <c r="V955">
        <v>0</v>
      </c>
      <c r="W955">
        <v>14.5</v>
      </c>
      <c r="X955">
        <v>5.0999999999999996</v>
      </c>
      <c r="Y955">
        <v>8.4</v>
      </c>
      <c r="Z955">
        <v>10.1</v>
      </c>
      <c r="AA955">
        <v>10.3</v>
      </c>
      <c r="AB955">
        <f t="shared" si="28"/>
        <v>165.4</v>
      </c>
      <c r="AC955">
        <v>175.5</v>
      </c>
      <c r="AE955">
        <f t="shared" si="29"/>
        <v>6</v>
      </c>
    </row>
    <row r="956" spans="1:31" x14ac:dyDescent="0.25">
      <c r="A956">
        <v>2022</v>
      </c>
      <c r="B956" t="s">
        <v>99</v>
      </c>
      <c r="C956" t="str">
        <f>IF(COUNTIF('Rookies 22-25'!$B$61:$B$125,E956)&gt;0,"(R)","No")</f>
        <v>No</v>
      </c>
      <c r="D956">
        <v>35</v>
      </c>
      <c r="E956" t="s">
        <v>414</v>
      </c>
      <c r="F956" t="s">
        <v>69</v>
      </c>
      <c r="G956">
        <f>VLOOKUP(E956,'22 Draft ADP'!$B$2:$D$510,3,FALSE)</f>
        <v>75</v>
      </c>
      <c r="H956">
        <v>15</v>
      </c>
      <c r="J956">
        <v>9.3000000000000007</v>
      </c>
      <c r="K956">
        <v>14.5</v>
      </c>
      <c r="L956">
        <v>17.600000000000001</v>
      </c>
      <c r="M956">
        <v>13.5</v>
      </c>
      <c r="N956">
        <v>17.600000000000001</v>
      </c>
      <c r="O956">
        <v>11.5</v>
      </c>
      <c r="Q956">
        <v>18.7</v>
      </c>
      <c r="R956">
        <v>7.5</v>
      </c>
      <c r="S956">
        <v>10.7</v>
      </c>
      <c r="T956">
        <v>4.4000000000000004</v>
      </c>
      <c r="U956">
        <v>11.7</v>
      </c>
      <c r="V956" t="s">
        <v>22</v>
      </c>
      <c r="W956">
        <v>1.7</v>
      </c>
      <c r="X956">
        <v>11.1</v>
      </c>
      <c r="Y956">
        <v>10.9</v>
      </c>
      <c r="Z956">
        <v>14.1</v>
      </c>
      <c r="AA956">
        <v>11.7</v>
      </c>
      <c r="AB956">
        <f t="shared" si="28"/>
        <v>160.70000000000002</v>
      </c>
      <c r="AC956">
        <v>174.8</v>
      </c>
      <c r="AE956">
        <f t="shared" si="29"/>
        <v>10</v>
      </c>
    </row>
    <row r="957" spans="1:31" x14ac:dyDescent="0.25">
      <c r="A957">
        <v>2022</v>
      </c>
      <c r="B957" t="s">
        <v>99</v>
      </c>
      <c r="C957" t="str">
        <f>IF(COUNTIF('Rookies 22-25'!$B$61:$B$125,E957)&gt;0,"(R)","No")</f>
        <v>No</v>
      </c>
      <c r="D957">
        <v>36</v>
      </c>
      <c r="E957" t="s">
        <v>429</v>
      </c>
      <c r="F957" t="s">
        <v>61</v>
      </c>
      <c r="G957">
        <f>VLOOKUP(E957,'22 Draft ADP'!$B$2:$D$510,3,FALSE)</f>
        <v>42</v>
      </c>
      <c r="H957">
        <v>15</v>
      </c>
      <c r="I957">
        <v>18.8</v>
      </c>
      <c r="K957">
        <v>6.7</v>
      </c>
      <c r="L957">
        <v>2.2999999999999998</v>
      </c>
      <c r="M957">
        <v>32.1</v>
      </c>
      <c r="N957">
        <v>16.399999999999999</v>
      </c>
      <c r="O957" t="s">
        <v>22</v>
      </c>
      <c r="P957">
        <v>5.5</v>
      </c>
      <c r="Q957">
        <v>5.3</v>
      </c>
      <c r="R957">
        <v>21.3</v>
      </c>
      <c r="S957">
        <v>11.8</v>
      </c>
      <c r="T957">
        <v>7.8</v>
      </c>
      <c r="U957">
        <v>9.5</v>
      </c>
      <c r="V957">
        <v>6.1</v>
      </c>
      <c r="W957">
        <v>9.6</v>
      </c>
      <c r="X957">
        <v>11.5</v>
      </c>
      <c r="Z957">
        <v>6.9</v>
      </c>
      <c r="AA957">
        <v>11.4</v>
      </c>
      <c r="AB957">
        <f t="shared" si="28"/>
        <v>164.7</v>
      </c>
      <c r="AC957">
        <v>171.6</v>
      </c>
      <c r="AE957">
        <f t="shared" si="29"/>
        <v>6</v>
      </c>
    </row>
    <row r="958" spans="1:31" x14ac:dyDescent="0.25">
      <c r="A958">
        <v>2022</v>
      </c>
      <c r="B958" t="s">
        <v>99</v>
      </c>
      <c r="C958" t="str">
        <f>IF(COUNTIF('Rookies 22-25'!$B$61:$B$125,E958)&gt;0,"(R)","No")</f>
        <v>No</v>
      </c>
      <c r="D958">
        <v>37</v>
      </c>
      <c r="E958" t="s">
        <v>205</v>
      </c>
      <c r="F958" t="s">
        <v>51</v>
      </c>
      <c r="G958">
        <f>VLOOKUP(E958,'22 Draft ADP'!$B$2:$D$510,3,FALSE)</f>
        <v>138</v>
      </c>
      <c r="H958">
        <v>16</v>
      </c>
      <c r="I958">
        <v>3.9</v>
      </c>
      <c r="J958">
        <v>13</v>
      </c>
      <c r="K958">
        <v>15.9</v>
      </c>
      <c r="L958">
        <v>3.5</v>
      </c>
      <c r="M958">
        <v>5.4</v>
      </c>
      <c r="N958">
        <v>14.7</v>
      </c>
      <c r="P958" t="s">
        <v>22</v>
      </c>
      <c r="Q958">
        <v>18.600000000000001</v>
      </c>
      <c r="R958">
        <v>7.4</v>
      </c>
      <c r="S958">
        <v>30.6</v>
      </c>
      <c r="T958">
        <v>10.6</v>
      </c>
      <c r="U958">
        <v>13</v>
      </c>
      <c r="V958">
        <v>9.3000000000000007</v>
      </c>
      <c r="W958">
        <v>9.9</v>
      </c>
      <c r="X958">
        <v>3.6</v>
      </c>
      <c r="Y958">
        <v>0</v>
      </c>
      <c r="Z958">
        <v>9.9</v>
      </c>
      <c r="AA958">
        <v>10.6</v>
      </c>
      <c r="AB958">
        <f t="shared" si="28"/>
        <v>159.4</v>
      </c>
      <c r="AC958">
        <v>169.3</v>
      </c>
      <c r="AE958">
        <f t="shared" si="29"/>
        <v>7</v>
      </c>
    </row>
    <row r="959" spans="1:31" x14ac:dyDescent="0.25">
      <c r="A959">
        <v>2022</v>
      </c>
      <c r="B959" t="s">
        <v>99</v>
      </c>
      <c r="C959" t="str">
        <f>IF(COUNTIF('Rookies 22-25'!$B$61:$B$125,E959)&gt;0,"(R)","No")</f>
        <v>No</v>
      </c>
      <c r="D959">
        <v>38</v>
      </c>
      <c r="E959" t="s">
        <v>1476</v>
      </c>
      <c r="F959" t="s">
        <v>47</v>
      </c>
      <c r="G959">
        <f>VLOOKUP(E959,'22 Draft ADP'!$B$2:$D$510,3,FALSE)</f>
        <v>19</v>
      </c>
      <c r="H959">
        <v>13</v>
      </c>
      <c r="I959">
        <v>12.6</v>
      </c>
      <c r="J959">
        <v>14.7</v>
      </c>
      <c r="K959">
        <v>12.9</v>
      </c>
      <c r="L959">
        <v>23.7</v>
      </c>
      <c r="M959">
        <v>11.2</v>
      </c>
      <c r="N959">
        <v>16</v>
      </c>
      <c r="O959">
        <v>9.4</v>
      </c>
      <c r="Q959" t="s">
        <v>22</v>
      </c>
      <c r="R959">
        <v>7.1</v>
      </c>
      <c r="S959">
        <v>22.4</v>
      </c>
      <c r="T959">
        <v>7.3</v>
      </c>
      <c r="U959">
        <v>12.3</v>
      </c>
      <c r="V959">
        <v>14.4</v>
      </c>
      <c r="Z959">
        <v>4.4000000000000004</v>
      </c>
      <c r="AA959">
        <v>13</v>
      </c>
      <c r="AB959">
        <f t="shared" si="28"/>
        <v>164</v>
      </c>
      <c r="AC959">
        <v>168.4</v>
      </c>
      <c r="AE959">
        <f t="shared" si="29"/>
        <v>9</v>
      </c>
    </row>
    <row r="960" spans="1:31" x14ac:dyDescent="0.25">
      <c r="A960">
        <v>2022</v>
      </c>
      <c r="B960" t="s">
        <v>99</v>
      </c>
      <c r="C960" t="str">
        <f>IF(COUNTIF('Rookies 22-25'!$B$61:$B$125,E960)&gt;0,"(R)","No")</f>
        <v>No</v>
      </c>
      <c r="D960">
        <v>39</v>
      </c>
      <c r="E960" t="s">
        <v>686</v>
      </c>
      <c r="F960" t="s">
        <v>32</v>
      </c>
      <c r="G960">
        <f>VLOOKUP(E960,'22 Draft ADP'!$B$2:$D$510,3,FALSE)</f>
        <v>211</v>
      </c>
      <c r="H960">
        <v>17</v>
      </c>
      <c r="I960">
        <v>12</v>
      </c>
      <c r="J960">
        <v>0</v>
      </c>
      <c r="K960">
        <v>2</v>
      </c>
      <c r="L960">
        <v>12.1</v>
      </c>
      <c r="M960">
        <v>9</v>
      </c>
      <c r="N960">
        <v>11.6</v>
      </c>
      <c r="O960">
        <v>11.1</v>
      </c>
      <c r="P960">
        <v>12.1</v>
      </c>
      <c r="Q960" t="s">
        <v>22</v>
      </c>
      <c r="R960">
        <v>14.9</v>
      </c>
      <c r="S960">
        <v>17.100000000000001</v>
      </c>
      <c r="T960">
        <v>3.6</v>
      </c>
      <c r="U960">
        <v>13.4</v>
      </c>
      <c r="V960">
        <v>19.399999999999999</v>
      </c>
      <c r="W960">
        <v>13.1</v>
      </c>
      <c r="X960">
        <v>1.2</v>
      </c>
      <c r="Y960">
        <v>8.3000000000000007</v>
      </c>
      <c r="Z960">
        <v>6.2</v>
      </c>
      <c r="AA960">
        <v>9.8000000000000007</v>
      </c>
      <c r="AB960">
        <f t="shared" si="28"/>
        <v>160.9</v>
      </c>
      <c r="AC960">
        <v>167.1</v>
      </c>
      <c r="AE960">
        <f t="shared" si="29"/>
        <v>10</v>
      </c>
    </row>
    <row r="961" spans="1:31" x14ac:dyDescent="0.25">
      <c r="A961">
        <v>2022</v>
      </c>
      <c r="B961" t="s">
        <v>99</v>
      </c>
      <c r="C961" t="str">
        <f>IF(COUNTIF('Rookies 22-25'!$B$61:$B$125,E961)&gt;0,"(R)","No")</f>
        <v>(R)</v>
      </c>
      <c r="D961">
        <v>40</v>
      </c>
      <c r="E961" t="s">
        <v>104</v>
      </c>
      <c r="F961" t="s">
        <v>71</v>
      </c>
      <c r="G961">
        <f>VLOOKUP(E961,'22 Draft ADP'!$B$2:$D$510,3,FALSE)</f>
        <v>111</v>
      </c>
      <c r="H961">
        <v>17</v>
      </c>
      <c r="I961">
        <v>1.3</v>
      </c>
      <c r="J961">
        <v>3.3</v>
      </c>
      <c r="K961">
        <v>6.9</v>
      </c>
      <c r="L961">
        <v>16.2</v>
      </c>
      <c r="M961">
        <v>14.3</v>
      </c>
      <c r="N961">
        <v>5.8</v>
      </c>
      <c r="O961">
        <v>18.100000000000001</v>
      </c>
      <c r="P961">
        <v>0</v>
      </c>
      <c r="Q961" t="s">
        <v>22</v>
      </c>
      <c r="R961">
        <v>14.5</v>
      </c>
      <c r="S961">
        <v>18.3</v>
      </c>
      <c r="T961">
        <v>10.7</v>
      </c>
      <c r="U961">
        <v>1.2</v>
      </c>
      <c r="V961">
        <v>10.8</v>
      </c>
      <c r="W961">
        <v>7.3</v>
      </c>
      <c r="X961">
        <v>16.7</v>
      </c>
      <c r="Y961">
        <v>4.9000000000000004</v>
      </c>
      <c r="Z961">
        <v>16.2</v>
      </c>
      <c r="AA961">
        <v>9.8000000000000007</v>
      </c>
      <c r="AB961">
        <f t="shared" si="28"/>
        <v>150.30000000000001</v>
      </c>
      <c r="AC961">
        <v>166.5</v>
      </c>
      <c r="AE961">
        <f t="shared" si="29"/>
        <v>8</v>
      </c>
    </row>
    <row r="962" spans="1:31" x14ac:dyDescent="0.25">
      <c r="A962">
        <v>2022</v>
      </c>
      <c r="B962" t="s">
        <v>99</v>
      </c>
      <c r="C962" t="str">
        <f>IF(COUNTIF('Rookies 22-25'!$B$61:$B$125,E962)&gt;0,"(R)","No")</f>
        <v>(R)</v>
      </c>
      <c r="D962">
        <v>41</v>
      </c>
      <c r="E962" t="s">
        <v>145</v>
      </c>
      <c r="F962" t="s">
        <v>69</v>
      </c>
      <c r="G962">
        <f>VLOOKUP(E962,'22 Draft ADP'!$B$2:$D$510,3,FALSE)</f>
        <v>178</v>
      </c>
      <c r="H962">
        <v>14</v>
      </c>
      <c r="I962">
        <v>6.1</v>
      </c>
      <c r="J962">
        <v>3.9</v>
      </c>
      <c r="L962">
        <v>9.3000000000000007</v>
      </c>
      <c r="M962">
        <v>0.8</v>
      </c>
      <c r="P962">
        <v>2.2000000000000002</v>
      </c>
      <c r="Q962">
        <v>4.4000000000000004</v>
      </c>
      <c r="R962">
        <v>32.700000000000003</v>
      </c>
      <c r="S962">
        <v>21.1</v>
      </c>
      <c r="T962">
        <v>21</v>
      </c>
      <c r="U962">
        <v>24.4</v>
      </c>
      <c r="V962" t="s">
        <v>22</v>
      </c>
      <c r="W962">
        <v>8.6</v>
      </c>
      <c r="X962">
        <v>10.9</v>
      </c>
      <c r="Y962">
        <v>2.1</v>
      </c>
      <c r="Z962">
        <v>16.600000000000001</v>
      </c>
      <c r="AA962">
        <v>11.7</v>
      </c>
      <c r="AB962">
        <f t="shared" si="28"/>
        <v>147.5</v>
      </c>
      <c r="AC962">
        <v>164.1</v>
      </c>
      <c r="AE962">
        <f t="shared" si="29"/>
        <v>5</v>
      </c>
    </row>
    <row r="963" spans="1:31" x14ac:dyDescent="0.25">
      <c r="A963">
        <v>2022</v>
      </c>
      <c r="B963" t="s">
        <v>99</v>
      </c>
      <c r="C963" t="str">
        <f>IF(COUNTIF('Rookies 22-25'!$B$61:$B$125,E963)&gt;0,"(R)","No")</f>
        <v>No</v>
      </c>
      <c r="D963">
        <v>42</v>
      </c>
      <c r="E963" t="s">
        <v>128</v>
      </c>
      <c r="F963" t="s">
        <v>51</v>
      </c>
      <c r="G963">
        <f>VLOOKUP(E963,'22 Draft ADP'!$B$2:$D$510,3,FALSE)</f>
        <v>31</v>
      </c>
      <c r="H963">
        <v>10</v>
      </c>
      <c r="I963">
        <v>10.6</v>
      </c>
      <c r="O963">
        <v>3.1</v>
      </c>
      <c r="P963" t="s">
        <v>22</v>
      </c>
      <c r="S963">
        <v>12.4</v>
      </c>
      <c r="T963">
        <v>15.9</v>
      </c>
      <c r="U963">
        <v>20.8</v>
      </c>
      <c r="V963">
        <v>21.2</v>
      </c>
      <c r="W963">
        <v>16.600000000000001</v>
      </c>
      <c r="X963">
        <v>21.4</v>
      </c>
      <c r="Y963">
        <v>11.8</v>
      </c>
      <c r="Z963">
        <v>30.2</v>
      </c>
      <c r="AA963">
        <v>16.399999999999999</v>
      </c>
      <c r="AB963">
        <f t="shared" ref="AB963:AB1026" si="30">AC963-Z963</f>
        <v>133.80000000000001</v>
      </c>
      <c r="AC963">
        <v>164</v>
      </c>
      <c r="AE963">
        <f t="shared" ref="AE963:AE1026" si="31">COUNTIF(I963:Y963,"&gt;10")</f>
        <v>8</v>
      </c>
    </row>
    <row r="964" spans="1:31" x14ac:dyDescent="0.25">
      <c r="A964">
        <v>2022</v>
      </c>
      <c r="B964" t="s">
        <v>99</v>
      </c>
      <c r="C964" t="str">
        <f>IF(COUNTIF('Rookies 22-25'!$B$61:$B$125,E964)&gt;0,"(R)","No")</f>
        <v>No</v>
      </c>
      <c r="D964">
        <v>43</v>
      </c>
      <c r="E964" t="s">
        <v>112</v>
      </c>
      <c r="F964" t="s">
        <v>78</v>
      </c>
      <c r="G964">
        <f>VLOOKUP(E964,'22 Draft ADP'!$B$2:$D$510,3,FALSE)</f>
        <v>37</v>
      </c>
      <c r="H964">
        <v>15</v>
      </c>
      <c r="I964">
        <v>11.2</v>
      </c>
      <c r="J964">
        <v>19.7</v>
      </c>
      <c r="K964">
        <v>17.7</v>
      </c>
      <c r="L964">
        <v>16.2</v>
      </c>
      <c r="M964">
        <v>12.4</v>
      </c>
      <c r="N964">
        <v>3.4</v>
      </c>
      <c r="O964">
        <v>5.3</v>
      </c>
      <c r="P964">
        <v>2.2999999999999998</v>
      </c>
      <c r="Q964" t="s">
        <v>22</v>
      </c>
      <c r="R964">
        <v>12.6</v>
      </c>
      <c r="S964">
        <v>13</v>
      </c>
      <c r="T964">
        <v>13.5</v>
      </c>
      <c r="U964">
        <v>0</v>
      </c>
      <c r="X964">
        <v>11.4</v>
      </c>
      <c r="Y964">
        <v>8.4</v>
      </c>
      <c r="Z964">
        <v>12.3</v>
      </c>
      <c r="AA964">
        <v>10.6</v>
      </c>
      <c r="AB964">
        <f t="shared" si="30"/>
        <v>147.1</v>
      </c>
      <c r="AC964">
        <v>159.4</v>
      </c>
      <c r="AE964">
        <f t="shared" si="31"/>
        <v>9</v>
      </c>
    </row>
    <row r="965" spans="1:31" x14ac:dyDescent="0.25">
      <c r="A965">
        <v>2022</v>
      </c>
      <c r="B965" t="s">
        <v>99</v>
      </c>
      <c r="C965" t="str">
        <f>IF(COUNTIF('Rookies 22-25'!$B$61:$B$125,E965)&gt;0,"(R)","No")</f>
        <v>No</v>
      </c>
      <c r="D965">
        <v>44</v>
      </c>
      <c r="E965" t="s">
        <v>142</v>
      </c>
      <c r="F965" t="s">
        <v>21</v>
      </c>
      <c r="G965">
        <f>VLOOKUP(E965,'22 Draft ADP'!$B$2:$D$510,3,FALSE)</f>
        <v>47</v>
      </c>
      <c r="H965">
        <v>12</v>
      </c>
      <c r="I965">
        <v>14.3</v>
      </c>
      <c r="J965">
        <v>12.8</v>
      </c>
      <c r="K965">
        <v>28</v>
      </c>
      <c r="L965">
        <v>20.8</v>
      </c>
      <c r="M965">
        <v>21.8</v>
      </c>
      <c r="N965">
        <v>11.8</v>
      </c>
      <c r="T965">
        <v>10.6</v>
      </c>
      <c r="U965" t="s">
        <v>22</v>
      </c>
      <c r="V965">
        <v>7.4</v>
      </c>
      <c r="W965">
        <v>5.9</v>
      </c>
      <c r="X965">
        <v>8.8000000000000007</v>
      </c>
      <c r="Y965">
        <v>12.1</v>
      </c>
      <c r="Z965">
        <v>1.7</v>
      </c>
      <c r="AA965">
        <v>13</v>
      </c>
      <c r="AB965">
        <f t="shared" si="30"/>
        <v>154.30000000000001</v>
      </c>
      <c r="AC965">
        <v>156</v>
      </c>
      <c r="AE965">
        <f t="shared" si="31"/>
        <v>8</v>
      </c>
    </row>
    <row r="966" spans="1:31" x14ac:dyDescent="0.25">
      <c r="A966">
        <v>2022</v>
      </c>
      <c r="B966" t="s">
        <v>99</v>
      </c>
      <c r="C966" t="str">
        <f>IF(COUNTIF('Rookies 22-25'!$B$61:$B$125,E966)&gt;0,"(R)","No")</f>
        <v>No</v>
      </c>
      <c r="D966">
        <v>45</v>
      </c>
      <c r="E966" t="s">
        <v>460</v>
      </c>
      <c r="F966" t="s">
        <v>73</v>
      </c>
      <c r="G966">
        <f>VLOOKUP(E966,'22 Draft ADP'!$B$2:$D$510,3,FALSE)</f>
        <v>162</v>
      </c>
      <c r="H966">
        <v>17</v>
      </c>
      <c r="I966">
        <v>4.4000000000000004</v>
      </c>
      <c r="J966">
        <v>4.5</v>
      </c>
      <c r="K966">
        <v>18.3</v>
      </c>
      <c r="L966">
        <v>1.5</v>
      </c>
      <c r="M966">
        <v>9.1</v>
      </c>
      <c r="N966">
        <v>4.8</v>
      </c>
      <c r="O966" t="s">
        <v>22</v>
      </c>
      <c r="P966">
        <v>8.8000000000000007</v>
      </c>
      <c r="Q966">
        <v>0</v>
      </c>
      <c r="R966">
        <v>7.7</v>
      </c>
      <c r="S966">
        <v>3.7</v>
      </c>
      <c r="T966">
        <v>2.2999999999999998</v>
      </c>
      <c r="U966">
        <v>3.7</v>
      </c>
      <c r="V966">
        <v>14.8</v>
      </c>
      <c r="W966">
        <v>31.7</v>
      </c>
      <c r="X966">
        <v>4.7</v>
      </c>
      <c r="Y966">
        <v>18.899999999999999</v>
      </c>
      <c r="Z966">
        <v>16.7</v>
      </c>
      <c r="AA966">
        <v>9.1999999999999993</v>
      </c>
      <c r="AB966">
        <f t="shared" si="30"/>
        <v>138.9</v>
      </c>
      <c r="AC966">
        <v>155.6</v>
      </c>
      <c r="AE966">
        <f t="shared" si="31"/>
        <v>4</v>
      </c>
    </row>
    <row r="967" spans="1:31" x14ac:dyDescent="0.25">
      <c r="A967">
        <v>2022</v>
      </c>
      <c r="B967" t="s">
        <v>99</v>
      </c>
      <c r="C967" t="str">
        <f>IF(COUNTIF('Rookies 22-25'!$B$61:$B$125,E967)&gt;0,"(R)","No")</f>
        <v>No</v>
      </c>
      <c r="D967">
        <v>46</v>
      </c>
      <c r="E967" t="s">
        <v>157</v>
      </c>
      <c r="F967" t="s">
        <v>43</v>
      </c>
      <c r="G967">
        <f>VLOOKUP(E967,'22 Draft ADP'!$B$2:$D$510,3,FALSE)</f>
        <v>297</v>
      </c>
      <c r="H967">
        <v>17</v>
      </c>
      <c r="I967">
        <v>2.6</v>
      </c>
      <c r="J967">
        <v>11.6</v>
      </c>
      <c r="K967">
        <v>30</v>
      </c>
      <c r="L967">
        <v>6.3</v>
      </c>
      <c r="M967">
        <v>0</v>
      </c>
      <c r="N967" t="s">
        <v>22</v>
      </c>
      <c r="O967">
        <v>12.4</v>
      </c>
      <c r="P967">
        <v>13.4</v>
      </c>
      <c r="Q967">
        <v>3.7</v>
      </c>
      <c r="R967">
        <v>3.8</v>
      </c>
      <c r="S967">
        <v>11.2</v>
      </c>
      <c r="T967">
        <v>16.3</v>
      </c>
      <c r="U967">
        <v>8.5</v>
      </c>
      <c r="V967">
        <v>8.1999999999999993</v>
      </c>
      <c r="W967">
        <v>14</v>
      </c>
      <c r="X967">
        <v>1.7</v>
      </c>
      <c r="Y967">
        <v>7</v>
      </c>
      <c r="Z967">
        <v>3.5</v>
      </c>
      <c r="AA967">
        <v>9.1</v>
      </c>
      <c r="AB967">
        <f t="shared" si="30"/>
        <v>150.69999999999999</v>
      </c>
      <c r="AC967">
        <v>154.19999999999999</v>
      </c>
      <c r="AE967">
        <f t="shared" si="31"/>
        <v>7</v>
      </c>
    </row>
    <row r="968" spans="1:31" x14ac:dyDescent="0.25">
      <c r="A968">
        <v>2022</v>
      </c>
      <c r="B968" t="s">
        <v>99</v>
      </c>
      <c r="C968" t="str">
        <f>IF(COUNTIF('Rookies 22-25'!$B$61:$B$125,E968)&gt;0,"(R)","No")</f>
        <v>No</v>
      </c>
      <c r="D968">
        <v>47</v>
      </c>
      <c r="E968" t="s">
        <v>192</v>
      </c>
      <c r="F968" t="s">
        <v>21</v>
      </c>
      <c r="G968">
        <f>VLOOKUP(E968,'22 Draft ADP'!$B$2:$D$510,3,FALSE)</f>
        <v>88</v>
      </c>
      <c r="H968">
        <v>9</v>
      </c>
      <c r="O968">
        <v>20.3</v>
      </c>
      <c r="P968">
        <v>33.9</v>
      </c>
      <c r="Q968">
        <v>13.6</v>
      </c>
      <c r="R968">
        <v>19.8</v>
      </c>
      <c r="S968">
        <v>18.100000000000001</v>
      </c>
      <c r="T968">
        <v>18.7</v>
      </c>
      <c r="U968" t="s">
        <v>22</v>
      </c>
      <c r="V968">
        <v>12.9</v>
      </c>
      <c r="W968">
        <v>13</v>
      </c>
      <c r="X968">
        <v>1.4</v>
      </c>
      <c r="AA968">
        <v>16.899999999999999</v>
      </c>
      <c r="AB968">
        <f t="shared" si="30"/>
        <v>151.69999999999999</v>
      </c>
      <c r="AC968">
        <v>151.69999999999999</v>
      </c>
      <c r="AE968">
        <f t="shared" si="31"/>
        <v>8</v>
      </c>
    </row>
    <row r="969" spans="1:31" x14ac:dyDescent="0.25">
      <c r="A969">
        <v>2022</v>
      </c>
      <c r="B969" t="s">
        <v>99</v>
      </c>
      <c r="C969" t="str">
        <f>IF(COUNTIF('Rookies 22-25'!$B$61:$B$125,E969)&gt;0,"(R)","No")</f>
        <v>No</v>
      </c>
      <c r="D969">
        <v>48</v>
      </c>
      <c r="E969" t="s">
        <v>757</v>
      </c>
      <c r="F969" t="s">
        <v>28</v>
      </c>
      <c r="G969">
        <f>VLOOKUP(E969,'22 Draft ADP'!$B$2:$D$510,3,FALSE)</f>
        <v>187</v>
      </c>
      <c r="H969">
        <v>17</v>
      </c>
      <c r="I969">
        <v>6.7</v>
      </c>
      <c r="J969">
        <v>0</v>
      </c>
      <c r="K969">
        <v>3</v>
      </c>
      <c r="L969">
        <v>8.3000000000000007</v>
      </c>
      <c r="M969">
        <v>4.2</v>
      </c>
      <c r="N969">
        <v>18.7</v>
      </c>
      <c r="O969">
        <v>23</v>
      </c>
      <c r="P969">
        <v>9.1</v>
      </c>
      <c r="Q969">
        <v>3.6</v>
      </c>
      <c r="R969">
        <v>20.6</v>
      </c>
      <c r="S969">
        <v>11.7</v>
      </c>
      <c r="T969">
        <v>3.4</v>
      </c>
      <c r="U969">
        <v>8.5</v>
      </c>
      <c r="V969" t="s">
        <v>22</v>
      </c>
      <c r="W969">
        <v>3.3</v>
      </c>
      <c r="X969">
        <v>3.9</v>
      </c>
      <c r="Y969">
        <v>8.3000000000000007</v>
      </c>
      <c r="Z969">
        <v>12.8</v>
      </c>
      <c r="AA969">
        <v>8.8000000000000007</v>
      </c>
      <c r="AB969">
        <f t="shared" si="30"/>
        <v>136.29999999999998</v>
      </c>
      <c r="AC969">
        <v>149.1</v>
      </c>
      <c r="AE969">
        <f t="shared" si="31"/>
        <v>4</v>
      </c>
    </row>
    <row r="970" spans="1:31" x14ac:dyDescent="0.25">
      <c r="A970">
        <v>2022</v>
      </c>
      <c r="B970" t="s">
        <v>99</v>
      </c>
      <c r="C970" t="str">
        <f>IF(COUNTIF('Rookies 22-25'!$B$61:$B$125,E970)&gt;0,"(R)","No")</f>
        <v>No</v>
      </c>
      <c r="D970">
        <v>49</v>
      </c>
      <c r="E970" t="s">
        <v>206</v>
      </c>
      <c r="F970" t="s">
        <v>41</v>
      </c>
      <c r="G970">
        <f>VLOOKUP(E970,'22 Draft ADP'!$B$2:$D$510,3,FALSE)</f>
        <v>53</v>
      </c>
      <c r="H970">
        <v>13</v>
      </c>
      <c r="I970">
        <v>15.2</v>
      </c>
      <c r="J970">
        <v>9.4</v>
      </c>
      <c r="K970">
        <v>4.2</v>
      </c>
      <c r="L970">
        <v>18.7</v>
      </c>
      <c r="M970">
        <v>6</v>
      </c>
      <c r="N970" t="s">
        <v>22</v>
      </c>
      <c r="O970">
        <v>8.6</v>
      </c>
      <c r="P970">
        <v>11.3</v>
      </c>
      <c r="R970">
        <v>8.1999999999999993</v>
      </c>
      <c r="S970">
        <v>10</v>
      </c>
      <c r="T970">
        <v>11.1</v>
      </c>
      <c r="X970">
        <v>13.4</v>
      </c>
      <c r="Y970">
        <v>7.9</v>
      </c>
      <c r="Z970">
        <v>21.6</v>
      </c>
      <c r="AA970">
        <v>11.2</v>
      </c>
      <c r="AB970">
        <f t="shared" si="30"/>
        <v>124</v>
      </c>
      <c r="AC970">
        <v>145.6</v>
      </c>
      <c r="AE970">
        <f t="shared" si="31"/>
        <v>5</v>
      </c>
    </row>
    <row r="971" spans="1:31" x14ac:dyDescent="0.25">
      <c r="A971">
        <v>2022</v>
      </c>
      <c r="B971" t="s">
        <v>99</v>
      </c>
      <c r="C971" t="str">
        <f>IF(COUNTIF('Rookies 22-25'!$B$61:$B$125,E971)&gt;0,"(R)","No")</f>
        <v>No</v>
      </c>
      <c r="D971">
        <v>50</v>
      </c>
      <c r="E971" t="s">
        <v>1561</v>
      </c>
      <c r="F971" t="s">
        <v>57</v>
      </c>
      <c r="G971">
        <v>300</v>
      </c>
      <c r="H971">
        <v>16</v>
      </c>
      <c r="I971">
        <v>11.1</v>
      </c>
      <c r="J971">
        <v>10.1</v>
      </c>
      <c r="K971">
        <v>8</v>
      </c>
      <c r="L971">
        <v>-0.1</v>
      </c>
      <c r="M971">
        <v>3.6</v>
      </c>
      <c r="N971">
        <v>3.8</v>
      </c>
      <c r="O971">
        <v>1.2</v>
      </c>
      <c r="P971">
        <v>-4</v>
      </c>
      <c r="Q971" t="s">
        <v>22</v>
      </c>
      <c r="S971">
        <v>13.8</v>
      </c>
      <c r="T971">
        <v>15.1</v>
      </c>
      <c r="U971">
        <v>5</v>
      </c>
      <c r="V971">
        <v>19.100000000000001</v>
      </c>
      <c r="W971">
        <v>8.1999999999999993</v>
      </c>
      <c r="X971">
        <v>17</v>
      </c>
      <c r="Y971">
        <v>20.6</v>
      </c>
      <c r="Z971">
        <v>0</v>
      </c>
      <c r="AA971">
        <v>8.3000000000000007</v>
      </c>
      <c r="AB971">
        <f t="shared" si="30"/>
        <v>132.5</v>
      </c>
      <c r="AC971">
        <v>132.5</v>
      </c>
      <c r="AE971">
        <f t="shared" si="31"/>
        <v>7</v>
      </c>
    </row>
    <row r="972" spans="1:31" x14ac:dyDescent="0.25">
      <c r="A972">
        <v>2022</v>
      </c>
      <c r="B972" t="s">
        <v>99</v>
      </c>
      <c r="C972" t="str">
        <f>IF(COUNTIF('Rookies 22-25'!$B$61:$B$125,E972)&gt;0,"(R)","No")</f>
        <v>(R)</v>
      </c>
      <c r="D972">
        <v>51</v>
      </c>
      <c r="E972" t="s">
        <v>209</v>
      </c>
      <c r="F972" t="s">
        <v>59</v>
      </c>
      <c r="G972">
        <f>VLOOKUP(E972,'22 Draft ADP'!$B$2:$D$510,3,FALSE)</f>
        <v>131</v>
      </c>
      <c r="H972">
        <v>12</v>
      </c>
      <c r="I972">
        <v>18</v>
      </c>
      <c r="J972">
        <v>17.899999999999999</v>
      </c>
      <c r="K972">
        <v>3</v>
      </c>
      <c r="L972">
        <v>13.3</v>
      </c>
      <c r="R972">
        <v>2.4</v>
      </c>
      <c r="S972">
        <v>2.6</v>
      </c>
      <c r="T972">
        <v>0</v>
      </c>
      <c r="U972">
        <v>16.399999999999999</v>
      </c>
      <c r="V972" t="s">
        <v>22</v>
      </c>
      <c r="W972">
        <v>20.5</v>
      </c>
      <c r="X972">
        <v>19.600000000000001</v>
      </c>
      <c r="Y972">
        <v>6.7</v>
      </c>
      <c r="Z972">
        <v>10.199999999999999</v>
      </c>
      <c r="AA972">
        <v>10.9</v>
      </c>
      <c r="AB972">
        <f t="shared" si="30"/>
        <v>120.39999999999999</v>
      </c>
      <c r="AC972">
        <v>130.6</v>
      </c>
      <c r="AE972">
        <f t="shared" si="31"/>
        <v>6</v>
      </c>
    </row>
    <row r="973" spans="1:31" x14ac:dyDescent="0.25">
      <c r="A973">
        <v>2022</v>
      </c>
      <c r="B973" t="s">
        <v>99</v>
      </c>
      <c r="C973" t="str">
        <f>IF(COUNTIF('Rookies 22-25'!$B$61:$B$125,E973)&gt;0,"(R)","No")</f>
        <v>No</v>
      </c>
      <c r="D973">
        <v>52</v>
      </c>
      <c r="E973" t="s">
        <v>162</v>
      </c>
      <c r="F973" t="s">
        <v>57</v>
      </c>
      <c r="G973">
        <f>VLOOKUP(E973,'22 Draft ADP'!$B$2:$D$510,3,FALSE)</f>
        <v>350</v>
      </c>
      <c r="H973">
        <v>15</v>
      </c>
      <c r="J973">
        <v>0</v>
      </c>
      <c r="K973">
        <v>0</v>
      </c>
      <c r="L973">
        <v>2.1</v>
      </c>
      <c r="M973">
        <v>13.9</v>
      </c>
      <c r="N973">
        <v>2.8</v>
      </c>
      <c r="O973">
        <v>14.8</v>
      </c>
      <c r="P973">
        <v>11.6</v>
      </c>
      <c r="Q973" t="s">
        <v>22</v>
      </c>
      <c r="R973">
        <v>18.5</v>
      </c>
      <c r="S973">
        <v>13.6</v>
      </c>
      <c r="T973">
        <v>9.3000000000000007</v>
      </c>
      <c r="U973">
        <v>15</v>
      </c>
      <c r="V973">
        <v>6.2</v>
      </c>
      <c r="W973">
        <v>7.3</v>
      </c>
      <c r="X973">
        <v>11.9</v>
      </c>
      <c r="Y973">
        <v>1.4</v>
      </c>
      <c r="AA973">
        <v>8.6</v>
      </c>
      <c r="AB973">
        <f t="shared" si="30"/>
        <v>128.4</v>
      </c>
      <c r="AC973">
        <v>128.4</v>
      </c>
      <c r="AE973">
        <f t="shared" si="31"/>
        <v>7</v>
      </c>
    </row>
    <row r="974" spans="1:31" x14ac:dyDescent="0.25">
      <c r="A974">
        <v>2022</v>
      </c>
      <c r="B974" t="s">
        <v>99</v>
      </c>
      <c r="C974" t="str">
        <f>IF(COUNTIF('Rookies 22-25'!$B$61:$B$125,E974)&gt;0,"(R)","No")</f>
        <v>No</v>
      </c>
      <c r="D974">
        <v>53</v>
      </c>
      <c r="E974" t="s">
        <v>1484</v>
      </c>
      <c r="F974" t="s">
        <v>65</v>
      </c>
      <c r="G974">
        <f>VLOOKUP(E974,'22 Draft ADP'!$B$2:$D$510,3,FALSE)</f>
        <v>125</v>
      </c>
      <c r="H974">
        <v>13</v>
      </c>
      <c r="I974">
        <v>3.3</v>
      </c>
      <c r="J974">
        <v>7.8</v>
      </c>
      <c r="K974">
        <v>24.7</v>
      </c>
      <c r="L974">
        <v>4.4000000000000004</v>
      </c>
      <c r="M974">
        <v>6</v>
      </c>
      <c r="N974">
        <v>4</v>
      </c>
      <c r="O974">
        <v>7.9</v>
      </c>
      <c r="S974" t="s">
        <v>22</v>
      </c>
      <c r="U974">
        <v>2.1</v>
      </c>
      <c r="V974">
        <v>9.1999999999999993</v>
      </c>
      <c r="W974">
        <v>25.9</v>
      </c>
      <c r="X974">
        <v>11.5</v>
      </c>
      <c r="Y974">
        <v>6.3</v>
      </c>
      <c r="Z974">
        <v>10.5</v>
      </c>
      <c r="AA974">
        <v>9.5</v>
      </c>
      <c r="AB974">
        <f t="shared" si="30"/>
        <v>113.1</v>
      </c>
      <c r="AC974">
        <v>123.6</v>
      </c>
      <c r="AE974">
        <f t="shared" si="31"/>
        <v>3</v>
      </c>
    </row>
    <row r="975" spans="1:31" x14ac:dyDescent="0.25">
      <c r="A975">
        <v>2022</v>
      </c>
      <c r="B975" t="s">
        <v>99</v>
      </c>
      <c r="C975" t="str">
        <f>IF(COUNTIF('Rookies 22-25'!$B$61:$B$125,E975)&gt;0,"(R)","No")</f>
        <v>No</v>
      </c>
      <c r="D975">
        <v>54</v>
      </c>
      <c r="E975" t="s">
        <v>421</v>
      </c>
      <c r="F975" t="s">
        <v>26</v>
      </c>
      <c r="G975">
        <f>VLOOKUP(E975,'22 Draft ADP'!$B$2:$D$510,3,FALSE)</f>
        <v>115</v>
      </c>
      <c r="H975">
        <v>17</v>
      </c>
      <c r="I975">
        <v>8.1</v>
      </c>
      <c r="J975">
        <v>3.3</v>
      </c>
      <c r="K975">
        <v>8.8000000000000007</v>
      </c>
      <c r="L975">
        <v>9.3000000000000007</v>
      </c>
      <c r="M975">
        <v>15</v>
      </c>
      <c r="N975">
        <v>0</v>
      </c>
      <c r="O975">
        <v>14.1</v>
      </c>
      <c r="P975" t="s">
        <v>22</v>
      </c>
      <c r="Q975">
        <v>2.2000000000000002</v>
      </c>
      <c r="R975">
        <v>15</v>
      </c>
      <c r="S975">
        <v>2.8</v>
      </c>
      <c r="T975">
        <v>9.6</v>
      </c>
      <c r="U975">
        <v>9.1</v>
      </c>
      <c r="V975">
        <v>3</v>
      </c>
      <c r="W975">
        <v>11.6</v>
      </c>
      <c r="X975">
        <v>0</v>
      </c>
      <c r="Y975">
        <v>4.8</v>
      </c>
      <c r="Z975">
        <v>5.7</v>
      </c>
      <c r="AA975">
        <v>7.2</v>
      </c>
      <c r="AB975">
        <f t="shared" si="30"/>
        <v>116.7</v>
      </c>
      <c r="AC975">
        <v>122.4</v>
      </c>
      <c r="AE975">
        <f t="shared" si="31"/>
        <v>4</v>
      </c>
    </row>
    <row r="976" spans="1:31" x14ac:dyDescent="0.25">
      <c r="A976">
        <v>2022</v>
      </c>
      <c r="B976" t="s">
        <v>99</v>
      </c>
      <c r="C976" t="str">
        <f>IF(COUNTIF('Rookies 22-25'!$B$61:$B$125,E976)&gt;0,"(R)","No")</f>
        <v>No</v>
      </c>
      <c r="D976">
        <v>55</v>
      </c>
      <c r="E976" t="s">
        <v>1368</v>
      </c>
      <c r="F976" t="s">
        <v>61</v>
      </c>
      <c r="G976">
        <f>VLOOKUP(E976,'22 Draft ADP'!$B$2:$D$510,3,FALSE)</f>
        <v>149</v>
      </c>
      <c r="H976">
        <v>16</v>
      </c>
      <c r="I976">
        <v>9.9</v>
      </c>
      <c r="J976">
        <v>5.7</v>
      </c>
      <c r="K976">
        <v>21.2</v>
      </c>
      <c r="L976">
        <v>12.1</v>
      </c>
      <c r="N976">
        <v>2.9</v>
      </c>
      <c r="O976" t="s">
        <v>22</v>
      </c>
      <c r="P976">
        <v>8</v>
      </c>
      <c r="Q976">
        <v>4.0999999999999996</v>
      </c>
      <c r="R976">
        <v>9.5</v>
      </c>
      <c r="S976">
        <v>0</v>
      </c>
      <c r="T976">
        <v>22.3</v>
      </c>
      <c r="U976">
        <v>9.4</v>
      </c>
      <c r="V976">
        <v>5.8</v>
      </c>
      <c r="W976">
        <v>4.4000000000000004</v>
      </c>
      <c r="X976">
        <v>0.6</v>
      </c>
      <c r="Y976">
        <v>0</v>
      </c>
      <c r="Z976">
        <v>3.9</v>
      </c>
      <c r="AA976">
        <v>7.5</v>
      </c>
      <c r="AB976">
        <f t="shared" si="30"/>
        <v>115.89999999999999</v>
      </c>
      <c r="AC976">
        <v>119.8</v>
      </c>
      <c r="AE976">
        <f t="shared" si="31"/>
        <v>3</v>
      </c>
    </row>
    <row r="977" spans="1:31" x14ac:dyDescent="0.25">
      <c r="A977">
        <v>2022</v>
      </c>
      <c r="B977" t="s">
        <v>99</v>
      </c>
      <c r="C977" t="str">
        <f>IF(COUNTIF('Rookies 22-25'!$B$61:$B$125,E977)&gt;0,"(R)","No")</f>
        <v>No</v>
      </c>
      <c r="D977">
        <v>56</v>
      </c>
      <c r="E977" t="s">
        <v>1488</v>
      </c>
      <c r="F977" t="s">
        <v>67</v>
      </c>
      <c r="G977">
        <f>VLOOKUP(E977,'22 Draft ADP'!$B$2:$D$510,3,FALSE)</f>
        <v>176</v>
      </c>
      <c r="H977">
        <v>16</v>
      </c>
      <c r="I977">
        <v>7.8</v>
      </c>
      <c r="J977">
        <v>6.3</v>
      </c>
      <c r="K977">
        <v>13.3</v>
      </c>
      <c r="L977">
        <v>0</v>
      </c>
      <c r="M977">
        <v>17.399999999999999</v>
      </c>
      <c r="O977">
        <v>9.6999999999999993</v>
      </c>
      <c r="P977">
        <v>0</v>
      </c>
      <c r="Q977">
        <v>9.8000000000000007</v>
      </c>
      <c r="R977">
        <v>4.3</v>
      </c>
      <c r="S977" t="s">
        <v>22</v>
      </c>
      <c r="T977">
        <v>11.2</v>
      </c>
      <c r="U977">
        <v>2.7</v>
      </c>
      <c r="V977">
        <v>3.2</v>
      </c>
      <c r="W977">
        <v>9.6999999999999993</v>
      </c>
      <c r="X977">
        <v>4.5</v>
      </c>
      <c r="Y977">
        <v>12.1</v>
      </c>
      <c r="Z977">
        <v>4.9000000000000004</v>
      </c>
      <c r="AA977">
        <v>7.3</v>
      </c>
      <c r="AB977">
        <f t="shared" si="30"/>
        <v>112</v>
      </c>
      <c r="AC977">
        <v>116.9</v>
      </c>
      <c r="AE977">
        <f t="shared" si="31"/>
        <v>4</v>
      </c>
    </row>
    <row r="978" spans="1:31" x14ac:dyDescent="0.25">
      <c r="A978">
        <v>2022</v>
      </c>
      <c r="B978" t="s">
        <v>99</v>
      </c>
      <c r="C978" t="str">
        <f>IF(COUNTIF('Rookies 22-25'!$B$61:$B$125,E978)&gt;0,"(R)","No")</f>
        <v>No</v>
      </c>
      <c r="D978">
        <v>57</v>
      </c>
      <c r="E978" t="s">
        <v>193</v>
      </c>
      <c r="F978" t="s">
        <v>75</v>
      </c>
      <c r="G978">
        <f>VLOOKUP(E978,'22 Draft ADP'!$B$2:$D$510,3,FALSE)</f>
        <v>430</v>
      </c>
      <c r="H978">
        <v>17</v>
      </c>
      <c r="I978">
        <v>0</v>
      </c>
      <c r="J978">
        <v>0</v>
      </c>
      <c r="K978">
        <v>1.4</v>
      </c>
      <c r="L978">
        <v>5.0999999999999996</v>
      </c>
      <c r="M978">
        <v>9.5</v>
      </c>
      <c r="N978" t="s">
        <v>22</v>
      </c>
      <c r="O978">
        <v>14.5</v>
      </c>
      <c r="P978">
        <v>10.6</v>
      </c>
      <c r="Q978">
        <v>4.7</v>
      </c>
      <c r="R978">
        <v>7.7</v>
      </c>
      <c r="S978">
        <v>7</v>
      </c>
      <c r="T978">
        <v>7.5</v>
      </c>
      <c r="U978">
        <v>2.6</v>
      </c>
      <c r="V978">
        <v>3.9</v>
      </c>
      <c r="W978">
        <v>16.3</v>
      </c>
      <c r="X978">
        <v>7.4</v>
      </c>
      <c r="Y978">
        <v>7.4</v>
      </c>
      <c r="Z978">
        <v>10.6</v>
      </c>
      <c r="AA978">
        <v>6.8</v>
      </c>
      <c r="AB978">
        <f t="shared" si="30"/>
        <v>105.60000000000001</v>
      </c>
      <c r="AC978">
        <v>116.2</v>
      </c>
      <c r="AE978">
        <f t="shared" si="31"/>
        <v>3</v>
      </c>
    </row>
    <row r="979" spans="1:31" x14ac:dyDescent="0.25">
      <c r="A979">
        <v>2022</v>
      </c>
      <c r="B979" t="s">
        <v>99</v>
      </c>
      <c r="C979" t="str">
        <f>IF(COUNTIF('Rookies 22-25'!$B$61:$B$125,E979)&gt;0,"(R)","No")</f>
        <v>No</v>
      </c>
      <c r="D979">
        <v>58</v>
      </c>
      <c r="E979" t="s">
        <v>921</v>
      </c>
      <c r="F979" t="s">
        <v>53</v>
      </c>
      <c r="G979">
        <f>VLOOKUP(E979,'22 Draft ADP'!$B$2:$D$510,3,FALSE)</f>
        <v>226</v>
      </c>
      <c r="H979">
        <v>14</v>
      </c>
      <c r="I979">
        <v>21.4</v>
      </c>
      <c r="J979">
        <v>12.2</v>
      </c>
      <c r="K979">
        <v>10.3</v>
      </c>
      <c r="L979">
        <v>9.1</v>
      </c>
      <c r="M979">
        <v>12.8</v>
      </c>
      <c r="N979">
        <v>2.4</v>
      </c>
      <c r="O979">
        <v>6.2</v>
      </c>
      <c r="P979">
        <v>16.399999999999999</v>
      </c>
      <c r="Q979">
        <v>1.5</v>
      </c>
      <c r="R979" t="s">
        <v>22</v>
      </c>
      <c r="S979">
        <v>1.7</v>
      </c>
      <c r="T979">
        <v>6.9</v>
      </c>
      <c r="U979">
        <v>10.3</v>
      </c>
      <c r="V979">
        <v>0</v>
      </c>
      <c r="W979">
        <v>4.9000000000000004</v>
      </c>
      <c r="AA979">
        <v>8.3000000000000007</v>
      </c>
      <c r="AB979">
        <f t="shared" si="30"/>
        <v>116.1</v>
      </c>
      <c r="AC979">
        <v>116.1</v>
      </c>
      <c r="AE979">
        <f t="shared" si="31"/>
        <v>6</v>
      </c>
    </row>
    <row r="980" spans="1:31" x14ac:dyDescent="0.25">
      <c r="A980">
        <v>2022</v>
      </c>
      <c r="B980" t="s">
        <v>99</v>
      </c>
      <c r="C980" t="str">
        <f>IF(COUNTIF('Rookies 22-25'!$B$61:$B$125,E980)&gt;0,"(R)","No")</f>
        <v>No</v>
      </c>
      <c r="D980">
        <v>59</v>
      </c>
      <c r="E980" t="s">
        <v>465</v>
      </c>
      <c r="F980" t="s">
        <v>63</v>
      </c>
      <c r="G980">
        <f>VLOOKUP(E980,'22 Draft ADP'!$B$2:$D$510,3,FALSE)</f>
        <v>102</v>
      </c>
      <c r="H980">
        <v>17</v>
      </c>
      <c r="I980">
        <v>2.2999999999999998</v>
      </c>
      <c r="J980">
        <v>7.9</v>
      </c>
      <c r="K980">
        <v>12.5</v>
      </c>
      <c r="L980">
        <v>13</v>
      </c>
      <c r="M980">
        <v>7.7</v>
      </c>
      <c r="N980" t="s">
        <v>22</v>
      </c>
      <c r="O980">
        <v>5.6</v>
      </c>
      <c r="P980">
        <v>2.6</v>
      </c>
      <c r="Q980">
        <v>0</v>
      </c>
      <c r="R980">
        <v>3</v>
      </c>
      <c r="S980">
        <v>12.9</v>
      </c>
      <c r="T980">
        <v>3.6</v>
      </c>
      <c r="U980">
        <v>1.6</v>
      </c>
      <c r="V980">
        <v>9.9</v>
      </c>
      <c r="W980">
        <v>3.2</v>
      </c>
      <c r="X980">
        <v>7</v>
      </c>
      <c r="Y980">
        <v>14.9</v>
      </c>
      <c r="Z980">
        <v>8</v>
      </c>
      <c r="AA980">
        <v>6.8</v>
      </c>
      <c r="AB980">
        <f t="shared" si="30"/>
        <v>107.7</v>
      </c>
      <c r="AC980">
        <v>115.7</v>
      </c>
      <c r="AE980">
        <f t="shared" si="31"/>
        <v>4</v>
      </c>
    </row>
    <row r="981" spans="1:31" x14ac:dyDescent="0.25">
      <c r="A981">
        <v>2022</v>
      </c>
      <c r="B981" t="s">
        <v>99</v>
      </c>
      <c r="C981" t="str">
        <f>IF(COUNTIF('Rookies 22-25'!$B$61:$B$125,E981)&gt;0,"(R)","No")</f>
        <v>No</v>
      </c>
      <c r="D981">
        <v>60</v>
      </c>
      <c r="E981" t="s">
        <v>471</v>
      </c>
      <c r="F981" t="s">
        <v>41</v>
      </c>
      <c r="G981">
        <f>VLOOKUP(E981,'22 Draft ADP'!$B$2:$D$510,3,FALSE)</f>
        <v>450</v>
      </c>
      <c r="H981">
        <v>15</v>
      </c>
      <c r="I981">
        <v>6.1</v>
      </c>
      <c r="J981">
        <v>3.4</v>
      </c>
      <c r="K981">
        <v>9.3000000000000007</v>
      </c>
      <c r="L981">
        <v>0</v>
      </c>
      <c r="N981" t="s">
        <v>22</v>
      </c>
      <c r="O981">
        <v>10</v>
      </c>
      <c r="Q981">
        <v>14.5</v>
      </c>
      <c r="R981">
        <v>10</v>
      </c>
      <c r="S981">
        <v>7.3</v>
      </c>
      <c r="T981">
        <v>2.7</v>
      </c>
      <c r="U981">
        <v>7.6</v>
      </c>
      <c r="V981">
        <v>22.4</v>
      </c>
      <c r="W981">
        <v>8.1999999999999993</v>
      </c>
      <c r="X981">
        <v>4.5</v>
      </c>
      <c r="Y981">
        <v>5.0999999999999996</v>
      </c>
      <c r="Z981">
        <v>4</v>
      </c>
      <c r="AA981">
        <v>7.7</v>
      </c>
      <c r="AB981">
        <f t="shared" si="30"/>
        <v>111.1</v>
      </c>
      <c r="AC981">
        <v>115.1</v>
      </c>
      <c r="AE981">
        <f t="shared" si="31"/>
        <v>2</v>
      </c>
    </row>
    <row r="982" spans="1:31" x14ac:dyDescent="0.25">
      <c r="A982">
        <v>2022</v>
      </c>
      <c r="B982" t="s">
        <v>99</v>
      </c>
      <c r="C982" t="str">
        <f>IF(COUNTIF('Rookies 22-25'!$B$61:$B$125,E982)&gt;0,"(R)","No")</f>
        <v>No</v>
      </c>
      <c r="D982">
        <v>61</v>
      </c>
      <c r="E982" t="s">
        <v>419</v>
      </c>
      <c r="F982" t="s">
        <v>30</v>
      </c>
      <c r="G982">
        <f>VLOOKUP(E982,'22 Draft ADP'!$B$2:$D$510,3,FALSE)</f>
        <v>289</v>
      </c>
      <c r="H982">
        <v>16</v>
      </c>
      <c r="I982">
        <v>11.8</v>
      </c>
      <c r="J982">
        <v>20.100000000000001</v>
      </c>
      <c r="K982">
        <v>10.4</v>
      </c>
      <c r="L982">
        <v>9.1</v>
      </c>
      <c r="M982">
        <v>1.5</v>
      </c>
      <c r="N982">
        <v>2</v>
      </c>
      <c r="O982">
        <v>8</v>
      </c>
      <c r="Q982" t="s">
        <v>22</v>
      </c>
      <c r="R982">
        <v>1.3</v>
      </c>
      <c r="S982">
        <v>6.2</v>
      </c>
      <c r="T982">
        <v>0</v>
      </c>
      <c r="U982">
        <v>3.5</v>
      </c>
      <c r="V982">
        <v>12.5</v>
      </c>
      <c r="W982">
        <v>22.9</v>
      </c>
      <c r="X982">
        <v>1.5</v>
      </c>
      <c r="Y982">
        <v>1.7</v>
      </c>
      <c r="Z982">
        <v>2</v>
      </c>
      <c r="AA982">
        <v>7.2</v>
      </c>
      <c r="AB982">
        <f t="shared" si="30"/>
        <v>112.5</v>
      </c>
      <c r="AC982">
        <v>114.5</v>
      </c>
      <c r="AE982">
        <f t="shared" si="31"/>
        <v>5</v>
      </c>
    </row>
    <row r="983" spans="1:31" x14ac:dyDescent="0.25">
      <c r="A983">
        <v>2022</v>
      </c>
      <c r="B983" t="s">
        <v>99</v>
      </c>
      <c r="C983" t="str">
        <f>IF(COUNTIF('Rookies 22-25'!$B$61:$B$125,E983)&gt;0,"(R)","No")</f>
        <v>No</v>
      </c>
      <c r="D983">
        <v>62</v>
      </c>
      <c r="E983" t="s">
        <v>183</v>
      </c>
      <c r="F983" t="s">
        <v>21</v>
      </c>
      <c r="G983">
        <f>VLOOKUP(E983,'22 Draft ADP'!$B$2:$D$510,3,FALSE)</f>
        <v>448</v>
      </c>
      <c r="H983">
        <v>16</v>
      </c>
      <c r="I983">
        <v>13.3</v>
      </c>
      <c r="J983">
        <v>15.5</v>
      </c>
      <c r="K983">
        <v>17</v>
      </c>
      <c r="L983">
        <v>1.6</v>
      </c>
      <c r="M983">
        <v>0</v>
      </c>
      <c r="N983">
        <v>0</v>
      </c>
      <c r="O983">
        <v>7.6</v>
      </c>
      <c r="P983">
        <v>1.2</v>
      </c>
      <c r="Q983">
        <v>1.3</v>
      </c>
      <c r="R983">
        <v>0</v>
      </c>
      <c r="S983">
        <v>19.3</v>
      </c>
      <c r="U983" t="s">
        <v>22</v>
      </c>
      <c r="V983">
        <v>0</v>
      </c>
      <c r="W983">
        <v>0</v>
      </c>
      <c r="X983">
        <v>22.3</v>
      </c>
      <c r="Y983">
        <v>5.5</v>
      </c>
      <c r="Z983">
        <v>8.5</v>
      </c>
      <c r="AA983">
        <v>7.1</v>
      </c>
      <c r="AB983">
        <f t="shared" si="30"/>
        <v>104.6</v>
      </c>
      <c r="AC983">
        <v>113.1</v>
      </c>
      <c r="AE983">
        <f t="shared" si="31"/>
        <v>5</v>
      </c>
    </row>
    <row r="984" spans="1:31" x14ac:dyDescent="0.25">
      <c r="A984">
        <v>2022</v>
      </c>
      <c r="B984" t="s">
        <v>99</v>
      </c>
      <c r="C984" t="str">
        <f>IF(COUNTIF('Rookies 22-25'!$B$61:$B$125,E984)&gt;0,"(R)","No")</f>
        <v>(R)</v>
      </c>
      <c r="D984">
        <v>63</v>
      </c>
      <c r="E984" t="s">
        <v>127</v>
      </c>
      <c r="F984" t="s">
        <v>28</v>
      </c>
      <c r="G984">
        <f>VLOOKUP(E984,'22 Draft ADP'!$B$2:$D$510,3,FALSE)</f>
        <v>173</v>
      </c>
      <c r="H984">
        <v>16</v>
      </c>
      <c r="I984">
        <v>0</v>
      </c>
      <c r="K984">
        <v>9.1</v>
      </c>
      <c r="L984">
        <v>12</v>
      </c>
      <c r="M984">
        <v>16.100000000000001</v>
      </c>
      <c r="N984">
        <v>13.9</v>
      </c>
      <c r="O984">
        <v>6.7</v>
      </c>
      <c r="P984">
        <v>9.5</v>
      </c>
      <c r="Q984">
        <v>3.3</v>
      </c>
      <c r="R984">
        <v>0</v>
      </c>
      <c r="S984">
        <v>5.8</v>
      </c>
      <c r="T984">
        <v>0</v>
      </c>
      <c r="U984">
        <v>18.600000000000001</v>
      </c>
      <c r="V984" t="s">
        <v>22</v>
      </c>
      <c r="W984">
        <v>0</v>
      </c>
      <c r="X984">
        <v>5.6</v>
      </c>
      <c r="Y984">
        <v>4.5</v>
      </c>
      <c r="Z984">
        <v>7.2</v>
      </c>
      <c r="AA984">
        <v>7</v>
      </c>
      <c r="AB984">
        <f t="shared" si="30"/>
        <v>105.1</v>
      </c>
      <c r="AC984">
        <v>112.3</v>
      </c>
      <c r="AE984">
        <f t="shared" si="31"/>
        <v>4</v>
      </c>
    </row>
    <row r="985" spans="1:31" x14ac:dyDescent="0.25">
      <c r="A985">
        <v>2022</v>
      </c>
      <c r="B985" t="s">
        <v>99</v>
      </c>
      <c r="C985" t="str">
        <f>IF(COUNTIF('Rookies 22-25'!$B$61:$B$125,E985)&gt;0,"(R)","No")</f>
        <v>No</v>
      </c>
      <c r="D985">
        <v>63</v>
      </c>
      <c r="E985" t="s">
        <v>1137</v>
      </c>
      <c r="F985" t="s">
        <v>51</v>
      </c>
      <c r="G985">
        <f>VLOOKUP(E985,'22 Draft ADP'!$B$2:$D$510,3,FALSE)</f>
        <v>339</v>
      </c>
      <c r="H985">
        <v>17</v>
      </c>
      <c r="I985">
        <v>15.4</v>
      </c>
      <c r="J985">
        <v>8.5</v>
      </c>
      <c r="K985">
        <v>5.6</v>
      </c>
      <c r="L985">
        <v>1.6</v>
      </c>
      <c r="M985">
        <v>2.9</v>
      </c>
      <c r="N985">
        <v>4.7</v>
      </c>
      <c r="O985">
        <v>6.7</v>
      </c>
      <c r="P985" t="s">
        <v>22</v>
      </c>
      <c r="Q985">
        <v>10.3</v>
      </c>
      <c r="R985">
        <v>16.399999999999999</v>
      </c>
      <c r="S985">
        <v>6.3</v>
      </c>
      <c r="T985">
        <v>20.3</v>
      </c>
      <c r="U985">
        <v>2.4</v>
      </c>
      <c r="V985">
        <v>1</v>
      </c>
      <c r="W985">
        <v>1.5</v>
      </c>
      <c r="X985">
        <v>0</v>
      </c>
      <c r="Y985">
        <v>3.4</v>
      </c>
      <c r="Z985">
        <v>5.3</v>
      </c>
      <c r="AA985">
        <v>6.6</v>
      </c>
      <c r="AB985">
        <f t="shared" si="30"/>
        <v>107</v>
      </c>
      <c r="AC985">
        <v>112.3</v>
      </c>
      <c r="AE985">
        <f t="shared" si="31"/>
        <v>4</v>
      </c>
    </row>
    <row r="986" spans="1:31" x14ac:dyDescent="0.25">
      <c r="A986">
        <v>2022</v>
      </c>
      <c r="B986" t="s">
        <v>99</v>
      </c>
      <c r="C986" t="str">
        <f>IF(COUNTIF('Rookies 22-25'!$B$61:$B$125,E986)&gt;0,"(R)","No")</f>
        <v>No</v>
      </c>
      <c r="D986">
        <v>65</v>
      </c>
      <c r="E986" t="s">
        <v>175</v>
      </c>
      <c r="F986" t="s">
        <v>24</v>
      </c>
      <c r="G986">
        <f>VLOOKUP(E986,'22 Draft ADP'!$B$2:$D$510,3,FALSE)</f>
        <v>310</v>
      </c>
      <c r="H986">
        <v>17</v>
      </c>
      <c r="I986">
        <v>6.9</v>
      </c>
      <c r="J986">
        <v>10.1</v>
      </c>
      <c r="K986">
        <v>6.9</v>
      </c>
      <c r="L986">
        <v>7.5</v>
      </c>
      <c r="M986">
        <v>11.9</v>
      </c>
      <c r="N986">
        <v>9.8000000000000007</v>
      </c>
      <c r="O986">
        <v>6.1</v>
      </c>
      <c r="P986">
        <v>1.4</v>
      </c>
      <c r="Q986">
        <v>3.9</v>
      </c>
      <c r="R986">
        <v>5.4</v>
      </c>
      <c r="S986">
        <v>3.2</v>
      </c>
      <c r="T986">
        <v>14.1</v>
      </c>
      <c r="U986">
        <v>3.3</v>
      </c>
      <c r="V986" t="s">
        <v>22</v>
      </c>
      <c r="W986">
        <v>0</v>
      </c>
      <c r="X986">
        <v>5.8</v>
      </c>
      <c r="Y986">
        <v>0</v>
      </c>
      <c r="Z986">
        <v>13.7</v>
      </c>
      <c r="AA986">
        <v>6.5</v>
      </c>
      <c r="AB986">
        <f t="shared" si="30"/>
        <v>96.3</v>
      </c>
      <c r="AC986">
        <v>110</v>
      </c>
      <c r="AE986">
        <f t="shared" si="31"/>
        <v>3</v>
      </c>
    </row>
    <row r="987" spans="1:31" x14ac:dyDescent="0.25">
      <c r="A987">
        <v>2022</v>
      </c>
      <c r="B987" t="s">
        <v>99</v>
      </c>
      <c r="C987" t="str">
        <f>IF(COUNTIF('Rookies 22-25'!$B$61:$B$125,E987)&gt;0,"(R)","No")</f>
        <v>No</v>
      </c>
      <c r="D987">
        <v>66</v>
      </c>
      <c r="E987" t="s">
        <v>466</v>
      </c>
      <c r="F987" t="s">
        <v>30</v>
      </c>
      <c r="G987">
        <f>VLOOKUP(E987,'22 Draft ADP'!$B$2:$D$510,3,FALSE)</f>
        <v>126</v>
      </c>
      <c r="H987">
        <v>14</v>
      </c>
      <c r="L987">
        <v>10.4</v>
      </c>
      <c r="M987">
        <v>8.4</v>
      </c>
      <c r="N987">
        <v>3.8</v>
      </c>
      <c r="O987">
        <v>0</v>
      </c>
      <c r="P987">
        <v>8.9</v>
      </c>
      <c r="Q987" t="s">
        <v>22</v>
      </c>
      <c r="R987">
        <v>7.5</v>
      </c>
      <c r="S987">
        <v>7.1</v>
      </c>
      <c r="T987">
        <v>11.3</v>
      </c>
      <c r="U987">
        <v>18.3</v>
      </c>
      <c r="V987">
        <v>6</v>
      </c>
      <c r="W987">
        <v>1.2</v>
      </c>
      <c r="X987">
        <v>13.6</v>
      </c>
      <c r="Y987">
        <v>6.9</v>
      </c>
      <c r="Z987">
        <v>2</v>
      </c>
      <c r="AA987">
        <v>7.5</v>
      </c>
      <c r="AB987">
        <f t="shared" si="30"/>
        <v>103.4</v>
      </c>
      <c r="AC987">
        <v>105.4</v>
      </c>
      <c r="AE987">
        <f t="shared" si="31"/>
        <v>4</v>
      </c>
    </row>
    <row r="988" spans="1:31" x14ac:dyDescent="0.25">
      <c r="A988">
        <v>2022</v>
      </c>
      <c r="B988" t="s">
        <v>99</v>
      </c>
      <c r="C988" t="str">
        <f>IF(COUNTIF('Rookies 22-25'!$B$61:$B$125,E988)&gt;0,"(R)","No")</f>
        <v>No</v>
      </c>
      <c r="D988">
        <v>67</v>
      </c>
      <c r="E988" t="s">
        <v>769</v>
      </c>
      <c r="F988" t="s">
        <v>45</v>
      </c>
      <c r="G988">
        <f>VLOOKUP(E988,'22 Draft ADP'!$B$2:$D$510,3,FALSE)</f>
        <v>114</v>
      </c>
      <c r="H988">
        <v>15</v>
      </c>
      <c r="I988">
        <v>9.4</v>
      </c>
      <c r="J988">
        <v>6.6</v>
      </c>
      <c r="K988">
        <v>7.6</v>
      </c>
      <c r="L988">
        <v>0</v>
      </c>
      <c r="M988">
        <v>10</v>
      </c>
      <c r="N988">
        <v>23.4</v>
      </c>
      <c r="O988">
        <v>9.1</v>
      </c>
      <c r="P988">
        <v>12.5</v>
      </c>
      <c r="Q988">
        <v>3.7</v>
      </c>
      <c r="R988">
        <v>1.8</v>
      </c>
      <c r="S988">
        <v>3.1</v>
      </c>
      <c r="T988">
        <v>7.1</v>
      </c>
      <c r="U988">
        <v>5.8</v>
      </c>
      <c r="V988" t="s">
        <v>22</v>
      </c>
      <c r="Y988">
        <v>0</v>
      </c>
      <c r="Z988">
        <v>4.9000000000000004</v>
      </c>
      <c r="AA988">
        <v>7</v>
      </c>
      <c r="AB988">
        <f t="shared" si="30"/>
        <v>100.1</v>
      </c>
      <c r="AC988">
        <v>105</v>
      </c>
      <c r="AE988">
        <f t="shared" si="31"/>
        <v>2</v>
      </c>
    </row>
    <row r="989" spans="1:31" x14ac:dyDescent="0.25">
      <c r="A989">
        <v>2022</v>
      </c>
      <c r="B989" t="s">
        <v>99</v>
      </c>
      <c r="C989" t="str">
        <f>IF(COUNTIF('Rookies 22-25'!$B$61:$B$125,E989)&gt;0,"(R)","No")</f>
        <v>No</v>
      </c>
      <c r="D989">
        <v>68</v>
      </c>
      <c r="E989" t="s">
        <v>435</v>
      </c>
      <c r="F989" t="s">
        <v>75</v>
      </c>
      <c r="G989">
        <f>VLOOKUP(E989,'22 Draft ADP'!$B$2:$D$510,3,FALSE)</f>
        <v>330</v>
      </c>
      <c r="H989">
        <v>12</v>
      </c>
      <c r="I989">
        <v>3.8</v>
      </c>
      <c r="J989">
        <v>12.8</v>
      </c>
      <c r="K989">
        <v>15.6</v>
      </c>
      <c r="L989">
        <v>21.1</v>
      </c>
      <c r="M989">
        <v>15.2</v>
      </c>
      <c r="N989" t="s">
        <v>22</v>
      </c>
      <c r="O989">
        <v>1.8</v>
      </c>
      <c r="P989">
        <v>3.4</v>
      </c>
      <c r="U989">
        <v>4.9000000000000004</v>
      </c>
      <c r="V989">
        <v>16.100000000000001</v>
      </c>
      <c r="X989">
        <v>5.0999999999999996</v>
      </c>
      <c r="Y989">
        <v>1.5</v>
      </c>
      <c r="Z989">
        <v>2.6</v>
      </c>
      <c r="AA989">
        <v>8.6999999999999993</v>
      </c>
      <c r="AB989">
        <f t="shared" si="30"/>
        <v>101.30000000000001</v>
      </c>
      <c r="AC989">
        <v>103.9</v>
      </c>
      <c r="AE989">
        <f t="shared" si="31"/>
        <v>5</v>
      </c>
    </row>
    <row r="990" spans="1:31" x14ac:dyDescent="0.25">
      <c r="A990">
        <v>2022</v>
      </c>
      <c r="B990" t="s">
        <v>99</v>
      </c>
      <c r="C990" t="str">
        <f>IF(COUNTIF('Rookies 22-25'!$B$61:$B$125,E990)&gt;0,"(R)","No")</f>
        <v>No</v>
      </c>
      <c r="D990">
        <v>69</v>
      </c>
      <c r="E990" t="s">
        <v>199</v>
      </c>
      <c r="F990" t="s">
        <v>53</v>
      </c>
      <c r="G990">
        <f>VLOOKUP(E990,'22 Draft ADP'!$B$2:$D$510,3,FALSE)</f>
        <v>322</v>
      </c>
      <c r="H990">
        <v>16</v>
      </c>
      <c r="I990">
        <v>3.9</v>
      </c>
      <c r="J990">
        <v>8.1999999999999993</v>
      </c>
      <c r="K990">
        <v>0</v>
      </c>
      <c r="L990">
        <v>3</v>
      </c>
      <c r="M990">
        <v>1.8</v>
      </c>
      <c r="N990">
        <v>5.7</v>
      </c>
      <c r="P990">
        <v>12.4</v>
      </c>
      <c r="Q990">
        <v>2.2000000000000002</v>
      </c>
      <c r="R990" t="s">
        <v>22</v>
      </c>
      <c r="S990">
        <v>21.8</v>
      </c>
      <c r="T990">
        <v>2.7</v>
      </c>
      <c r="U990">
        <v>11.1</v>
      </c>
      <c r="V990">
        <v>10.199999999999999</v>
      </c>
      <c r="W990">
        <v>6.9</v>
      </c>
      <c r="X990">
        <v>7.6</v>
      </c>
      <c r="Y990">
        <v>1.9</v>
      </c>
      <c r="Z990">
        <v>4.4000000000000004</v>
      </c>
      <c r="AA990">
        <v>6.5</v>
      </c>
      <c r="AB990">
        <f t="shared" si="30"/>
        <v>99.399999999999991</v>
      </c>
      <c r="AC990">
        <v>103.8</v>
      </c>
      <c r="AE990">
        <f t="shared" si="31"/>
        <v>4</v>
      </c>
    </row>
    <row r="991" spans="1:31" x14ac:dyDescent="0.25">
      <c r="A991">
        <v>2022</v>
      </c>
      <c r="B991" t="s">
        <v>99</v>
      </c>
      <c r="C991" t="str">
        <f>IF(COUNTIF('Rookies 22-25'!$B$61:$B$125,E991)&gt;0,"(R)","No")</f>
        <v>No</v>
      </c>
      <c r="D991">
        <v>70</v>
      </c>
      <c r="E991" t="s">
        <v>470</v>
      </c>
      <c r="F991" t="s">
        <v>510</v>
      </c>
      <c r="G991">
        <f>VLOOKUP(E991,'22 Draft ADP'!$B$2:$D$510,3,FALSE)</f>
        <v>155</v>
      </c>
      <c r="H991">
        <v>13</v>
      </c>
      <c r="I991">
        <v>1.9</v>
      </c>
      <c r="J991">
        <v>0</v>
      </c>
      <c r="K991">
        <v>20.6</v>
      </c>
      <c r="L991">
        <v>10.4</v>
      </c>
      <c r="M991">
        <v>0</v>
      </c>
      <c r="N991">
        <v>10.4</v>
      </c>
      <c r="O991">
        <v>9.8000000000000007</v>
      </c>
      <c r="P991">
        <v>0</v>
      </c>
      <c r="R991" t="s">
        <v>22</v>
      </c>
      <c r="S991">
        <v>3.9</v>
      </c>
      <c r="T991">
        <v>12</v>
      </c>
      <c r="U991">
        <v>3.6</v>
      </c>
      <c r="V991">
        <v>4.4000000000000004</v>
      </c>
      <c r="Z991">
        <v>25.9</v>
      </c>
      <c r="AA991">
        <v>7.9</v>
      </c>
      <c r="AB991">
        <f t="shared" si="30"/>
        <v>77</v>
      </c>
      <c r="AC991">
        <v>102.9</v>
      </c>
      <c r="AE991">
        <f t="shared" si="31"/>
        <v>4</v>
      </c>
    </row>
    <row r="992" spans="1:31" x14ac:dyDescent="0.25">
      <c r="A992">
        <v>2022</v>
      </c>
      <c r="B992" t="s">
        <v>99</v>
      </c>
      <c r="C992" t="str">
        <f>IF(COUNTIF('Rookies 22-25'!$B$61:$B$125,E992)&gt;0,"(R)","No")</f>
        <v>(R)</v>
      </c>
      <c r="D992">
        <v>71</v>
      </c>
      <c r="E992" t="s">
        <v>136</v>
      </c>
      <c r="F992" t="s">
        <v>69</v>
      </c>
      <c r="G992">
        <f>VLOOKUP(E992,'22 Draft ADP'!$B$2:$D$510,3,FALSE)</f>
        <v>142</v>
      </c>
      <c r="H992">
        <v>13</v>
      </c>
      <c r="I992">
        <v>8.8000000000000007</v>
      </c>
      <c r="J992">
        <v>4.7</v>
      </c>
      <c r="K992">
        <v>21.3</v>
      </c>
      <c r="L992">
        <v>13.7</v>
      </c>
      <c r="M992">
        <v>5.9</v>
      </c>
      <c r="N992">
        <v>6.1</v>
      </c>
      <c r="O992">
        <v>0</v>
      </c>
      <c r="P992">
        <v>16.2</v>
      </c>
      <c r="Q992">
        <v>2.8</v>
      </c>
      <c r="V992" t="s">
        <v>22</v>
      </c>
      <c r="W992">
        <v>10.5</v>
      </c>
      <c r="X992">
        <v>6.6</v>
      </c>
      <c r="Y992">
        <v>5</v>
      </c>
      <c r="Z992">
        <v>0</v>
      </c>
      <c r="AA992">
        <v>7.8</v>
      </c>
      <c r="AB992">
        <f t="shared" si="30"/>
        <v>101.6</v>
      </c>
      <c r="AC992">
        <v>101.6</v>
      </c>
      <c r="AE992">
        <f t="shared" si="31"/>
        <v>4</v>
      </c>
    </row>
    <row r="993" spans="1:31" x14ac:dyDescent="0.25">
      <c r="A993">
        <v>2022</v>
      </c>
      <c r="B993" t="s">
        <v>99</v>
      </c>
      <c r="C993" t="str">
        <f>IF(COUNTIF('Rookies 22-25'!$B$61:$B$125,E993)&gt;0,"(R)","No")</f>
        <v>No</v>
      </c>
      <c r="D993">
        <v>72</v>
      </c>
      <c r="E993" t="s">
        <v>178</v>
      </c>
      <c r="F993" t="s">
        <v>45</v>
      </c>
      <c r="G993">
        <f>VLOOKUP(E993,'22 Draft ADP'!$B$2:$D$510,3,FALSE)</f>
        <v>61</v>
      </c>
      <c r="H993">
        <v>11</v>
      </c>
      <c r="I993">
        <v>1.8</v>
      </c>
      <c r="J993">
        <v>0.6</v>
      </c>
      <c r="K993">
        <v>4.3</v>
      </c>
      <c r="L993">
        <v>13.4</v>
      </c>
      <c r="M993">
        <v>7.2</v>
      </c>
      <c r="N993">
        <v>13.8</v>
      </c>
      <c r="O993">
        <v>8.3000000000000007</v>
      </c>
      <c r="P993">
        <v>12</v>
      </c>
      <c r="Q993">
        <v>17.5</v>
      </c>
      <c r="R993">
        <v>9.6999999999999993</v>
      </c>
      <c r="S993">
        <v>12.9</v>
      </c>
      <c r="V993" t="s">
        <v>22</v>
      </c>
      <c r="AA993">
        <v>9.1999999999999993</v>
      </c>
      <c r="AB993">
        <f t="shared" si="30"/>
        <v>101.5</v>
      </c>
      <c r="AC993">
        <v>101.5</v>
      </c>
      <c r="AE993">
        <f t="shared" si="31"/>
        <v>5</v>
      </c>
    </row>
    <row r="994" spans="1:31" x14ac:dyDescent="0.25">
      <c r="A994">
        <v>2022</v>
      </c>
      <c r="B994" t="s">
        <v>99</v>
      </c>
      <c r="C994" t="str">
        <f>IF(COUNTIF('Rookies 22-25'!$B$61:$B$125,E994)&gt;0,"(R)","No")</f>
        <v>No</v>
      </c>
      <c r="D994">
        <v>73</v>
      </c>
      <c r="E994" t="s">
        <v>138</v>
      </c>
      <c r="F994" t="s">
        <v>37</v>
      </c>
      <c r="G994">
        <v>300</v>
      </c>
      <c r="H994">
        <v>12</v>
      </c>
      <c r="N994">
        <v>10.4</v>
      </c>
      <c r="O994">
        <v>12.3</v>
      </c>
      <c r="P994">
        <v>6.8</v>
      </c>
      <c r="Q994">
        <v>0</v>
      </c>
      <c r="R994">
        <v>2.2000000000000002</v>
      </c>
      <c r="S994">
        <v>1.8</v>
      </c>
      <c r="T994">
        <v>7.9</v>
      </c>
      <c r="U994">
        <v>11.5</v>
      </c>
      <c r="V994" t="s">
        <v>22</v>
      </c>
      <c r="W994">
        <v>18.5</v>
      </c>
      <c r="X994">
        <v>8.1</v>
      </c>
      <c r="Y994">
        <v>13.9</v>
      </c>
      <c r="Z994">
        <v>7.1</v>
      </c>
      <c r="AA994">
        <v>8.4</v>
      </c>
      <c r="AB994">
        <f t="shared" si="30"/>
        <v>93.4</v>
      </c>
      <c r="AC994">
        <v>100.5</v>
      </c>
      <c r="AE994">
        <f t="shared" si="31"/>
        <v>5</v>
      </c>
    </row>
    <row r="995" spans="1:31" x14ac:dyDescent="0.25">
      <c r="A995">
        <v>2022</v>
      </c>
      <c r="B995" t="s">
        <v>99</v>
      </c>
      <c r="C995" t="str">
        <f>IF(COUNTIF('Rookies 22-25'!$B$61:$B$125,E995)&gt;0,"(R)","No")</f>
        <v>No</v>
      </c>
      <c r="D995">
        <v>74</v>
      </c>
      <c r="E995" t="s">
        <v>477</v>
      </c>
      <c r="F995" t="s">
        <v>57</v>
      </c>
      <c r="G995">
        <v>300</v>
      </c>
      <c r="H995">
        <v>9</v>
      </c>
      <c r="M995">
        <v>8.1</v>
      </c>
      <c r="Q995" t="s">
        <v>22</v>
      </c>
      <c r="R995">
        <v>6.1</v>
      </c>
      <c r="S995">
        <v>3.9</v>
      </c>
      <c r="T995">
        <v>6.1</v>
      </c>
      <c r="U995">
        <v>15.4</v>
      </c>
      <c r="V995">
        <v>15.8</v>
      </c>
      <c r="W995">
        <v>7.7</v>
      </c>
      <c r="X995">
        <v>22.9</v>
      </c>
      <c r="Y995">
        <v>14.2</v>
      </c>
      <c r="AA995">
        <v>11.1</v>
      </c>
      <c r="AB995">
        <f t="shared" si="30"/>
        <v>100.2</v>
      </c>
      <c r="AC995">
        <v>100.2</v>
      </c>
      <c r="AE995">
        <f t="shared" si="31"/>
        <v>4</v>
      </c>
    </row>
    <row r="996" spans="1:31" x14ac:dyDescent="0.25">
      <c r="A996">
        <v>2022</v>
      </c>
      <c r="B996" t="s">
        <v>99</v>
      </c>
      <c r="C996" t="str">
        <f>IF(COUNTIF('Rookies 22-25'!$B$61:$B$125,E996)&gt;0,"(R)","No")</f>
        <v>No</v>
      </c>
      <c r="D996">
        <v>75</v>
      </c>
      <c r="E996" t="s">
        <v>1486</v>
      </c>
      <c r="F996" t="s">
        <v>75</v>
      </c>
      <c r="G996">
        <f>VLOOKUP(E996,'22 Draft ADP'!$B$2:$D$510,3,FALSE)</f>
        <v>137</v>
      </c>
      <c r="H996">
        <v>11</v>
      </c>
      <c r="I996">
        <v>15.2</v>
      </c>
      <c r="J996">
        <v>0</v>
      </c>
      <c r="K996">
        <v>7.6</v>
      </c>
      <c r="N996" t="s">
        <v>22</v>
      </c>
      <c r="S996">
        <v>0</v>
      </c>
      <c r="T996">
        <v>9.6</v>
      </c>
      <c r="U996">
        <v>14.8</v>
      </c>
      <c r="V996">
        <v>21.4</v>
      </c>
      <c r="W996">
        <v>2.8</v>
      </c>
      <c r="X996">
        <v>14.8</v>
      </c>
      <c r="Y996">
        <v>7.6</v>
      </c>
      <c r="Z996">
        <v>4.4000000000000004</v>
      </c>
      <c r="AA996">
        <v>8.9</v>
      </c>
      <c r="AB996">
        <f t="shared" si="30"/>
        <v>93.8</v>
      </c>
      <c r="AC996">
        <v>98.2</v>
      </c>
      <c r="AE996">
        <f t="shared" si="31"/>
        <v>4</v>
      </c>
    </row>
    <row r="997" spans="1:31" x14ac:dyDescent="0.25">
      <c r="A997">
        <v>2022</v>
      </c>
      <c r="B997" t="s">
        <v>99</v>
      </c>
      <c r="C997" t="str">
        <f>IF(COUNTIF('Rookies 22-25'!$B$61:$B$125,E997)&gt;0,"(R)","No")</f>
        <v>No</v>
      </c>
      <c r="D997">
        <v>76</v>
      </c>
      <c r="E997" t="s">
        <v>1369</v>
      </c>
      <c r="F997" t="s">
        <v>82</v>
      </c>
      <c r="G997">
        <f>VLOOKUP(E997,'22 Draft ADP'!$B$2:$D$510,3,FALSE)</f>
        <v>181</v>
      </c>
      <c r="H997">
        <v>13</v>
      </c>
      <c r="I997">
        <v>13.7</v>
      </c>
      <c r="J997">
        <v>16.3</v>
      </c>
      <c r="K997">
        <v>4.7</v>
      </c>
      <c r="L997">
        <v>18.399999999999999</v>
      </c>
      <c r="M997">
        <v>5.8</v>
      </c>
      <c r="N997">
        <v>7.2</v>
      </c>
      <c r="O997">
        <v>0</v>
      </c>
      <c r="R997" t="s">
        <v>22</v>
      </c>
      <c r="T997">
        <v>1.9</v>
      </c>
      <c r="U997">
        <v>13.5</v>
      </c>
      <c r="V997">
        <v>2.5</v>
      </c>
      <c r="X997">
        <v>3.4</v>
      </c>
      <c r="Y997">
        <v>7.5</v>
      </c>
      <c r="Z997">
        <v>2.7</v>
      </c>
      <c r="AA997">
        <v>7.5</v>
      </c>
      <c r="AB997">
        <f t="shared" si="30"/>
        <v>94.899999999999991</v>
      </c>
      <c r="AC997">
        <v>97.6</v>
      </c>
      <c r="AE997">
        <f t="shared" si="31"/>
        <v>4</v>
      </c>
    </row>
    <row r="998" spans="1:31" x14ac:dyDescent="0.25">
      <c r="A998">
        <v>2022</v>
      </c>
      <c r="B998" t="s">
        <v>99</v>
      </c>
      <c r="C998" t="str">
        <f>IF(COUNTIF('Rookies 22-25'!$B$61:$B$125,E998)&gt;0,"(R)","No")</f>
        <v>No</v>
      </c>
      <c r="D998">
        <v>77</v>
      </c>
      <c r="E998" t="s">
        <v>107</v>
      </c>
      <c r="F998" t="s">
        <v>41</v>
      </c>
      <c r="G998">
        <f>VLOOKUP(E998,'22 Draft ADP'!$B$2:$D$510,3,FALSE)</f>
        <v>154</v>
      </c>
      <c r="H998">
        <v>10</v>
      </c>
      <c r="I998">
        <v>4.5999999999999996</v>
      </c>
      <c r="J998">
        <v>9.8000000000000007</v>
      </c>
      <c r="K998">
        <v>6.1</v>
      </c>
      <c r="L998">
        <v>11.2</v>
      </c>
      <c r="M998">
        <v>10.5</v>
      </c>
      <c r="N998" t="s">
        <v>22</v>
      </c>
      <c r="O998">
        <v>6.3</v>
      </c>
      <c r="R998">
        <v>15.9</v>
      </c>
      <c r="S998">
        <v>9.8000000000000007</v>
      </c>
      <c r="T998">
        <v>10.4</v>
      </c>
      <c r="U998">
        <v>12.5</v>
      </c>
      <c r="AA998">
        <v>9.6999999999999993</v>
      </c>
      <c r="AB998">
        <f t="shared" si="30"/>
        <v>97.1</v>
      </c>
      <c r="AC998">
        <v>97.1</v>
      </c>
      <c r="AE998">
        <f t="shared" si="31"/>
        <v>5</v>
      </c>
    </row>
    <row r="999" spans="1:31" x14ac:dyDescent="0.25">
      <c r="A999">
        <v>2022</v>
      </c>
      <c r="B999" t="s">
        <v>99</v>
      </c>
      <c r="C999" t="str">
        <f>IF(COUNTIF('Rookies 22-25'!$B$61:$B$125,E999)&gt;0,"(R)","No")</f>
        <v>(R)</v>
      </c>
      <c r="D999">
        <v>78</v>
      </c>
      <c r="E999" t="s">
        <v>907</v>
      </c>
      <c r="F999" t="s">
        <v>63</v>
      </c>
      <c r="G999">
        <f>VLOOKUP(E999,'22 Draft ADP'!$B$2:$D$510,3,FALSE)</f>
        <v>109</v>
      </c>
      <c r="H999">
        <v>11</v>
      </c>
      <c r="I999">
        <v>8.5</v>
      </c>
      <c r="J999">
        <v>8.6999999999999993</v>
      </c>
      <c r="K999">
        <v>3.1</v>
      </c>
      <c r="L999">
        <v>3.8</v>
      </c>
      <c r="N999" t="s">
        <v>22</v>
      </c>
      <c r="R999">
        <v>5.4</v>
      </c>
      <c r="S999">
        <v>18.100000000000001</v>
      </c>
      <c r="T999">
        <v>17</v>
      </c>
      <c r="U999">
        <v>9.5</v>
      </c>
      <c r="X999">
        <v>1.5</v>
      </c>
      <c r="Y999">
        <v>12.6</v>
      </c>
      <c r="Z999">
        <v>5.9</v>
      </c>
      <c r="AA999">
        <v>8.6</v>
      </c>
      <c r="AB999">
        <f t="shared" si="30"/>
        <v>88.199999999999989</v>
      </c>
      <c r="AC999">
        <v>94.1</v>
      </c>
      <c r="AE999">
        <f t="shared" si="31"/>
        <v>3</v>
      </c>
    </row>
    <row r="1000" spans="1:31" x14ac:dyDescent="0.25">
      <c r="A1000">
        <v>2022</v>
      </c>
      <c r="B1000" t="s">
        <v>99</v>
      </c>
      <c r="C1000" t="str">
        <f>IF(COUNTIF('Rookies 22-25'!$B$61:$B$125,E1000)&gt;0,"(R)","No")</f>
        <v>No</v>
      </c>
      <c r="D1000">
        <v>79</v>
      </c>
      <c r="E1000" t="s">
        <v>909</v>
      </c>
      <c r="F1000" t="s">
        <v>26</v>
      </c>
      <c r="G1000">
        <f>VLOOKUP(E1000,'22 Draft ADP'!$B$2:$D$510,3,FALSE)</f>
        <v>139</v>
      </c>
      <c r="H1000">
        <v>8</v>
      </c>
      <c r="I1000">
        <v>10.6</v>
      </c>
      <c r="J1000">
        <v>7.5</v>
      </c>
      <c r="K1000">
        <v>1.2</v>
      </c>
      <c r="L1000">
        <v>1.4</v>
      </c>
      <c r="M1000">
        <v>12</v>
      </c>
      <c r="N1000">
        <v>13.2</v>
      </c>
      <c r="O1000">
        <v>28</v>
      </c>
      <c r="P1000" t="s">
        <v>22</v>
      </c>
      <c r="Q1000">
        <v>19.899999999999999</v>
      </c>
      <c r="AA1000">
        <v>11.7</v>
      </c>
      <c r="AB1000">
        <f t="shared" si="30"/>
        <v>93.8</v>
      </c>
      <c r="AC1000">
        <v>93.8</v>
      </c>
      <c r="AE1000">
        <f t="shared" si="31"/>
        <v>5</v>
      </c>
    </row>
    <row r="1001" spans="1:31" x14ac:dyDescent="0.25">
      <c r="A1001">
        <v>2022</v>
      </c>
      <c r="B1001" t="s">
        <v>99</v>
      </c>
      <c r="C1001" t="str">
        <f>IF(COUNTIF('Rookies 22-25'!$B$61:$B$125,E1001)&gt;0,"(R)","No")</f>
        <v>No</v>
      </c>
      <c r="D1001">
        <v>80</v>
      </c>
      <c r="E1001" t="s">
        <v>1051</v>
      </c>
      <c r="F1001" t="s">
        <v>49</v>
      </c>
      <c r="G1001">
        <f>VLOOKUP(E1001,'22 Draft ADP'!$B$2:$D$510,3,FALSE)</f>
        <v>360</v>
      </c>
      <c r="H1001">
        <v>13</v>
      </c>
      <c r="I1001">
        <v>4.2</v>
      </c>
      <c r="J1001">
        <v>0</v>
      </c>
      <c r="K1001">
        <v>5.0999999999999996</v>
      </c>
      <c r="L1001">
        <v>0</v>
      </c>
      <c r="N1001">
        <v>4.5999999999999996</v>
      </c>
      <c r="O1001">
        <v>22.7</v>
      </c>
      <c r="P1001">
        <v>7.3</v>
      </c>
      <c r="R1001">
        <v>11.8</v>
      </c>
      <c r="S1001" t="s">
        <v>22</v>
      </c>
      <c r="T1001">
        <v>8.5</v>
      </c>
      <c r="U1001">
        <v>2.7</v>
      </c>
      <c r="V1001">
        <v>20.3</v>
      </c>
      <c r="W1001">
        <v>3</v>
      </c>
      <c r="X1001">
        <v>0</v>
      </c>
      <c r="AA1001">
        <v>6.9</v>
      </c>
      <c r="AB1001">
        <f t="shared" si="30"/>
        <v>90.2</v>
      </c>
      <c r="AC1001">
        <v>90.2</v>
      </c>
      <c r="AE1001">
        <f t="shared" si="31"/>
        <v>3</v>
      </c>
    </row>
    <row r="1002" spans="1:31" x14ac:dyDescent="0.25">
      <c r="A1002">
        <v>2022</v>
      </c>
      <c r="B1002" t="s">
        <v>99</v>
      </c>
      <c r="C1002" t="str">
        <f>IF(COUNTIF('Rookies 22-25'!$B$61:$B$125,E1002)&gt;0,"(R)","No")</f>
        <v>No</v>
      </c>
      <c r="D1002">
        <v>81</v>
      </c>
      <c r="E1002" t="s">
        <v>167</v>
      </c>
      <c r="F1002" t="s">
        <v>510</v>
      </c>
      <c r="G1002">
        <f>VLOOKUP(E1002,'22 Draft ADP'!$B$2:$D$510,3,FALSE)</f>
        <v>223</v>
      </c>
      <c r="H1002">
        <v>16</v>
      </c>
      <c r="I1002">
        <v>5.0999999999999996</v>
      </c>
      <c r="J1002">
        <v>3.6</v>
      </c>
      <c r="K1002">
        <v>9.8000000000000007</v>
      </c>
      <c r="L1002">
        <v>5.8</v>
      </c>
      <c r="M1002">
        <v>1</v>
      </c>
      <c r="N1002">
        <v>2.7</v>
      </c>
      <c r="P1002">
        <v>0</v>
      </c>
      <c r="Q1002">
        <v>4.2</v>
      </c>
      <c r="R1002" t="s">
        <v>22</v>
      </c>
      <c r="S1002">
        <v>1.8</v>
      </c>
      <c r="T1002">
        <v>5.9</v>
      </c>
      <c r="U1002">
        <v>2.5</v>
      </c>
      <c r="V1002">
        <v>9.6999999999999993</v>
      </c>
      <c r="W1002">
        <v>0</v>
      </c>
      <c r="X1002">
        <v>24.9</v>
      </c>
      <c r="Y1002">
        <v>2.8</v>
      </c>
      <c r="Z1002">
        <v>8.5</v>
      </c>
      <c r="AA1002">
        <v>5.5</v>
      </c>
      <c r="AB1002">
        <f t="shared" si="30"/>
        <v>79.8</v>
      </c>
      <c r="AC1002">
        <v>88.3</v>
      </c>
      <c r="AE1002">
        <f t="shared" si="31"/>
        <v>1</v>
      </c>
    </row>
    <row r="1003" spans="1:31" x14ac:dyDescent="0.25">
      <c r="A1003">
        <v>2022</v>
      </c>
      <c r="B1003" t="s">
        <v>99</v>
      </c>
      <c r="C1003" t="str">
        <f>IF(COUNTIF('Rookies 22-25'!$B$61:$B$125,E1003)&gt;0,"(R)","No")</f>
        <v>No</v>
      </c>
      <c r="D1003">
        <v>82</v>
      </c>
      <c r="E1003" t="s">
        <v>416</v>
      </c>
      <c r="F1003" t="s">
        <v>82</v>
      </c>
      <c r="G1003">
        <f>VLOOKUP(E1003,'22 Draft ADP'!$B$2:$D$510,3,FALSE)</f>
        <v>71</v>
      </c>
      <c r="H1003">
        <v>16</v>
      </c>
      <c r="I1003">
        <v>9.9</v>
      </c>
      <c r="J1003">
        <v>6.5</v>
      </c>
      <c r="K1003">
        <v>8.9</v>
      </c>
      <c r="L1003">
        <v>8.5</v>
      </c>
      <c r="M1003">
        <v>2.1</v>
      </c>
      <c r="N1003">
        <v>0</v>
      </c>
      <c r="O1003">
        <v>0</v>
      </c>
      <c r="P1003">
        <v>0</v>
      </c>
      <c r="R1003" t="s">
        <v>22</v>
      </c>
      <c r="S1003">
        <v>3.7</v>
      </c>
      <c r="T1003">
        <v>14</v>
      </c>
      <c r="U1003">
        <v>3.7</v>
      </c>
      <c r="V1003">
        <v>12</v>
      </c>
      <c r="W1003">
        <v>9.4</v>
      </c>
      <c r="X1003">
        <v>3.5</v>
      </c>
      <c r="Y1003">
        <v>3.8</v>
      </c>
      <c r="Z1003">
        <v>2.1</v>
      </c>
      <c r="AA1003">
        <v>5.5</v>
      </c>
      <c r="AB1003">
        <f t="shared" si="30"/>
        <v>86</v>
      </c>
      <c r="AC1003">
        <v>88.1</v>
      </c>
      <c r="AE1003">
        <f t="shared" si="31"/>
        <v>2</v>
      </c>
    </row>
    <row r="1004" spans="1:31" x14ac:dyDescent="0.25">
      <c r="A1004">
        <v>2022</v>
      </c>
      <c r="B1004" t="s">
        <v>99</v>
      </c>
      <c r="C1004" t="str">
        <f>IF(COUNTIF('Rookies 22-25'!$B$61:$B$125,E1004)&gt;0,"(R)","No")</f>
        <v>No</v>
      </c>
      <c r="D1004">
        <v>83</v>
      </c>
      <c r="E1004" t="s">
        <v>1479</v>
      </c>
      <c r="F1004" t="s">
        <v>1562</v>
      </c>
      <c r="G1004">
        <f>VLOOKUP(E1004,'22 Draft ADP'!$B$2:$D$510,3,FALSE)</f>
        <v>46</v>
      </c>
      <c r="H1004">
        <v>10</v>
      </c>
      <c r="I1004">
        <v>2.2000000000000002</v>
      </c>
      <c r="J1004">
        <v>15.3</v>
      </c>
      <c r="K1004">
        <v>4.3</v>
      </c>
      <c r="L1004">
        <v>2.7</v>
      </c>
      <c r="M1004">
        <v>4.2</v>
      </c>
      <c r="N1004">
        <v>17.3</v>
      </c>
      <c r="O1004" t="s">
        <v>22</v>
      </c>
      <c r="P1004">
        <v>10.4</v>
      </c>
      <c r="Q1004">
        <v>5.4</v>
      </c>
      <c r="R1004">
        <v>8.4</v>
      </c>
      <c r="S1004">
        <v>14.7</v>
      </c>
      <c r="AA1004">
        <v>8.5</v>
      </c>
      <c r="AB1004">
        <f t="shared" si="30"/>
        <v>84.9</v>
      </c>
      <c r="AC1004">
        <v>84.9</v>
      </c>
      <c r="AE1004">
        <f t="shared" si="31"/>
        <v>4</v>
      </c>
    </row>
    <row r="1005" spans="1:31" x14ac:dyDescent="0.25">
      <c r="A1005">
        <v>2022</v>
      </c>
      <c r="B1005" t="s">
        <v>99</v>
      </c>
      <c r="C1005" t="str">
        <f>IF(COUNTIF('Rookies 22-25'!$B$61:$B$125,E1005)&gt;0,"(R)","No")</f>
        <v>No</v>
      </c>
      <c r="D1005">
        <v>84</v>
      </c>
      <c r="E1005" t="s">
        <v>910</v>
      </c>
      <c r="F1005" t="s">
        <v>35</v>
      </c>
      <c r="G1005">
        <f>VLOOKUP(E1005,'22 Draft ADP'!$B$2:$D$510,3,FALSE)</f>
        <v>273</v>
      </c>
      <c r="H1005">
        <v>17</v>
      </c>
      <c r="I1005">
        <v>0</v>
      </c>
      <c r="J1005">
        <v>14.9</v>
      </c>
      <c r="K1005">
        <v>0</v>
      </c>
      <c r="L1005">
        <v>0</v>
      </c>
      <c r="M1005">
        <v>4.9000000000000004</v>
      </c>
      <c r="N1005">
        <v>0.7</v>
      </c>
      <c r="O1005" t="s">
        <v>22</v>
      </c>
      <c r="P1005">
        <v>0</v>
      </c>
      <c r="Q1005">
        <v>4.5</v>
      </c>
      <c r="R1005">
        <v>10</v>
      </c>
      <c r="S1005">
        <v>11.1</v>
      </c>
      <c r="T1005">
        <v>12.5</v>
      </c>
      <c r="U1005">
        <v>8.6999999999999993</v>
      </c>
      <c r="V1005">
        <v>5.9</v>
      </c>
      <c r="W1005">
        <v>5</v>
      </c>
      <c r="X1005">
        <v>2.9</v>
      </c>
      <c r="Y1005">
        <v>0</v>
      </c>
      <c r="Z1005">
        <v>3.4</v>
      </c>
      <c r="AA1005">
        <v>5</v>
      </c>
      <c r="AB1005">
        <f t="shared" si="30"/>
        <v>81.099999999999994</v>
      </c>
      <c r="AC1005">
        <v>84.5</v>
      </c>
      <c r="AE1005">
        <f t="shared" si="31"/>
        <v>3</v>
      </c>
    </row>
    <row r="1006" spans="1:31" x14ac:dyDescent="0.25">
      <c r="A1006">
        <v>2022</v>
      </c>
      <c r="B1006" t="s">
        <v>99</v>
      </c>
      <c r="C1006" t="str">
        <f>IF(COUNTIF('Rookies 22-25'!$B$61:$B$125,E1006)&gt;0,"(R)","No")</f>
        <v>No</v>
      </c>
      <c r="D1006">
        <v>85</v>
      </c>
      <c r="E1006" t="s">
        <v>1257</v>
      </c>
      <c r="F1006" t="s">
        <v>55</v>
      </c>
      <c r="G1006">
        <f>VLOOKUP(E1006,'22 Draft ADP'!$B$2:$D$510,3,FALSE)</f>
        <v>382</v>
      </c>
      <c r="H1006">
        <v>14</v>
      </c>
      <c r="I1006">
        <v>6.5</v>
      </c>
      <c r="J1006">
        <v>3.6</v>
      </c>
      <c r="K1006">
        <v>10.6</v>
      </c>
      <c r="L1006">
        <v>5.3</v>
      </c>
      <c r="M1006">
        <v>10.1</v>
      </c>
      <c r="N1006">
        <v>16.7</v>
      </c>
      <c r="O1006" t="s">
        <v>22</v>
      </c>
      <c r="P1006">
        <v>2</v>
      </c>
      <c r="Q1006">
        <v>0</v>
      </c>
      <c r="R1006">
        <v>3.4</v>
      </c>
      <c r="S1006">
        <v>1.4</v>
      </c>
      <c r="T1006">
        <v>2.5</v>
      </c>
      <c r="U1006">
        <v>5</v>
      </c>
      <c r="V1006">
        <v>15.9</v>
      </c>
      <c r="W1006">
        <v>1.3</v>
      </c>
      <c r="AA1006">
        <v>6</v>
      </c>
      <c r="AB1006">
        <f t="shared" si="30"/>
        <v>84.3</v>
      </c>
      <c r="AC1006">
        <v>84.3</v>
      </c>
      <c r="AE1006">
        <f t="shared" si="31"/>
        <v>4</v>
      </c>
    </row>
    <row r="1007" spans="1:31" x14ac:dyDescent="0.25">
      <c r="A1007">
        <v>2022</v>
      </c>
      <c r="B1007" t="s">
        <v>99</v>
      </c>
      <c r="C1007" t="str">
        <f>IF(COUNTIF('Rookies 22-25'!$B$61:$B$125,E1007)&gt;0,"(R)","No")</f>
        <v>No</v>
      </c>
      <c r="D1007">
        <v>86</v>
      </c>
      <c r="E1007" t="s">
        <v>1563</v>
      </c>
      <c r="F1007" t="s">
        <v>84</v>
      </c>
      <c r="G1007">
        <v>300</v>
      </c>
      <c r="H1007">
        <v>16</v>
      </c>
      <c r="I1007">
        <v>1.8</v>
      </c>
      <c r="J1007">
        <v>2.9</v>
      </c>
      <c r="K1007">
        <v>1.5</v>
      </c>
      <c r="L1007">
        <v>9.5</v>
      </c>
      <c r="M1007">
        <v>1.5</v>
      </c>
      <c r="N1007">
        <v>1.6</v>
      </c>
      <c r="O1007">
        <v>7.4</v>
      </c>
      <c r="P1007">
        <v>4.5</v>
      </c>
      <c r="Q1007">
        <v>5.7</v>
      </c>
      <c r="R1007">
        <v>16.3</v>
      </c>
      <c r="S1007" t="s">
        <v>22</v>
      </c>
      <c r="T1007">
        <v>5.3</v>
      </c>
      <c r="U1007">
        <v>14.5</v>
      </c>
      <c r="V1007">
        <v>1.7</v>
      </c>
      <c r="W1007">
        <v>0</v>
      </c>
      <c r="X1007">
        <v>4.5</v>
      </c>
      <c r="Y1007">
        <v>5</v>
      </c>
      <c r="AA1007">
        <v>5.2</v>
      </c>
      <c r="AB1007">
        <f t="shared" si="30"/>
        <v>83.7</v>
      </c>
      <c r="AC1007">
        <v>83.7</v>
      </c>
      <c r="AE1007">
        <f t="shared" si="31"/>
        <v>2</v>
      </c>
    </row>
    <row r="1008" spans="1:31" x14ac:dyDescent="0.25">
      <c r="A1008">
        <v>2022</v>
      </c>
      <c r="B1008" t="s">
        <v>99</v>
      </c>
      <c r="C1008" t="str">
        <f>IF(COUNTIF('Rookies 22-25'!$B$61:$B$125,E1008)&gt;0,"(R)","No")</f>
        <v>No</v>
      </c>
      <c r="D1008">
        <v>87</v>
      </c>
      <c r="E1008" t="s">
        <v>912</v>
      </c>
      <c r="F1008" t="s">
        <v>95</v>
      </c>
      <c r="G1008">
        <f>VLOOKUP(E1008,'22 Draft ADP'!$B$2:$D$510,3,FALSE)</f>
        <v>263</v>
      </c>
      <c r="H1008">
        <v>14</v>
      </c>
      <c r="J1008">
        <v>0</v>
      </c>
      <c r="M1008">
        <v>7</v>
      </c>
      <c r="N1008">
        <v>0</v>
      </c>
      <c r="O1008">
        <v>5.0999999999999996</v>
      </c>
      <c r="P1008">
        <v>12.7</v>
      </c>
      <c r="Q1008">
        <v>14.3</v>
      </c>
      <c r="R1008">
        <v>5.3</v>
      </c>
      <c r="S1008">
        <v>10.6</v>
      </c>
      <c r="T1008">
        <v>1.8</v>
      </c>
      <c r="U1008" t="s">
        <v>22</v>
      </c>
      <c r="V1008">
        <v>2.8</v>
      </c>
      <c r="W1008">
        <v>8.1</v>
      </c>
      <c r="X1008">
        <v>7.5</v>
      </c>
      <c r="Y1008">
        <v>3.5</v>
      </c>
      <c r="Z1008">
        <v>4.3</v>
      </c>
      <c r="AA1008">
        <v>5.9</v>
      </c>
      <c r="AB1008">
        <f t="shared" si="30"/>
        <v>78.7</v>
      </c>
      <c r="AC1008">
        <v>83</v>
      </c>
      <c r="AE1008">
        <f t="shared" si="31"/>
        <v>3</v>
      </c>
    </row>
    <row r="1009" spans="1:31" x14ac:dyDescent="0.25">
      <c r="A1009">
        <v>2022</v>
      </c>
      <c r="B1009" t="s">
        <v>99</v>
      </c>
      <c r="C1009" t="str">
        <f>IF(COUNTIF('Rookies 22-25'!$B$61:$B$125,E1009)&gt;0,"(R)","No")</f>
        <v>No</v>
      </c>
      <c r="D1009">
        <v>88</v>
      </c>
      <c r="E1009" t="s">
        <v>412</v>
      </c>
      <c r="F1009" t="s">
        <v>63</v>
      </c>
      <c r="G1009">
        <f>VLOOKUP(E1009,'22 Draft ADP'!$B$2:$D$510,3,FALSE)</f>
        <v>246</v>
      </c>
      <c r="H1009">
        <v>16</v>
      </c>
      <c r="I1009">
        <v>2.2999999999999998</v>
      </c>
      <c r="J1009">
        <v>2.2999999999999998</v>
      </c>
      <c r="K1009">
        <v>7</v>
      </c>
      <c r="M1009">
        <v>9.1999999999999993</v>
      </c>
      <c r="N1009" t="s">
        <v>22</v>
      </c>
      <c r="O1009">
        <v>0</v>
      </c>
      <c r="P1009">
        <v>0</v>
      </c>
      <c r="Q1009">
        <v>0</v>
      </c>
      <c r="R1009">
        <v>28.9</v>
      </c>
      <c r="S1009">
        <v>4.8</v>
      </c>
      <c r="T1009">
        <v>9.8000000000000007</v>
      </c>
      <c r="U1009">
        <v>1.4</v>
      </c>
      <c r="V1009">
        <v>11.3</v>
      </c>
      <c r="W1009">
        <v>0</v>
      </c>
      <c r="X1009">
        <v>4.3</v>
      </c>
      <c r="Y1009">
        <v>1.4</v>
      </c>
      <c r="Z1009">
        <v>0</v>
      </c>
      <c r="AA1009">
        <v>5.2</v>
      </c>
      <c r="AB1009">
        <f t="shared" si="30"/>
        <v>82.7</v>
      </c>
      <c r="AC1009">
        <v>82.7</v>
      </c>
      <c r="AE1009">
        <f t="shared" si="31"/>
        <v>2</v>
      </c>
    </row>
    <row r="1010" spans="1:31" x14ac:dyDescent="0.25">
      <c r="A1010">
        <v>2022</v>
      </c>
      <c r="B1010" t="s">
        <v>99</v>
      </c>
      <c r="C1010" t="str">
        <f>IF(COUNTIF('Rookies 22-25'!$B$61:$B$125,E1010)&gt;0,"(R)","No")</f>
        <v>No</v>
      </c>
      <c r="D1010">
        <v>89</v>
      </c>
      <c r="E1010" t="s">
        <v>132</v>
      </c>
      <c r="F1010" t="s">
        <v>47</v>
      </c>
      <c r="G1010">
        <f>VLOOKUP(E1010,'22 Draft ADP'!$B$2:$D$510,3,FALSE)</f>
        <v>319</v>
      </c>
      <c r="H1010">
        <v>16</v>
      </c>
      <c r="I1010">
        <v>10.199999999999999</v>
      </c>
      <c r="J1010">
        <v>1.4</v>
      </c>
      <c r="K1010">
        <v>1.5</v>
      </c>
      <c r="L1010">
        <v>4.2</v>
      </c>
      <c r="M1010">
        <v>6.5</v>
      </c>
      <c r="N1010">
        <v>3.8</v>
      </c>
      <c r="O1010">
        <v>4.4000000000000004</v>
      </c>
      <c r="Q1010" t="s">
        <v>22</v>
      </c>
      <c r="R1010">
        <v>8</v>
      </c>
      <c r="S1010">
        <v>0</v>
      </c>
      <c r="T1010">
        <v>16.899999999999999</v>
      </c>
      <c r="U1010">
        <v>5.4</v>
      </c>
      <c r="V1010">
        <v>1.5</v>
      </c>
      <c r="W1010">
        <v>6.1</v>
      </c>
      <c r="X1010">
        <v>4.0999999999999996</v>
      </c>
      <c r="Y1010">
        <v>6.6</v>
      </c>
      <c r="Z1010">
        <v>2</v>
      </c>
      <c r="AA1010">
        <v>5.2</v>
      </c>
      <c r="AB1010">
        <f t="shared" si="30"/>
        <v>80.599999999999994</v>
      </c>
      <c r="AC1010">
        <v>82.6</v>
      </c>
      <c r="AE1010">
        <f t="shared" si="31"/>
        <v>2</v>
      </c>
    </row>
    <row r="1011" spans="1:31" x14ac:dyDescent="0.25">
      <c r="A1011">
        <v>2022</v>
      </c>
      <c r="B1011" t="s">
        <v>99</v>
      </c>
      <c r="C1011" t="str">
        <f>IF(COUNTIF('Rookies 22-25'!$B$61:$B$125,E1011)&gt;0,"(R)","No")</f>
        <v>No</v>
      </c>
      <c r="D1011">
        <v>90</v>
      </c>
      <c r="E1011" t="s">
        <v>823</v>
      </c>
      <c r="F1011" t="s">
        <v>69</v>
      </c>
      <c r="G1011">
        <f>VLOOKUP(E1011,'22 Draft ADP'!$B$2:$D$510,3,FALSE)</f>
        <v>238</v>
      </c>
      <c r="H1011">
        <v>13</v>
      </c>
      <c r="I1011">
        <v>3.4</v>
      </c>
      <c r="J1011">
        <v>6.7</v>
      </c>
      <c r="K1011">
        <v>7.7</v>
      </c>
      <c r="L1011">
        <v>7.2</v>
      </c>
      <c r="M1011">
        <v>16.899999999999999</v>
      </c>
      <c r="N1011">
        <v>1.8</v>
      </c>
      <c r="S1011">
        <v>13.3</v>
      </c>
      <c r="T1011">
        <v>9.9</v>
      </c>
      <c r="U1011">
        <v>0</v>
      </c>
      <c r="V1011" t="s">
        <v>22</v>
      </c>
      <c r="W1011">
        <v>6.2</v>
      </c>
      <c r="X1011">
        <v>1.5</v>
      </c>
      <c r="Y1011">
        <v>4</v>
      </c>
      <c r="Z1011">
        <v>3.1</v>
      </c>
      <c r="AA1011">
        <v>6.3</v>
      </c>
      <c r="AB1011">
        <f t="shared" si="30"/>
        <v>78.600000000000009</v>
      </c>
      <c r="AC1011">
        <v>81.7</v>
      </c>
      <c r="AE1011">
        <f t="shared" si="31"/>
        <v>2</v>
      </c>
    </row>
    <row r="1012" spans="1:31" x14ac:dyDescent="0.25">
      <c r="A1012">
        <v>2022</v>
      </c>
      <c r="B1012" t="s">
        <v>99</v>
      </c>
      <c r="C1012" t="str">
        <f>IF(COUNTIF('Rookies 22-25'!$B$61:$B$125,E1012)&gt;0,"(R)","No")</f>
        <v>No</v>
      </c>
      <c r="D1012">
        <v>91</v>
      </c>
      <c r="E1012" t="s">
        <v>484</v>
      </c>
      <c r="F1012" t="s">
        <v>43</v>
      </c>
      <c r="G1012">
        <f>VLOOKUP(E1012,'22 Draft ADP'!$B$2:$D$510,3,FALSE)</f>
        <v>86</v>
      </c>
      <c r="H1012">
        <v>10</v>
      </c>
      <c r="I1012">
        <v>5.0999999999999996</v>
      </c>
      <c r="J1012">
        <v>10.9</v>
      </c>
      <c r="M1012">
        <v>6.5</v>
      </c>
      <c r="N1012" t="s">
        <v>22</v>
      </c>
      <c r="O1012">
        <v>8.5</v>
      </c>
      <c r="P1012">
        <v>1.6</v>
      </c>
      <c r="Q1012">
        <v>5.6</v>
      </c>
      <c r="W1012">
        <v>2.4</v>
      </c>
      <c r="X1012">
        <v>14.2</v>
      </c>
      <c r="Y1012">
        <v>4.9000000000000004</v>
      </c>
      <c r="Z1012">
        <v>19.3</v>
      </c>
      <c r="AA1012">
        <v>7.9</v>
      </c>
      <c r="AB1012">
        <f t="shared" si="30"/>
        <v>59.7</v>
      </c>
      <c r="AC1012">
        <v>79</v>
      </c>
      <c r="AE1012">
        <f t="shared" si="31"/>
        <v>2</v>
      </c>
    </row>
    <row r="1013" spans="1:31" x14ac:dyDescent="0.25">
      <c r="A1013">
        <v>2022</v>
      </c>
      <c r="B1013" t="s">
        <v>99</v>
      </c>
      <c r="C1013" t="str">
        <f>IF(COUNTIF('Rookies 22-25'!$B$61:$B$125,E1013)&gt;0,"(R)","No")</f>
        <v>No</v>
      </c>
      <c r="D1013">
        <v>92</v>
      </c>
      <c r="E1013" t="s">
        <v>189</v>
      </c>
      <c r="F1013" t="s">
        <v>55</v>
      </c>
      <c r="G1013">
        <f>VLOOKUP(E1013,'22 Draft ADP'!$B$2:$D$510,3,FALSE)</f>
        <v>197</v>
      </c>
      <c r="H1013">
        <v>10</v>
      </c>
      <c r="O1013" t="s">
        <v>22</v>
      </c>
      <c r="Q1013">
        <v>0</v>
      </c>
      <c r="R1013">
        <v>11.7</v>
      </c>
      <c r="S1013">
        <v>7.1</v>
      </c>
      <c r="T1013">
        <v>11.9</v>
      </c>
      <c r="U1013">
        <v>5.9</v>
      </c>
      <c r="V1013">
        <v>12.4</v>
      </c>
      <c r="W1013">
        <v>5.2</v>
      </c>
      <c r="X1013">
        <v>4.9000000000000004</v>
      </c>
      <c r="Y1013">
        <v>10.7</v>
      </c>
      <c r="Z1013">
        <v>9.1</v>
      </c>
      <c r="AA1013">
        <v>7.9</v>
      </c>
      <c r="AB1013">
        <f t="shared" si="30"/>
        <v>69.800000000000011</v>
      </c>
      <c r="AC1013">
        <v>78.900000000000006</v>
      </c>
      <c r="AE1013">
        <f t="shared" si="31"/>
        <v>4</v>
      </c>
    </row>
    <row r="1014" spans="1:31" x14ac:dyDescent="0.25">
      <c r="A1014">
        <v>2022</v>
      </c>
      <c r="B1014" t="s">
        <v>99</v>
      </c>
      <c r="C1014" t="str">
        <f>IF(COUNTIF('Rookies 22-25'!$B$61:$B$125,E1014)&gt;0,"(R)","No")</f>
        <v>No</v>
      </c>
      <c r="D1014">
        <v>93</v>
      </c>
      <c r="E1014" t="s">
        <v>432</v>
      </c>
      <c r="F1014" t="s">
        <v>510</v>
      </c>
      <c r="G1014">
        <f>VLOOKUP(E1014,'22 Draft ADP'!$B$2:$D$510,3,FALSE)</f>
        <v>266</v>
      </c>
      <c r="H1014">
        <v>15</v>
      </c>
      <c r="I1014">
        <v>3.8</v>
      </c>
      <c r="J1014">
        <v>23</v>
      </c>
      <c r="K1014">
        <v>4.0999999999999996</v>
      </c>
      <c r="L1014">
        <v>7.6</v>
      </c>
      <c r="M1014">
        <v>0</v>
      </c>
      <c r="O1014">
        <v>0</v>
      </c>
      <c r="P1014">
        <v>1.2</v>
      </c>
      <c r="R1014" t="s">
        <v>22</v>
      </c>
      <c r="S1014">
        <v>3.8</v>
      </c>
      <c r="T1014">
        <v>18.5</v>
      </c>
      <c r="U1014">
        <v>3.7</v>
      </c>
      <c r="V1014">
        <v>8.1999999999999993</v>
      </c>
      <c r="W1014">
        <v>1.3</v>
      </c>
      <c r="X1014">
        <v>0</v>
      </c>
      <c r="Y1014">
        <v>0</v>
      </c>
      <c r="Z1014">
        <v>0</v>
      </c>
      <c r="AA1014">
        <v>5</v>
      </c>
      <c r="AB1014">
        <f t="shared" si="30"/>
        <v>75.2</v>
      </c>
      <c r="AC1014">
        <v>75.2</v>
      </c>
      <c r="AE1014">
        <f t="shared" si="31"/>
        <v>2</v>
      </c>
    </row>
    <row r="1015" spans="1:31" x14ac:dyDescent="0.25">
      <c r="A1015">
        <v>2022</v>
      </c>
      <c r="B1015" t="s">
        <v>99</v>
      </c>
      <c r="C1015" t="str">
        <f>IF(COUNTIF('Rookies 22-25'!$B$61:$B$125,E1015)&gt;0,"(R)","No")</f>
        <v>No</v>
      </c>
      <c r="D1015">
        <v>94</v>
      </c>
      <c r="E1015" t="s">
        <v>1491</v>
      </c>
      <c r="F1015" t="s">
        <v>1564</v>
      </c>
      <c r="G1015">
        <f>VLOOKUP(E1015,'22 Draft ADP'!$B$2:$D$510,3,FALSE)</f>
        <v>242</v>
      </c>
      <c r="H1015">
        <v>13</v>
      </c>
      <c r="K1015">
        <v>17</v>
      </c>
      <c r="L1015">
        <v>0</v>
      </c>
      <c r="O1015">
        <v>1.8</v>
      </c>
      <c r="P1015">
        <v>7.6</v>
      </c>
      <c r="Q1015">
        <v>0.6</v>
      </c>
      <c r="R1015">
        <v>14.9</v>
      </c>
      <c r="S1015">
        <v>4.7</v>
      </c>
      <c r="T1015">
        <v>4.0999999999999996</v>
      </c>
      <c r="U1015" t="s">
        <v>22</v>
      </c>
      <c r="V1015">
        <v>7.8</v>
      </c>
      <c r="W1015">
        <v>0</v>
      </c>
      <c r="X1015">
        <v>8.3000000000000007</v>
      </c>
      <c r="Y1015">
        <v>4</v>
      </c>
      <c r="Z1015">
        <v>1.9</v>
      </c>
      <c r="AA1015">
        <v>5.6</v>
      </c>
      <c r="AB1015">
        <f t="shared" si="30"/>
        <v>70.8</v>
      </c>
      <c r="AC1015">
        <v>72.7</v>
      </c>
      <c r="AE1015">
        <f t="shared" si="31"/>
        <v>2</v>
      </c>
    </row>
    <row r="1016" spans="1:31" x14ac:dyDescent="0.25">
      <c r="A1016">
        <v>2022</v>
      </c>
      <c r="B1016" t="s">
        <v>99</v>
      </c>
      <c r="C1016" t="str">
        <f>IF(COUNTIF('Rookies 22-25'!$B$61:$B$125,E1016)&gt;0,"(R)","No")</f>
        <v>No</v>
      </c>
      <c r="D1016">
        <v>95</v>
      </c>
      <c r="E1016" t="s">
        <v>487</v>
      </c>
      <c r="F1016" t="s">
        <v>67</v>
      </c>
      <c r="G1016">
        <f>VLOOKUP(E1016,'22 Draft ADP'!$B$2:$D$510,3,FALSE)</f>
        <v>316</v>
      </c>
      <c r="H1016">
        <v>15</v>
      </c>
      <c r="I1016">
        <v>2.2000000000000002</v>
      </c>
      <c r="J1016">
        <v>0.1</v>
      </c>
      <c r="K1016">
        <v>2.7</v>
      </c>
      <c r="L1016">
        <v>21</v>
      </c>
      <c r="M1016">
        <v>0.3</v>
      </c>
      <c r="N1016">
        <v>3.4</v>
      </c>
      <c r="Q1016">
        <v>0</v>
      </c>
      <c r="R1016">
        <v>3.4</v>
      </c>
      <c r="S1016" t="s">
        <v>22</v>
      </c>
      <c r="T1016">
        <v>14.7</v>
      </c>
      <c r="U1016">
        <v>4.3</v>
      </c>
      <c r="V1016">
        <v>7.4</v>
      </c>
      <c r="W1016">
        <v>8.4</v>
      </c>
      <c r="X1016">
        <v>1.8</v>
      </c>
      <c r="Y1016">
        <v>0.8</v>
      </c>
      <c r="Z1016">
        <v>1.8</v>
      </c>
      <c r="AA1016">
        <v>4.8</v>
      </c>
      <c r="AB1016">
        <f t="shared" si="30"/>
        <v>70.5</v>
      </c>
      <c r="AC1016">
        <v>72.3</v>
      </c>
      <c r="AE1016">
        <f t="shared" si="31"/>
        <v>2</v>
      </c>
    </row>
    <row r="1017" spans="1:31" x14ac:dyDescent="0.25">
      <c r="A1017">
        <v>2022</v>
      </c>
      <c r="B1017" t="s">
        <v>99</v>
      </c>
      <c r="C1017" t="str">
        <f>IF(COUNTIF('Rookies 22-25'!$B$61:$B$125,E1017)&gt;0,"(R)","No")</f>
        <v>No</v>
      </c>
      <c r="D1017">
        <v>96</v>
      </c>
      <c r="E1017" t="s">
        <v>786</v>
      </c>
      <c r="F1017" t="s">
        <v>24</v>
      </c>
      <c r="G1017">
        <f>VLOOKUP(E1017,'22 Draft ADP'!$B$2:$D$510,3,FALSE)</f>
        <v>136</v>
      </c>
      <c r="H1017">
        <v>10</v>
      </c>
      <c r="I1017">
        <v>11.6</v>
      </c>
      <c r="L1017">
        <v>1.7</v>
      </c>
      <c r="P1017">
        <v>10.1</v>
      </c>
      <c r="Q1017">
        <v>4.8</v>
      </c>
      <c r="R1017">
        <v>14.3</v>
      </c>
      <c r="S1017" t="s">
        <v>22</v>
      </c>
      <c r="T1017">
        <v>8.5</v>
      </c>
      <c r="U1017">
        <v>5.8</v>
      </c>
      <c r="V1017">
        <v>8.8000000000000007</v>
      </c>
      <c r="X1017">
        <v>1.5</v>
      </c>
      <c r="Y1017">
        <v>3.3</v>
      </c>
      <c r="AA1017">
        <v>7</v>
      </c>
      <c r="AB1017">
        <f t="shared" si="30"/>
        <v>70.400000000000006</v>
      </c>
      <c r="AC1017">
        <v>70.400000000000006</v>
      </c>
      <c r="AE1017">
        <f t="shared" si="31"/>
        <v>3</v>
      </c>
    </row>
    <row r="1018" spans="1:31" x14ac:dyDescent="0.25">
      <c r="A1018">
        <v>2022</v>
      </c>
      <c r="B1018" t="s">
        <v>99</v>
      </c>
      <c r="C1018" t="str">
        <f>IF(COUNTIF('Rookies 22-25'!$B$61:$B$125,E1018)&gt;0,"(R)","No")</f>
        <v>(R)</v>
      </c>
      <c r="D1018">
        <v>97</v>
      </c>
      <c r="E1018" t="s">
        <v>180</v>
      </c>
      <c r="F1018" t="s">
        <v>510</v>
      </c>
      <c r="G1018">
        <f>VLOOKUP(E1018,'22 Draft ADP'!$B$2:$D$510,3,FALSE)</f>
        <v>304</v>
      </c>
      <c r="H1018">
        <v>12</v>
      </c>
      <c r="M1018">
        <v>2.7</v>
      </c>
      <c r="N1018">
        <v>21.3</v>
      </c>
      <c r="O1018">
        <v>2.9</v>
      </c>
      <c r="P1018">
        <v>2.2999999999999998</v>
      </c>
      <c r="Q1018">
        <v>1.5</v>
      </c>
      <c r="R1018" t="s">
        <v>22</v>
      </c>
      <c r="S1018">
        <v>1.5</v>
      </c>
      <c r="U1018">
        <v>5.0999999999999996</v>
      </c>
      <c r="V1018">
        <v>6.8</v>
      </c>
      <c r="W1018">
        <v>3.1</v>
      </c>
      <c r="X1018">
        <v>1.8</v>
      </c>
      <c r="Y1018">
        <v>15</v>
      </c>
      <c r="Z1018">
        <v>2.2999999999999998</v>
      </c>
      <c r="AA1018">
        <v>5.5</v>
      </c>
      <c r="AB1018">
        <f t="shared" si="30"/>
        <v>64</v>
      </c>
      <c r="AC1018">
        <v>66.3</v>
      </c>
      <c r="AE1018">
        <f t="shared" si="31"/>
        <v>2</v>
      </c>
    </row>
    <row r="1019" spans="1:31" x14ac:dyDescent="0.25">
      <c r="A1019">
        <v>2022</v>
      </c>
      <c r="B1019" t="s">
        <v>99</v>
      </c>
      <c r="C1019" t="str">
        <f>IF(COUNTIF('Rookies 22-25'!$B$61:$B$125,E1019)&gt;0,"(R)","No")</f>
        <v>No</v>
      </c>
      <c r="D1019">
        <v>98</v>
      </c>
      <c r="E1019" t="s">
        <v>1370</v>
      </c>
      <c r="F1019" t="s">
        <v>45</v>
      </c>
      <c r="G1019">
        <f>VLOOKUP(E1019,'22 Draft ADP'!$B$2:$D$510,3,FALSE)</f>
        <v>438</v>
      </c>
      <c r="H1019">
        <v>17</v>
      </c>
      <c r="I1019">
        <v>12.1</v>
      </c>
      <c r="J1019">
        <v>0</v>
      </c>
      <c r="K1019">
        <v>0</v>
      </c>
      <c r="L1019">
        <v>0</v>
      </c>
      <c r="M1019">
        <v>0</v>
      </c>
      <c r="N1019">
        <v>18.399999999999999</v>
      </c>
      <c r="O1019">
        <v>4.0999999999999996</v>
      </c>
      <c r="P1019">
        <v>5.8</v>
      </c>
      <c r="Q1019">
        <v>2.2000000000000002</v>
      </c>
      <c r="R1019">
        <v>2.7</v>
      </c>
      <c r="S1019">
        <v>0</v>
      </c>
      <c r="T1019">
        <v>2.2000000000000002</v>
      </c>
      <c r="U1019">
        <v>2.4</v>
      </c>
      <c r="V1019" t="s">
        <v>22</v>
      </c>
      <c r="W1019">
        <v>2.2999999999999998</v>
      </c>
      <c r="X1019">
        <v>9.1</v>
      </c>
      <c r="Y1019">
        <v>0</v>
      </c>
      <c r="Z1019">
        <v>3.9</v>
      </c>
      <c r="AA1019">
        <v>3.8</v>
      </c>
      <c r="AB1019">
        <f t="shared" si="30"/>
        <v>61.300000000000004</v>
      </c>
      <c r="AC1019">
        <v>65.2</v>
      </c>
      <c r="AE1019">
        <f t="shared" si="31"/>
        <v>2</v>
      </c>
    </row>
    <row r="1020" spans="1:31" x14ac:dyDescent="0.25">
      <c r="A1020">
        <v>2022</v>
      </c>
      <c r="B1020" t="s">
        <v>99</v>
      </c>
      <c r="C1020" t="str">
        <f>IF(COUNTIF('Rookies 22-25'!$B$61:$B$125,E1020)&gt;0,"(R)","No")</f>
        <v>No</v>
      </c>
      <c r="D1020">
        <v>99</v>
      </c>
      <c r="E1020" t="s">
        <v>1371</v>
      </c>
      <c r="F1020" t="s">
        <v>45</v>
      </c>
      <c r="G1020">
        <v>300</v>
      </c>
      <c r="H1020">
        <v>16</v>
      </c>
      <c r="I1020">
        <v>8.8000000000000007</v>
      </c>
      <c r="J1020">
        <v>5.9</v>
      </c>
      <c r="K1020">
        <v>7.3</v>
      </c>
      <c r="L1020">
        <v>0.9</v>
      </c>
      <c r="M1020">
        <v>4.4000000000000004</v>
      </c>
      <c r="N1020">
        <v>0.1</v>
      </c>
      <c r="O1020">
        <v>8.8000000000000007</v>
      </c>
      <c r="P1020">
        <v>1.6</v>
      </c>
      <c r="Q1020">
        <v>0</v>
      </c>
      <c r="R1020">
        <v>0.9</v>
      </c>
      <c r="S1020">
        <v>4.4000000000000004</v>
      </c>
      <c r="T1020">
        <v>1.7</v>
      </c>
      <c r="U1020">
        <v>11.6</v>
      </c>
      <c r="V1020" t="s">
        <v>22</v>
      </c>
      <c r="W1020">
        <v>3</v>
      </c>
      <c r="Y1020">
        <v>4</v>
      </c>
      <c r="Z1020">
        <v>1.3</v>
      </c>
      <c r="AA1020">
        <v>4</v>
      </c>
      <c r="AB1020">
        <f t="shared" si="30"/>
        <v>63.400000000000006</v>
      </c>
      <c r="AC1020">
        <v>64.7</v>
      </c>
      <c r="AE1020">
        <f t="shared" si="31"/>
        <v>1</v>
      </c>
    </row>
    <row r="1021" spans="1:31" x14ac:dyDescent="0.25">
      <c r="A1021">
        <v>2022</v>
      </c>
      <c r="B1021" t="s">
        <v>99</v>
      </c>
      <c r="C1021" t="str">
        <f>IF(COUNTIF('Rookies 22-25'!$B$61:$B$125,E1021)&gt;0,"(R)","No")</f>
        <v>No</v>
      </c>
      <c r="D1021">
        <v>100</v>
      </c>
      <c r="E1021" t="s">
        <v>473</v>
      </c>
      <c r="F1021" t="s">
        <v>89</v>
      </c>
      <c r="G1021">
        <f>VLOOKUP(E1021,'22 Draft ADP'!$B$2:$D$510,3,FALSE)</f>
        <v>499</v>
      </c>
      <c r="H1021">
        <v>9</v>
      </c>
      <c r="P1021">
        <v>4.7</v>
      </c>
      <c r="Q1021">
        <v>3.5</v>
      </c>
      <c r="R1021" t="s">
        <v>22</v>
      </c>
      <c r="S1021">
        <v>13.2</v>
      </c>
      <c r="T1021">
        <v>2.6</v>
      </c>
      <c r="U1021">
        <v>2.2000000000000002</v>
      </c>
      <c r="V1021">
        <v>13.8</v>
      </c>
      <c r="W1021">
        <v>1.5</v>
      </c>
      <c r="X1021">
        <v>19.5</v>
      </c>
      <c r="Z1021">
        <v>2.2000000000000002</v>
      </c>
      <c r="AA1021">
        <v>7</v>
      </c>
      <c r="AB1021">
        <f t="shared" si="30"/>
        <v>61</v>
      </c>
      <c r="AC1021">
        <v>63.2</v>
      </c>
      <c r="AE1021">
        <f t="shared" si="31"/>
        <v>3</v>
      </c>
    </row>
    <row r="1022" spans="1:31" x14ac:dyDescent="0.25">
      <c r="A1022">
        <v>2022</v>
      </c>
      <c r="B1022" t="s">
        <v>99</v>
      </c>
      <c r="C1022" t="str">
        <f>IF(COUNTIF('Rookies 22-25'!$B$61:$B$125,E1022)&gt;0,"(R)","No")</f>
        <v>No</v>
      </c>
      <c r="D1022">
        <v>100</v>
      </c>
      <c r="E1022" t="s">
        <v>417</v>
      </c>
      <c r="F1022" t="s">
        <v>55</v>
      </c>
      <c r="G1022">
        <f>VLOOKUP(E1022,'22 Draft ADP'!$B$2:$D$510,3,FALSE)</f>
        <v>292</v>
      </c>
      <c r="H1022">
        <v>13</v>
      </c>
      <c r="I1022">
        <v>0</v>
      </c>
      <c r="J1022">
        <v>0</v>
      </c>
      <c r="K1022">
        <v>0</v>
      </c>
      <c r="M1022">
        <v>6.4</v>
      </c>
      <c r="N1022">
        <v>0.9</v>
      </c>
      <c r="O1022" t="s">
        <v>22</v>
      </c>
      <c r="S1022">
        <v>13.2</v>
      </c>
      <c r="T1022">
        <v>4.3</v>
      </c>
      <c r="U1022">
        <v>9.1</v>
      </c>
      <c r="V1022">
        <v>9.5</v>
      </c>
      <c r="W1022">
        <v>1.6</v>
      </c>
      <c r="X1022">
        <v>3.4</v>
      </c>
      <c r="Y1022">
        <v>3</v>
      </c>
      <c r="Z1022">
        <v>11.8</v>
      </c>
      <c r="AA1022">
        <v>4.9000000000000004</v>
      </c>
      <c r="AB1022">
        <f t="shared" si="30"/>
        <v>51.400000000000006</v>
      </c>
      <c r="AC1022">
        <v>63.2</v>
      </c>
      <c r="AE1022">
        <f t="shared" si="31"/>
        <v>1</v>
      </c>
    </row>
    <row r="1023" spans="1:31" x14ac:dyDescent="0.25">
      <c r="A1023">
        <v>2022</v>
      </c>
      <c r="B1023" t="s">
        <v>99</v>
      </c>
      <c r="C1023" t="str">
        <f>IF(COUNTIF('Rookies 22-25'!$B$61:$B$125,E1023)&gt;0,"(R)","No")</f>
        <v>No</v>
      </c>
      <c r="D1023">
        <v>102</v>
      </c>
      <c r="E1023" t="s">
        <v>1153</v>
      </c>
      <c r="F1023" t="s">
        <v>95</v>
      </c>
      <c r="G1023">
        <f>VLOOKUP(E1023,'22 Draft ADP'!$B$2:$D$510,3,FALSE)</f>
        <v>309</v>
      </c>
      <c r="H1023">
        <v>17</v>
      </c>
      <c r="I1023">
        <v>2.2000000000000002</v>
      </c>
      <c r="J1023">
        <v>1.2</v>
      </c>
      <c r="K1023">
        <v>4.2</v>
      </c>
      <c r="L1023">
        <v>0</v>
      </c>
      <c r="M1023">
        <v>10.9</v>
      </c>
      <c r="N1023">
        <v>0</v>
      </c>
      <c r="O1023">
        <v>0</v>
      </c>
      <c r="P1023">
        <v>0</v>
      </c>
      <c r="Q1023">
        <v>3</v>
      </c>
      <c r="R1023">
        <v>2.7</v>
      </c>
      <c r="S1023">
        <v>4.5999999999999996</v>
      </c>
      <c r="T1023">
        <v>0</v>
      </c>
      <c r="U1023" t="s">
        <v>22</v>
      </c>
      <c r="V1023">
        <v>9.6999999999999993</v>
      </c>
      <c r="W1023">
        <v>3.4</v>
      </c>
      <c r="X1023">
        <v>2.7</v>
      </c>
      <c r="Y1023">
        <v>17</v>
      </c>
      <c r="Z1023">
        <v>0</v>
      </c>
      <c r="AA1023">
        <v>3.6</v>
      </c>
      <c r="AB1023">
        <f t="shared" si="30"/>
        <v>61.6</v>
      </c>
      <c r="AC1023">
        <v>61.6</v>
      </c>
      <c r="AE1023">
        <f t="shared" si="31"/>
        <v>2</v>
      </c>
    </row>
    <row r="1024" spans="1:31" x14ac:dyDescent="0.25">
      <c r="A1024">
        <v>2022</v>
      </c>
      <c r="B1024" t="s">
        <v>99</v>
      </c>
      <c r="C1024" t="str">
        <f>IF(COUNTIF('Rookies 22-25'!$B$61:$B$125,E1024)&gt;0,"(R)","No")</f>
        <v>No</v>
      </c>
      <c r="D1024">
        <v>102</v>
      </c>
      <c r="E1024" t="s">
        <v>1372</v>
      </c>
      <c r="F1024" t="s">
        <v>21</v>
      </c>
      <c r="G1024">
        <f>VLOOKUP(E1024,'22 Draft ADP'!$B$2:$D$510,3,FALSE)</f>
        <v>212</v>
      </c>
      <c r="H1024">
        <v>13</v>
      </c>
      <c r="I1024">
        <v>3.3</v>
      </c>
      <c r="J1024">
        <v>6.6</v>
      </c>
      <c r="K1024">
        <v>0</v>
      </c>
      <c r="M1024">
        <v>5</v>
      </c>
      <c r="N1024">
        <v>2.7</v>
      </c>
      <c r="P1024">
        <v>0</v>
      </c>
      <c r="R1024">
        <v>9</v>
      </c>
      <c r="S1024">
        <v>10</v>
      </c>
      <c r="T1024">
        <v>1.5</v>
      </c>
      <c r="U1024" t="s">
        <v>22</v>
      </c>
      <c r="V1024">
        <v>1.7</v>
      </c>
      <c r="W1024">
        <v>0</v>
      </c>
      <c r="Y1024">
        <v>3.7</v>
      </c>
      <c r="Z1024">
        <v>18.100000000000001</v>
      </c>
      <c r="AA1024">
        <v>4.7</v>
      </c>
      <c r="AB1024">
        <f t="shared" si="30"/>
        <v>43.5</v>
      </c>
      <c r="AC1024">
        <v>61.6</v>
      </c>
      <c r="AE1024">
        <f t="shared" si="31"/>
        <v>0</v>
      </c>
    </row>
    <row r="1025" spans="1:31" x14ac:dyDescent="0.25">
      <c r="A1025">
        <v>2022</v>
      </c>
      <c r="B1025" t="s">
        <v>99</v>
      </c>
      <c r="C1025" t="str">
        <f>IF(COUNTIF('Rookies 22-25'!$B$61:$B$125,E1025)&gt;0,"(R)","No")</f>
        <v>No</v>
      </c>
      <c r="D1025">
        <v>104</v>
      </c>
      <c r="E1025" t="s">
        <v>1373</v>
      </c>
      <c r="F1025" t="s">
        <v>37</v>
      </c>
      <c r="G1025">
        <f>VLOOKUP(E1025,'22 Draft ADP'!$B$2:$D$510,3,FALSE)</f>
        <v>141</v>
      </c>
      <c r="H1025">
        <v>9</v>
      </c>
      <c r="I1025">
        <v>18.399999999999999</v>
      </c>
      <c r="J1025">
        <v>6.5</v>
      </c>
      <c r="K1025">
        <v>4.2</v>
      </c>
      <c r="L1025">
        <v>4.7</v>
      </c>
      <c r="R1025">
        <v>6.7</v>
      </c>
      <c r="S1025">
        <v>12.3</v>
      </c>
      <c r="T1025">
        <v>4</v>
      </c>
      <c r="U1025">
        <v>3.4</v>
      </c>
      <c r="V1025" t="s">
        <v>22</v>
      </c>
      <c r="W1025">
        <v>0</v>
      </c>
      <c r="AA1025">
        <v>6.7</v>
      </c>
      <c r="AB1025">
        <f t="shared" si="30"/>
        <v>60.2</v>
      </c>
      <c r="AC1025">
        <v>60.2</v>
      </c>
      <c r="AE1025">
        <f t="shared" si="31"/>
        <v>2</v>
      </c>
    </row>
    <row r="1026" spans="1:31" x14ac:dyDescent="0.25">
      <c r="A1026">
        <v>2022</v>
      </c>
      <c r="B1026" t="s">
        <v>99</v>
      </c>
      <c r="C1026" t="str">
        <f>IF(COUNTIF('Rookies 22-25'!$B$61:$B$125,E1026)&gt;0,"(R)","No")</f>
        <v>No</v>
      </c>
      <c r="D1026">
        <v>105</v>
      </c>
      <c r="E1026" t="s">
        <v>425</v>
      </c>
      <c r="F1026" t="s">
        <v>26</v>
      </c>
      <c r="G1026">
        <f>VLOOKUP(E1026,'22 Draft ADP'!$B$2:$D$510,3,FALSE)</f>
        <v>299</v>
      </c>
      <c r="H1026">
        <v>17</v>
      </c>
      <c r="I1026">
        <v>0</v>
      </c>
      <c r="J1026">
        <v>13</v>
      </c>
      <c r="K1026">
        <v>0</v>
      </c>
      <c r="L1026">
        <v>0</v>
      </c>
      <c r="M1026">
        <v>2</v>
      </c>
      <c r="N1026">
        <v>0</v>
      </c>
      <c r="O1026">
        <v>7.4</v>
      </c>
      <c r="P1026" t="s">
        <v>22</v>
      </c>
      <c r="Q1026">
        <v>5.7</v>
      </c>
      <c r="R1026">
        <v>2.2000000000000002</v>
      </c>
      <c r="S1026">
        <v>9.6999999999999993</v>
      </c>
      <c r="T1026">
        <v>4.5999999999999996</v>
      </c>
      <c r="U1026">
        <v>2.5</v>
      </c>
      <c r="V1026">
        <v>0</v>
      </c>
      <c r="W1026">
        <v>0</v>
      </c>
      <c r="X1026">
        <v>0</v>
      </c>
      <c r="Y1026">
        <v>3.7</v>
      </c>
      <c r="Z1026">
        <v>7.7</v>
      </c>
      <c r="AA1026">
        <v>3.4</v>
      </c>
      <c r="AB1026">
        <f t="shared" si="30"/>
        <v>50.8</v>
      </c>
      <c r="AC1026">
        <v>58.5</v>
      </c>
      <c r="AE1026">
        <f t="shared" si="31"/>
        <v>1</v>
      </c>
    </row>
    <row r="1027" spans="1:31" x14ac:dyDescent="0.25">
      <c r="A1027">
        <v>2022</v>
      </c>
      <c r="B1027" t="s">
        <v>99</v>
      </c>
      <c r="C1027" t="str">
        <f>IF(COUNTIF('Rookies 22-25'!$B$61:$B$125,E1027)&gt;0,"(R)","No")</f>
        <v>No</v>
      </c>
      <c r="D1027">
        <v>106</v>
      </c>
      <c r="E1027" t="s">
        <v>409</v>
      </c>
      <c r="F1027" t="s">
        <v>47</v>
      </c>
      <c r="G1027">
        <f>VLOOKUP(E1027,'22 Draft ADP'!$B$2:$D$510,3,FALSE)</f>
        <v>373</v>
      </c>
      <c r="H1027">
        <v>17</v>
      </c>
      <c r="I1027">
        <v>3</v>
      </c>
      <c r="J1027">
        <v>2.6</v>
      </c>
      <c r="K1027">
        <v>2.1</v>
      </c>
      <c r="L1027">
        <v>1.6</v>
      </c>
      <c r="M1027">
        <v>0</v>
      </c>
      <c r="N1027">
        <v>0</v>
      </c>
      <c r="O1027">
        <v>16.5</v>
      </c>
      <c r="P1027">
        <v>2.1</v>
      </c>
      <c r="Q1027" t="s">
        <v>22</v>
      </c>
      <c r="R1027">
        <v>4.3</v>
      </c>
      <c r="S1027">
        <v>0</v>
      </c>
      <c r="T1027">
        <v>2.2000000000000002</v>
      </c>
      <c r="U1027">
        <v>0</v>
      </c>
      <c r="V1027">
        <v>2.8</v>
      </c>
      <c r="W1027">
        <v>2.6</v>
      </c>
      <c r="X1027">
        <v>13.1</v>
      </c>
      <c r="Y1027">
        <v>5.2</v>
      </c>
      <c r="Z1027">
        <v>0</v>
      </c>
      <c r="AA1027">
        <v>3.4</v>
      </c>
      <c r="AB1027">
        <f t="shared" ref="AB1027:AB1090" si="32">AC1027-Z1027</f>
        <v>58.1</v>
      </c>
      <c r="AC1027">
        <v>58.1</v>
      </c>
      <c r="AE1027">
        <f t="shared" ref="AE1027:AE1090" si="33">COUNTIF(I1027:Y1027,"&gt;10")</f>
        <v>2</v>
      </c>
    </row>
    <row r="1028" spans="1:31" x14ac:dyDescent="0.25">
      <c r="A1028">
        <v>2022</v>
      </c>
      <c r="B1028" t="s">
        <v>99</v>
      </c>
      <c r="C1028" t="str">
        <f>IF(COUNTIF('Rookies 22-25'!$B$61:$B$125,E1028)&gt;0,"(R)","No")</f>
        <v>No</v>
      </c>
      <c r="D1028">
        <v>107</v>
      </c>
      <c r="E1028" t="s">
        <v>479</v>
      </c>
      <c r="F1028" t="s">
        <v>82</v>
      </c>
      <c r="G1028">
        <f>VLOOKUP(E1028,'22 Draft ADP'!$B$2:$D$510,3,FALSE)</f>
        <v>285</v>
      </c>
      <c r="H1028">
        <v>17</v>
      </c>
      <c r="I1028">
        <v>8.6999999999999993</v>
      </c>
      <c r="J1028">
        <v>2.2000000000000002</v>
      </c>
      <c r="K1028">
        <v>-0.2</v>
      </c>
      <c r="L1028">
        <v>5.7</v>
      </c>
      <c r="M1028">
        <v>8.4</v>
      </c>
      <c r="N1028">
        <v>9.6</v>
      </c>
      <c r="O1028">
        <v>7.2</v>
      </c>
      <c r="P1028">
        <v>0</v>
      </c>
      <c r="Q1028">
        <v>1.6</v>
      </c>
      <c r="R1028" t="s">
        <v>22</v>
      </c>
      <c r="S1028">
        <v>0</v>
      </c>
      <c r="T1028">
        <v>2.2999999999999998</v>
      </c>
      <c r="U1028">
        <v>2.9</v>
      </c>
      <c r="V1028">
        <v>3.5</v>
      </c>
      <c r="W1028">
        <v>2.4</v>
      </c>
      <c r="X1028">
        <v>0</v>
      </c>
      <c r="Y1028">
        <v>3.4</v>
      </c>
      <c r="Z1028">
        <v>0</v>
      </c>
      <c r="AA1028">
        <v>3.4</v>
      </c>
      <c r="AB1028">
        <f t="shared" si="32"/>
        <v>57.7</v>
      </c>
      <c r="AC1028">
        <v>57.7</v>
      </c>
      <c r="AE1028">
        <f t="shared" si="33"/>
        <v>0</v>
      </c>
    </row>
    <row r="1029" spans="1:31" x14ac:dyDescent="0.25">
      <c r="A1029">
        <v>2022</v>
      </c>
      <c r="B1029" t="s">
        <v>99</v>
      </c>
      <c r="C1029" t="str">
        <f>IF(COUNTIF('Rookies 22-25'!$B$61:$B$125,E1029)&gt;0,"(R)","No")</f>
        <v>No</v>
      </c>
      <c r="D1029">
        <v>108</v>
      </c>
      <c r="E1029" t="s">
        <v>482</v>
      </c>
      <c r="F1029" t="s">
        <v>26</v>
      </c>
      <c r="G1029">
        <f>VLOOKUP(E1029,'22 Draft ADP'!$B$2:$D$510,3,FALSE)</f>
        <v>101</v>
      </c>
      <c r="H1029">
        <v>9</v>
      </c>
      <c r="I1029">
        <v>2.2999999999999998</v>
      </c>
      <c r="J1029">
        <v>2</v>
      </c>
      <c r="P1029" t="s">
        <v>22</v>
      </c>
      <c r="Q1029">
        <v>3.2</v>
      </c>
      <c r="R1029">
        <v>19</v>
      </c>
      <c r="S1029">
        <v>0</v>
      </c>
      <c r="W1029">
        <v>1.5</v>
      </c>
      <c r="X1029">
        <v>7.8</v>
      </c>
      <c r="Y1029">
        <v>9.1</v>
      </c>
      <c r="Z1029">
        <v>12.4</v>
      </c>
      <c r="AA1029">
        <v>6.4</v>
      </c>
      <c r="AB1029">
        <f t="shared" si="32"/>
        <v>44.9</v>
      </c>
      <c r="AC1029">
        <v>57.3</v>
      </c>
      <c r="AE1029">
        <f t="shared" si="33"/>
        <v>1</v>
      </c>
    </row>
    <row r="1030" spans="1:31" x14ac:dyDescent="0.25">
      <c r="A1030">
        <v>2022</v>
      </c>
      <c r="B1030" t="s">
        <v>99</v>
      </c>
      <c r="C1030" t="str">
        <f>IF(COUNTIF('Rookies 22-25'!$B$61:$B$125,E1030)&gt;0,"(R)","No")</f>
        <v>No</v>
      </c>
      <c r="D1030">
        <v>109</v>
      </c>
      <c r="E1030" t="s">
        <v>1374</v>
      </c>
      <c r="F1030" t="s">
        <v>78</v>
      </c>
      <c r="G1030">
        <f>VLOOKUP(E1030,'22 Draft ADP'!$B$2:$D$510,3,FALSE)</f>
        <v>469</v>
      </c>
      <c r="H1030">
        <v>11</v>
      </c>
      <c r="J1030">
        <v>3</v>
      </c>
      <c r="K1030">
        <v>3.7</v>
      </c>
      <c r="L1030">
        <v>5.9</v>
      </c>
      <c r="N1030">
        <v>1.8</v>
      </c>
      <c r="O1030">
        <v>2.4</v>
      </c>
      <c r="Q1030" t="s">
        <v>22</v>
      </c>
      <c r="R1030">
        <v>10.199999999999999</v>
      </c>
      <c r="S1030">
        <v>8.6999999999999993</v>
      </c>
      <c r="T1030">
        <v>9.8000000000000007</v>
      </c>
      <c r="U1030">
        <v>2.1</v>
      </c>
      <c r="V1030">
        <v>8.8000000000000007</v>
      </c>
      <c r="Y1030">
        <v>0</v>
      </c>
      <c r="AA1030">
        <v>5.0999999999999996</v>
      </c>
      <c r="AB1030">
        <f t="shared" si="32"/>
        <v>56.4</v>
      </c>
      <c r="AC1030">
        <v>56.4</v>
      </c>
      <c r="AE1030">
        <f t="shared" si="33"/>
        <v>1</v>
      </c>
    </row>
    <row r="1031" spans="1:31" x14ac:dyDescent="0.25">
      <c r="A1031">
        <v>2022</v>
      </c>
      <c r="B1031" t="s">
        <v>99</v>
      </c>
      <c r="C1031" t="str">
        <f>IF(COUNTIF('Rookies 22-25'!$B$61:$B$125,E1031)&gt;0,"(R)","No")</f>
        <v>No</v>
      </c>
      <c r="D1031">
        <v>110</v>
      </c>
      <c r="E1031" t="s">
        <v>202</v>
      </c>
      <c r="F1031" t="s">
        <v>53</v>
      </c>
      <c r="G1031">
        <f>VLOOKUP(E1031,'22 Draft ADP'!$B$2:$D$510,3,FALSE)</f>
        <v>64</v>
      </c>
      <c r="H1031">
        <v>6</v>
      </c>
      <c r="I1031">
        <v>13.9</v>
      </c>
      <c r="J1031">
        <v>20.8</v>
      </c>
      <c r="K1031">
        <v>5.9</v>
      </c>
      <c r="L1031">
        <v>4.7</v>
      </c>
      <c r="O1031">
        <v>8.1999999999999993</v>
      </c>
      <c r="P1031">
        <v>0</v>
      </c>
      <c r="R1031" t="s">
        <v>22</v>
      </c>
      <c r="AA1031">
        <v>8.9</v>
      </c>
      <c r="AB1031">
        <f t="shared" si="32"/>
        <v>53.5</v>
      </c>
      <c r="AC1031">
        <v>53.5</v>
      </c>
      <c r="AE1031">
        <f t="shared" si="33"/>
        <v>2</v>
      </c>
    </row>
    <row r="1032" spans="1:31" x14ac:dyDescent="0.25">
      <c r="A1032">
        <v>2022</v>
      </c>
      <c r="B1032" t="s">
        <v>99</v>
      </c>
      <c r="C1032" t="str">
        <f>IF(COUNTIF('Rookies 22-25'!$B$61:$B$125,E1032)&gt;0,"(R)","No")</f>
        <v>No</v>
      </c>
      <c r="D1032">
        <v>111</v>
      </c>
      <c r="E1032" t="s">
        <v>1193</v>
      </c>
      <c r="F1032" t="s">
        <v>37</v>
      </c>
      <c r="G1032">
        <f>VLOOKUP(E1032,'22 Draft ADP'!$B$2:$D$510,3,FALSE)</f>
        <v>378</v>
      </c>
      <c r="H1032">
        <v>10</v>
      </c>
      <c r="K1032">
        <v>14.5</v>
      </c>
      <c r="L1032">
        <v>2.8</v>
      </c>
      <c r="M1032">
        <v>2</v>
      </c>
      <c r="N1032">
        <v>13.3</v>
      </c>
      <c r="O1032">
        <v>10.9</v>
      </c>
      <c r="P1032">
        <v>0</v>
      </c>
      <c r="Q1032">
        <v>5.9</v>
      </c>
      <c r="R1032">
        <v>0</v>
      </c>
      <c r="T1032">
        <v>1.8</v>
      </c>
      <c r="V1032" t="s">
        <v>22</v>
      </c>
      <c r="Z1032">
        <v>1.6</v>
      </c>
      <c r="AA1032">
        <v>5.3</v>
      </c>
      <c r="AB1032">
        <f t="shared" si="32"/>
        <v>51.199999999999996</v>
      </c>
      <c r="AC1032">
        <v>52.8</v>
      </c>
      <c r="AE1032">
        <f t="shared" si="33"/>
        <v>3</v>
      </c>
    </row>
    <row r="1033" spans="1:31" x14ac:dyDescent="0.25">
      <c r="A1033">
        <v>2022</v>
      </c>
      <c r="B1033" t="s">
        <v>99</v>
      </c>
      <c r="C1033" t="str">
        <f>IF(COUNTIF('Rookies 22-25'!$B$61:$B$125,E1033)&gt;0,"(R)","No")</f>
        <v>No</v>
      </c>
      <c r="D1033">
        <v>112</v>
      </c>
      <c r="E1033" t="s">
        <v>1375</v>
      </c>
      <c r="F1033" t="s">
        <v>21</v>
      </c>
      <c r="G1033">
        <f>VLOOKUP(E1033,'22 Draft ADP'!$B$2:$D$510,3,FALSE)</f>
        <v>174</v>
      </c>
      <c r="H1033">
        <v>12</v>
      </c>
      <c r="I1033">
        <v>21.2</v>
      </c>
      <c r="J1033">
        <v>4.2</v>
      </c>
      <c r="K1033">
        <v>2.4</v>
      </c>
      <c r="L1033">
        <v>5.6</v>
      </c>
      <c r="M1033">
        <v>4.2</v>
      </c>
      <c r="O1033">
        <v>0</v>
      </c>
      <c r="P1033">
        <v>0</v>
      </c>
      <c r="Q1033">
        <v>0.6</v>
      </c>
      <c r="T1033">
        <v>2.7</v>
      </c>
      <c r="U1033" t="s">
        <v>22</v>
      </c>
      <c r="V1033">
        <v>9</v>
      </c>
      <c r="W1033">
        <v>0</v>
      </c>
      <c r="Y1033">
        <v>2.2999999999999998</v>
      </c>
      <c r="AA1033">
        <v>4.4000000000000004</v>
      </c>
      <c r="AB1033">
        <f t="shared" si="32"/>
        <v>52.2</v>
      </c>
      <c r="AC1033">
        <v>52.2</v>
      </c>
      <c r="AE1033">
        <f t="shared" si="33"/>
        <v>1</v>
      </c>
    </row>
    <row r="1034" spans="1:31" x14ac:dyDescent="0.25">
      <c r="A1034">
        <v>2022</v>
      </c>
      <c r="B1034" t="s">
        <v>99</v>
      </c>
      <c r="C1034" t="str">
        <f>IF(COUNTIF('Rookies 22-25'!$B$61:$B$125,E1034)&gt;0,"(R)","No")</f>
        <v>No</v>
      </c>
      <c r="D1034">
        <v>113</v>
      </c>
      <c r="E1034" t="s">
        <v>1376</v>
      </c>
      <c r="F1034" t="s">
        <v>24</v>
      </c>
      <c r="G1034">
        <f>VLOOKUP(E1034,'22 Draft ADP'!$B$2:$D$510,3,FALSE)</f>
        <v>464</v>
      </c>
      <c r="H1034">
        <v>12</v>
      </c>
      <c r="L1034">
        <v>0</v>
      </c>
      <c r="M1034">
        <v>0</v>
      </c>
      <c r="O1034">
        <v>14.5</v>
      </c>
      <c r="P1034">
        <v>15.7</v>
      </c>
      <c r="Q1034">
        <v>0</v>
      </c>
      <c r="R1034">
        <v>8.8000000000000007</v>
      </c>
      <c r="S1034">
        <v>4.9000000000000004</v>
      </c>
      <c r="U1034">
        <v>2.2000000000000002</v>
      </c>
      <c r="V1034" t="s">
        <v>22</v>
      </c>
      <c r="W1034">
        <v>0</v>
      </c>
      <c r="X1034">
        <v>2.5</v>
      </c>
      <c r="Y1034">
        <v>2.2000000000000002</v>
      </c>
      <c r="Z1034">
        <v>1</v>
      </c>
      <c r="AA1034">
        <v>4.3</v>
      </c>
      <c r="AB1034">
        <f t="shared" si="32"/>
        <v>50.8</v>
      </c>
      <c r="AC1034">
        <v>51.8</v>
      </c>
      <c r="AE1034">
        <f t="shared" si="33"/>
        <v>2</v>
      </c>
    </row>
    <row r="1035" spans="1:31" x14ac:dyDescent="0.25">
      <c r="A1035">
        <v>2022</v>
      </c>
      <c r="B1035" t="s">
        <v>99</v>
      </c>
      <c r="C1035" t="str">
        <f>IF(COUNTIF('Rookies 22-25'!$B$61:$B$125,E1035)&gt;0,"(R)","No")</f>
        <v>No</v>
      </c>
      <c r="D1035">
        <v>114</v>
      </c>
      <c r="E1035" t="s">
        <v>1543</v>
      </c>
      <c r="F1035" t="s">
        <v>28</v>
      </c>
      <c r="G1035">
        <f>VLOOKUP(E1035,'22 Draft ADP'!$B$2:$D$510,3,FALSE)</f>
        <v>408</v>
      </c>
      <c r="H1035">
        <v>15</v>
      </c>
      <c r="I1035">
        <v>0</v>
      </c>
      <c r="K1035">
        <v>2.5</v>
      </c>
      <c r="L1035">
        <v>0</v>
      </c>
      <c r="M1035">
        <v>0</v>
      </c>
      <c r="N1035" t="s">
        <v>22</v>
      </c>
      <c r="O1035">
        <v>12.5</v>
      </c>
      <c r="P1035">
        <v>1.6</v>
      </c>
      <c r="Q1035">
        <v>9.9</v>
      </c>
      <c r="R1035">
        <v>4.2</v>
      </c>
      <c r="S1035">
        <v>0</v>
      </c>
      <c r="T1035">
        <v>1.5</v>
      </c>
      <c r="U1035">
        <v>3.8</v>
      </c>
      <c r="V1035">
        <v>3.8</v>
      </c>
      <c r="W1035">
        <v>0</v>
      </c>
      <c r="X1035">
        <v>7.5</v>
      </c>
      <c r="Y1035">
        <v>4.4000000000000004</v>
      </c>
      <c r="AA1035">
        <v>3.4</v>
      </c>
      <c r="AB1035">
        <f t="shared" si="32"/>
        <v>51.7</v>
      </c>
      <c r="AC1035">
        <v>51.7</v>
      </c>
      <c r="AE1035">
        <f t="shared" si="33"/>
        <v>1</v>
      </c>
    </row>
    <row r="1036" spans="1:31" x14ac:dyDescent="0.25">
      <c r="A1036">
        <v>2022</v>
      </c>
      <c r="B1036" t="s">
        <v>99</v>
      </c>
      <c r="C1036" t="str">
        <f>IF(COUNTIF('Rookies 22-25'!$B$61:$B$125,E1036)&gt;0,"(R)","No")</f>
        <v>(R)</v>
      </c>
      <c r="D1036">
        <v>115</v>
      </c>
      <c r="E1036" t="s">
        <v>113</v>
      </c>
      <c r="F1036" t="s">
        <v>57</v>
      </c>
      <c r="G1036">
        <f>VLOOKUP(E1036,'22 Draft ADP'!$B$2:$D$510,3,FALSE)</f>
        <v>168</v>
      </c>
      <c r="H1036">
        <v>6</v>
      </c>
      <c r="I1036">
        <v>1.5</v>
      </c>
      <c r="N1036">
        <v>12.7</v>
      </c>
      <c r="O1036">
        <v>11</v>
      </c>
      <c r="P1036">
        <v>3.5</v>
      </c>
      <c r="Q1036" t="s">
        <v>22</v>
      </c>
      <c r="R1036">
        <v>3.5</v>
      </c>
      <c r="S1036">
        <v>19.399999999999999</v>
      </c>
      <c r="AA1036">
        <v>8.6</v>
      </c>
      <c r="AB1036">
        <f t="shared" si="32"/>
        <v>51.6</v>
      </c>
      <c r="AC1036">
        <v>51.6</v>
      </c>
      <c r="AE1036">
        <f t="shared" si="33"/>
        <v>3</v>
      </c>
    </row>
    <row r="1037" spans="1:31" x14ac:dyDescent="0.25">
      <c r="A1037">
        <v>2022</v>
      </c>
      <c r="B1037" t="s">
        <v>99</v>
      </c>
      <c r="C1037" t="str">
        <f>IF(COUNTIF('Rookies 22-25'!$B$61:$B$125,E1037)&gt;0,"(R)","No")</f>
        <v>No</v>
      </c>
      <c r="D1037">
        <v>116</v>
      </c>
      <c r="E1037" t="s">
        <v>464</v>
      </c>
      <c r="F1037" t="s">
        <v>37</v>
      </c>
      <c r="G1037">
        <f>VLOOKUP(E1037,'22 Draft ADP'!$B$2:$D$510,3,FALSE)</f>
        <v>66</v>
      </c>
      <c r="H1037">
        <v>3</v>
      </c>
      <c r="I1037">
        <v>22.7</v>
      </c>
      <c r="J1037">
        <v>18.5</v>
      </c>
      <c r="K1037">
        <v>9.9</v>
      </c>
      <c r="V1037" t="s">
        <v>22</v>
      </c>
      <c r="AA1037">
        <v>17</v>
      </c>
      <c r="AB1037">
        <f t="shared" si="32"/>
        <v>51.1</v>
      </c>
      <c r="AC1037">
        <v>51.1</v>
      </c>
      <c r="AE1037">
        <f t="shared" si="33"/>
        <v>2</v>
      </c>
    </row>
    <row r="1038" spans="1:31" x14ac:dyDescent="0.25">
      <c r="A1038">
        <v>2022</v>
      </c>
      <c r="B1038" t="s">
        <v>99</v>
      </c>
      <c r="C1038" t="str">
        <f>IF(COUNTIF('Rookies 22-25'!$B$61:$B$125,E1038)&gt;0,"(R)","No")</f>
        <v>No</v>
      </c>
      <c r="D1038">
        <v>117</v>
      </c>
      <c r="E1038" t="s">
        <v>472</v>
      </c>
      <c r="F1038" t="s">
        <v>55</v>
      </c>
      <c r="G1038">
        <v>300</v>
      </c>
      <c r="H1038">
        <v>17</v>
      </c>
      <c r="I1038">
        <v>2.2999999999999998</v>
      </c>
      <c r="J1038">
        <v>-1</v>
      </c>
      <c r="K1038">
        <v>5.7</v>
      </c>
      <c r="L1038">
        <v>1.1000000000000001</v>
      </c>
      <c r="M1038">
        <v>0.1</v>
      </c>
      <c r="N1038">
        <v>8</v>
      </c>
      <c r="O1038" t="s">
        <v>22</v>
      </c>
      <c r="P1038">
        <v>0</v>
      </c>
      <c r="Q1038">
        <v>1.4</v>
      </c>
      <c r="R1038">
        <v>0.7</v>
      </c>
      <c r="S1038">
        <v>3.5</v>
      </c>
      <c r="T1038">
        <v>2.6</v>
      </c>
      <c r="U1038">
        <v>12.4</v>
      </c>
      <c r="V1038">
        <v>0</v>
      </c>
      <c r="W1038">
        <v>1.7</v>
      </c>
      <c r="X1038">
        <v>4.5</v>
      </c>
      <c r="Y1038">
        <v>1.9</v>
      </c>
      <c r="Z1038">
        <v>2.7</v>
      </c>
      <c r="AA1038">
        <v>2.8</v>
      </c>
      <c r="AB1038">
        <f t="shared" si="32"/>
        <v>44.9</v>
      </c>
      <c r="AC1038">
        <v>47.6</v>
      </c>
      <c r="AE1038">
        <f t="shared" si="33"/>
        <v>1</v>
      </c>
    </row>
    <row r="1039" spans="1:31" x14ac:dyDescent="0.25">
      <c r="A1039">
        <v>2022</v>
      </c>
      <c r="B1039" t="s">
        <v>99</v>
      </c>
      <c r="C1039" t="str">
        <f>IF(COUNTIF('Rookies 22-25'!$B$61:$B$125,E1039)&gt;0,"(R)","No")</f>
        <v>No</v>
      </c>
      <c r="D1039">
        <v>118</v>
      </c>
      <c r="E1039" t="s">
        <v>1377</v>
      </c>
      <c r="F1039" t="s">
        <v>53</v>
      </c>
      <c r="G1039">
        <f>VLOOKUP(E1039,'22 Draft ADP'!$B$2:$D$510,3,FALSE)</f>
        <v>194</v>
      </c>
      <c r="H1039">
        <v>9</v>
      </c>
      <c r="I1039">
        <v>4.8</v>
      </c>
      <c r="J1039">
        <v>12.3</v>
      </c>
      <c r="O1039">
        <v>5.6</v>
      </c>
      <c r="P1039">
        <v>1.3</v>
      </c>
      <c r="Q1039">
        <v>1.9</v>
      </c>
      <c r="R1039">
        <v>7.7</v>
      </c>
      <c r="S1039">
        <v>0</v>
      </c>
      <c r="X1039">
        <v>5</v>
      </c>
      <c r="Z1039">
        <v>7.9</v>
      </c>
      <c r="AA1039">
        <v>5.2</v>
      </c>
      <c r="AB1039">
        <f t="shared" si="32"/>
        <v>38.6</v>
      </c>
      <c r="AC1039">
        <v>46.5</v>
      </c>
      <c r="AE1039">
        <f t="shared" si="33"/>
        <v>1</v>
      </c>
    </row>
    <row r="1040" spans="1:31" x14ac:dyDescent="0.25">
      <c r="A1040">
        <v>2022</v>
      </c>
      <c r="B1040" t="s">
        <v>99</v>
      </c>
      <c r="C1040" t="str">
        <f>IF(COUNTIF('Rookies 22-25'!$B$61:$B$125,E1040)&gt;0,"(R)","No")</f>
        <v>(R)</v>
      </c>
      <c r="D1040">
        <v>119</v>
      </c>
      <c r="E1040" t="s">
        <v>483</v>
      </c>
      <c r="F1040" t="s">
        <v>32</v>
      </c>
      <c r="G1040">
        <f>VLOOKUP(E1040,'22 Draft ADP'!$B$2:$D$510,3,FALSE)</f>
        <v>216</v>
      </c>
      <c r="H1040">
        <v>16</v>
      </c>
      <c r="I1040">
        <v>0</v>
      </c>
      <c r="J1040">
        <v>1.6</v>
      </c>
      <c r="K1040">
        <v>1.6</v>
      </c>
      <c r="L1040">
        <v>5.5</v>
      </c>
      <c r="M1040">
        <v>1.6</v>
      </c>
      <c r="N1040">
        <v>2.2999999999999998</v>
      </c>
      <c r="O1040">
        <v>1.7</v>
      </c>
      <c r="P1040">
        <v>4.7</v>
      </c>
      <c r="Q1040" t="s">
        <v>22</v>
      </c>
      <c r="R1040">
        <v>5.4</v>
      </c>
      <c r="S1040">
        <v>6.2</v>
      </c>
      <c r="T1040">
        <v>6.3</v>
      </c>
      <c r="U1040">
        <v>0</v>
      </c>
      <c r="V1040">
        <v>5.7</v>
      </c>
      <c r="X1040">
        <v>2.8</v>
      </c>
      <c r="Y1040">
        <v>0</v>
      </c>
      <c r="Z1040">
        <v>0</v>
      </c>
      <c r="AA1040">
        <v>2.8</v>
      </c>
      <c r="AB1040">
        <f t="shared" si="32"/>
        <v>45.4</v>
      </c>
      <c r="AC1040">
        <v>45.4</v>
      </c>
      <c r="AE1040">
        <f t="shared" si="33"/>
        <v>0</v>
      </c>
    </row>
    <row r="1041" spans="1:31" x14ac:dyDescent="0.25">
      <c r="A1041">
        <v>2022</v>
      </c>
      <c r="B1041" t="s">
        <v>99</v>
      </c>
      <c r="C1041" t="str">
        <f>IF(COUNTIF('Rookies 22-25'!$B$61:$B$125,E1041)&gt;0,"(R)","No")</f>
        <v>(R)</v>
      </c>
      <c r="D1041">
        <v>120</v>
      </c>
      <c r="E1041" t="s">
        <v>481</v>
      </c>
      <c r="F1041" t="s">
        <v>26</v>
      </c>
      <c r="G1041">
        <f>VLOOKUP(E1041,'22 Draft ADP'!$B$2:$D$510,3,FALSE)</f>
        <v>108</v>
      </c>
      <c r="H1041">
        <v>16</v>
      </c>
      <c r="I1041">
        <v>4</v>
      </c>
      <c r="J1041">
        <v>0</v>
      </c>
      <c r="K1041">
        <v>-2</v>
      </c>
      <c r="L1041">
        <v>5.0999999999999996</v>
      </c>
      <c r="M1041">
        <v>3.5</v>
      </c>
      <c r="N1041">
        <v>3.4</v>
      </c>
      <c r="O1041">
        <v>-2</v>
      </c>
      <c r="P1041" t="s">
        <v>22</v>
      </c>
      <c r="Q1041">
        <v>0</v>
      </c>
      <c r="R1041">
        <v>1.6</v>
      </c>
      <c r="S1041">
        <v>11.3</v>
      </c>
      <c r="T1041">
        <v>6.6</v>
      </c>
      <c r="U1041">
        <v>1.2</v>
      </c>
      <c r="V1041">
        <v>1.7</v>
      </c>
      <c r="W1041">
        <v>1.2</v>
      </c>
      <c r="X1041">
        <v>1.5</v>
      </c>
      <c r="Y1041">
        <v>6.3</v>
      </c>
      <c r="AA1041">
        <v>2.7</v>
      </c>
      <c r="AB1041">
        <f t="shared" si="32"/>
        <v>43.4</v>
      </c>
      <c r="AC1041">
        <v>43.4</v>
      </c>
      <c r="AE1041">
        <f t="shared" si="33"/>
        <v>1</v>
      </c>
    </row>
    <row r="1042" spans="1:31" x14ac:dyDescent="0.25">
      <c r="A1042">
        <v>2022</v>
      </c>
      <c r="B1042" t="s">
        <v>99</v>
      </c>
      <c r="C1042" t="str">
        <f>IF(COUNTIF('Rookies 22-25'!$B$61:$B$125,E1042)&gt;0,"(R)","No")</f>
        <v>No</v>
      </c>
      <c r="D1042">
        <v>121</v>
      </c>
      <c r="E1042" t="s">
        <v>1261</v>
      </c>
      <c r="F1042" t="s">
        <v>28</v>
      </c>
      <c r="G1042">
        <f>VLOOKUP(E1042,'22 Draft ADP'!$B$2:$D$510,3,FALSE)</f>
        <v>317</v>
      </c>
      <c r="H1042">
        <v>10</v>
      </c>
      <c r="I1042">
        <v>7.6</v>
      </c>
      <c r="J1042">
        <v>13.2</v>
      </c>
      <c r="K1042">
        <v>1.7</v>
      </c>
      <c r="L1042">
        <v>3.8</v>
      </c>
      <c r="M1042">
        <v>2.8</v>
      </c>
      <c r="S1042">
        <v>0</v>
      </c>
      <c r="T1042">
        <v>0</v>
      </c>
      <c r="U1042">
        <v>8.4</v>
      </c>
      <c r="V1042" t="s">
        <v>22</v>
      </c>
      <c r="W1042">
        <v>5</v>
      </c>
      <c r="X1042">
        <v>0</v>
      </c>
      <c r="AA1042">
        <v>4.3</v>
      </c>
      <c r="AB1042">
        <f t="shared" si="32"/>
        <v>42.5</v>
      </c>
      <c r="AC1042">
        <v>42.5</v>
      </c>
      <c r="AE1042">
        <f t="shared" si="33"/>
        <v>1</v>
      </c>
    </row>
    <row r="1043" spans="1:31" x14ac:dyDescent="0.25">
      <c r="A1043">
        <v>2022</v>
      </c>
      <c r="B1043" t="s">
        <v>99</v>
      </c>
      <c r="C1043" t="str">
        <f>IF(COUNTIF('Rookies 22-25'!$B$61:$B$125,E1043)&gt;0,"(R)","No")</f>
        <v>No</v>
      </c>
      <c r="D1043">
        <v>122</v>
      </c>
      <c r="E1043" t="s">
        <v>1234</v>
      </c>
      <c r="F1043" t="s">
        <v>65</v>
      </c>
      <c r="G1043">
        <f>VLOOKUP(E1043,'22 Draft ADP'!$B$2:$D$510,3,FALSE)</f>
        <v>345</v>
      </c>
      <c r="H1043">
        <v>12</v>
      </c>
      <c r="J1043">
        <v>7.2</v>
      </c>
      <c r="K1043">
        <v>1.4</v>
      </c>
      <c r="M1043">
        <v>7.5</v>
      </c>
      <c r="N1043">
        <v>0</v>
      </c>
      <c r="O1043">
        <v>2.6</v>
      </c>
      <c r="P1043">
        <v>3.3</v>
      </c>
      <c r="Q1043">
        <v>12.3</v>
      </c>
      <c r="R1043">
        <v>4.5</v>
      </c>
      <c r="S1043" t="s">
        <v>22</v>
      </c>
      <c r="U1043">
        <v>1.7</v>
      </c>
      <c r="V1043">
        <v>0</v>
      </c>
      <c r="X1043">
        <v>0</v>
      </c>
      <c r="Z1043">
        <v>1.8</v>
      </c>
      <c r="AA1043">
        <v>3.5</v>
      </c>
      <c r="AB1043">
        <f t="shared" si="32"/>
        <v>40.5</v>
      </c>
      <c r="AC1043">
        <v>42.3</v>
      </c>
      <c r="AE1043">
        <f t="shared" si="33"/>
        <v>1</v>
      </c>
    </row>
    <row r="1044" spans="1:31" x14ac:dyDescent="0.25">
      <c r="A1044">
        <v>2022</v>
      </c>
      <c r="B1044" t="s">
        <v>99</v>
      </c>
      <c r="C1044" t="str">
        <f>IF(COUNTIF('Rookies 22-25'!$B$61:$B$125,E1044)&gt;0,"(R)","No")</f>
        <v>No</v>
      </c>
      <c r="D1044">
        <v>123</v>
      </c>
      <c r="E1044" t="s">
        <v>1262</v>
      </c>
      <c r="F1044" t="s">
        <v>24</v>
      </c>
      <c r="G1044">
        <f>VLOOKUP(E1044,'22 Draft ADP'!$B$2:$D$510,3,FALSE)</f>
        <v>483</v>
      </c>
      <c r="H1044">
        <v>14</v>
      </c>
      <c r="I1044">
        <v>6.8</v>
      </c>
      <c r="J1044">
        <v>7.7</v>
      </c>
      <c r="K1044">
        <v>0</v>
      </c>
      <c r="L1044">
        <v>0</v>
      </c>
      <c r="M1044">
        <v>8.3000000000000007</v>
      </c>
      <c r="N1044">
        <v>0</v>
      </c>
      <c r="O1044">
        <v>0</v>
      </c>
      <c r="Q1044">
        <v>2.9</v>
      </c>
      <c r="R1044">
        <v>11.7</v>
      </c>
      <c r="S1044">
        <v>2.2999999999999998</v>
      </c>
      <c r="U1044">
        <v>0</v>
      </c>
      <c r="V1044" t="s">
        <v>22</v>
      </c>
      <c r="W1044">
        <v>0</v>
      </c>
      <c r="X1044">
        <v>0</v>
      </c>
      <c r="Y1044">
        <v>1.5</v>
      </c>
      <c r="AA1044">
        <v>2.9</v>
      </c>
      <c r="AB1044">
        <f t="shared" si="32"/>
        <v>41.2</v>
      </c>
      <c r="AC1044">
        <v>41.2</v>
      </c>
      <c r="AE1044">
        <f t="shared" si="33"/>
        <v>1</v>
      </c>
    </row>
    <row r="1045" spans="1:31" x14ac:dyDescent="0.25">
      <c r="A1045">
        <v>2022</v>
      </c>
      <c r="B1045" t="s">
        <v>99</v>
      </c>
      <c r="C1045" t="str">
        <f>IF(COUNTIF('Rookies 22-25'!$B$61:$B$125,E1045)&gt;0,"(R)","No")</f>
        <v>No</v>
      </c>
      <c r="D1045">
        <v>124</v>
      </c>
      <c r="E1045" t="s">
        <v>1378</v>
      </c>
      <c r="F1045" t="s">
        <v>41</v>
      </c>
      <c r="G1045">
        <f>VLOOKUP(E1045,'22 Draft ADP'!$B$2:$D$510,3,FALSE)</f>
        <v>300</v>
      </c>
      <c r="H1045">
        <v>15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2.4</v>
      </c>
      <c r="O1045">
        <v>1.4</v>
      </c>
      <c r="P1045">
        <v>3.2</v>
      </c>
      <c r="Q1045">
        <v>0</v>
      </c>
      <c r="R1045">
        <v>-2</v>
      </c>
      <c r="V1045">
        <v>16</v>
      </c>
      <c r="W1045">
        <v>4.5999999999999996</v>
      </c>
      <c r="X1045">
        <v>4.7</v>
      </c>
      <c r="Y1045">
        <v>3.6</v>
      </c>
      <c r="Z1045">
        <v>5.2</v>
      </c>
      <c r="AA1045">
        <v>2.6</v>
      </c>
      <c r="AB1045">
        <f t="shared" si="32"/>
        <v>33.9</v>
      </c>
      <c r="AC1045">
        <v>39.1</v>
      </c>
      <c r="AE1045">
        <f t="shared" si="33"/>
        <v>1</v>
      </c>
    </row>
    <row r="1046" spans="1:31" x14ac:dyDescent="0.25">
      <c r="A1046">
        <v>2022</v>
      </c>
      <c r="B1046" t="s">
        <v>99</v>
      </c>
      <c r="C1046" t="str">
        <f>IF(COUNTIF('Rookies 22-25'!$B$61:$B$125,E1046)&gt;0,"(R)","No")</f>
        <v>No</v>
      </c>
      <c r="D1046">
        <v>125</v>
      </c>
      <c r="E1046" t="s">
        <v>1379</v>
      </c>
      <c r="F1046" t="s">
        <v>37</v>
      </c>
      <c r="G1046">
        <f>VLOOKUP(E1046,'22 Draft ADP'!$B$2:$D$510,3,FALSE)</f>
        <v>295</v>
      </c>
      <c r="H1046">
        <v>11</v>
      </c>
      <c r="J1046">
        <v>0</v>
      </c>
      <c r="K1046">
        <v>7.4</v>
      </c>
      <c r="L1046">
        <v>8.3000000000000007</v>
      </c>
      <c r="M1046">
        <v>2.5</v>
      </c>
      <c r="N1046">
        <v>6.6</v>
      </c>
      <c r="O1046">
        <v>4</v>
      </c>
      <c r="P1046">
        <v>2</v>
      </c>
      <c r="Q1046">
        <v>5.4</v>
      </c>
      <c r="S1046">
        <v>1.6</v>
      </c>
      <c r="U1046">
        <v>0</v>
      </c>
      <c r="V1046" t="s">
        <v>22</v>
      </c>
      <c r="Z1046">
        <v>0</v>
      </c>
      <c r="AA1046">
        <v>3.4</v>
      </c>
      <c r="AB1046">
        <f t="shared" si="32"/>
        <v>37.799999999999997</v>
      </c>
      <c r="AC1046">
        <v>37.799999999999997</v>
      </c>
      <c r="AE1046">
        <f t="shared" si="33"/>
        <v>0</v>
      </c>
    </row>
    <row r="1047" spans="1:31" x14ac:dyDescent="0.25">
      <c r="A1047">
        <v>2022</v>
      </c>
      <c r="B1047" t="s">
        <v>99</v>
      </c>
      <c r="C1047" t="str">
        <f>IF(COUNTIF('Rookies 22-25'!$B$61:$B$125,E1047)&gt;0,"(R)","No")</f>
        <v>No</v>
      </c>
      <c r="D1047">
        <v>126</v>
      </c>
      <c r="E1047" t="s">
        <v>1380</v>
      </c>
      <c r="F1047" t="s">
        <v>35</v>
      </c>
      <c r="G1047">
        <f>VLOOKUP(E1047,'22 Draft ADP'!$B$2:$D$510,3,FALSE)</f>
        <v>313</v>
      </c>
      <c r="H1047">
        <v>15</v>
      </c>
      <c r="I1047">
        <v>1.7</v>
      </c>
      <c r="J1047">
        <v>3.4</v>
      </c>
      <c r="K1047">
        <v>4.8</v>
      </c>
      <c r="L1047">
        <v>0</v>
      </c>
      <c r="N1047">
        <v>0</v>
      </c>
      <c r="O1047" t="s">
        <v>22</v>
      </c>
      <c r="P1047">
        <v>13.7</v>
      </c>
      <c r="Q1047">
        <v>1.8</v>
      </c>
      <c r="R1047">
        <v>2</v>
      </c>
      <c r="S1047">
        <v>1.9</v>
      </c>
      <c r="T1047">
        <v>0</v>
      </c>
      <c r="U1047">
        <v>3.6</v>
      </c>
      <c r="V1047">
        <v>1.5</v>
      </c>
      <c r="W1047">
        <v>0</v>
      </c>
      <c r="X1047">
        <v>1.6</v>
      </c>
      <c r="Y1047">
        <v>0</v>
      </c>
      <c r="AA1047">
        <v>2.4</v>
      </c>
      <c r="AB1047">
        <f t="shared" si="32"/>
        <v>36</v>
      </c>
      <c r="AC1047">
        <v>36</v>
      </c>
      <c r="AE1047">
        <f t="shared" si="33"/>
        <v>1</v>
      </c>
    </row>
    <row r="1048" spans="1:31" x14ac:dyDescent="0.25">
      <c r="A1048">
        <v>2022</v>
      </c>
      <c r="B1048" t="s">
        <v>99</v>
      </c>
      <c r="C1048" t="str">
        <f>IF(COUNTIF('Rookies 22-25'!$B$61:$B$125,E1048)&gt;0,"(R)","No")</f>
        <v>No</v>
      </c>
      <c r="D1048">
        <v>127</v>
      </c>
      <c r="E1048" t="s">
        <v>1381</v>
      </c>
      <c r="F1048" t="s">
        <v>45</v>
      </c>
      <c r="G1048">
        <f>VLOOKUP(E1048,'22 Draft ADP'!$B$2:$D$510,3,FALSE)</f>
        <v>283</v>
      </c>
      <c r="H1048">
        <v>10</v>
      </c>
      <c r="I1048">
        <v>3.2</v>
      </c>
      <c r="J1048">
        <v>0</v>
      </c>
      <c r="K1048">
        <v>2.1</v>
      </c>
      <c r="R1048">
        <v>2.2000000000000002</v>
      </c>
      <c r="S1048">
        <v>0</v>
      </c>
      <c r="T1048">
        <v>9.1999999999999993</v>
      </c>
      <c r="V1048" t="s">
        <v>22</v>
      </c>
      <c r="W1048">
        <v>11.9</v>
      </c>
      <c r="X1048">
        <v>5.4</v>
      </c>
      <c r="Y1048">
        <v>0</v>
      </c>
      <c r="Z1048">
        <v>1.5</v>
      </c>
      <c r="AA1048">
        <v>3.6</v>
      </c>
      <c r="AB1048">
        <f t="shared" si="32"/>
        <v>34</v>
      </c>
      <c r="AC1048">
        <v>35.5</v>
      </c>
      <c r="AE1048">
        <f t="shared" si="33"/>
        <v>1</v>
      </c>
    </row>
    <row r="1049" spans="1:31" x14ac:dyDescent="0.25">
      <c r="A1049">
        <v>2022</v>
      </c>
      <c r="B1049" t="s">
        <v>99</v>
      </c>
      <c r="C1049" t="str">
        <f>IF(COUNTIF('Rookies 22-25'!$B$61:$B$125,E1049)&gt;0,"(R)","No")</f>
        <v>No</v>
      </c>
      <c r="D1049">
        <v>128</v>
      </c>
      <c r="E1049" t="s">
        <v>179</v>
      </c>
      <c r="F1049" t="s">
        <v>57</v>
      </c>
      <c r="G1049">
        <f>VLOOKUP(E1049,'22 Draft ADP'!$B$2:$D$510,3,FALSE)</f>
        <v>262</v>
      </c>
      <c r="H1049">
        <v>3</v>
      </c>
      <c r="I1049">
        <v>15.1</v>
      </c>
      <c r="J1049">
        <v>9.4</v>
      </c>
      <c r="K1049">
        <v>9.9</v>
      </c>
      <c r="Q1049" t="s">
        <v>22</v>
      </c>
      <c r="AA1049">
        <v>11.5</v>
      </c>
      <c r="AB1049">
        <f t="shared" si="32"/>
        <v>34.4</v>
      </c>
      <c r="AC1049">
        <v>34.4</v>
      </c>
      <c r="AE1049">
        <f t="shared" si="33"/>
        <v>1</v>
      </c>
    </row>
    <row r="1050" spans="1:31" x14ac:dyDescent="0.25">
      <c r="A1050">
        <v>2022</v>
      </c>
      <c r="B1050" t="s">
        <v>19</v>
      </c>
      <c r="C1050" t="str">
        <f>IF(COUNTIF('Rookies 22-25'!$B$61:$B$125,E1050)&gt;0,"(R)","No")</f>
        <v>No</v>
      </c>
      <c r="D1050">
        <v>1</v>
      </c>
      <c r="E1050" t="s">
        <v>25</v>
      </c>
      <c r="F1050" t="s">
        <v>26</v>
      </c>
      <c r="G1050">
        <f>VLOOKUP(E1050,'22 Draft ADP'!$B$2:$D$510,3,FALSE)</f>
        <v>13</v>
      </c>
      <c r="H1050">
        <v>17</v>
      </c>
      <c r="I1050">
        <v>26.1</v>
      </c>
      <c r="J1050">
        <v>10.1</v>
      </c>
      <c r="K1050">
        <v>17.899999999999999</v>
      </c>
      <c r="L1050">
        <v>24.2</v>
      </c>
      <c r="M1050">
        <v>33.5</v>
      </c>
      <c r="N1050">
        <v>19.2</v>
      </c>
      <c r="O1050">
        <v>15.8</v>
      </c>
      <c r="P1050" t="s">
        <v>22</v>
      </c>
      <c r="Q1050">
        <v>20.6</v>
      </c>
      <c r="R1050">
        <v>20.100000000000001</v>
      </c>
      <c r="S1050">
        <v>35.5</v>
      </c>
      <c r="T1050">
        <v>15.7</v>
      </c>
      <c r="U1050">
        <v>7.6</v>
      </c>
      <c r="V1050">
        <v>11.1</v>
      </c>
      <c r="W1050">
        <v>20.5</v>
      </c>
      <c r="X1050">
        <v>17.3</v>
      </c>
      <c r="Y1050">
        <v>11.3</v>
      </c>
      <c r="Z1050">
        <v>9.8000000000000007</v>
      </c>
      <c r="AA1050">
        <v>18.600000000000001</v>
      </c>
      <c r="AB1050">
        <f t="shared" si="32"/>
        <v>306.5</v>
      </c>
      <c r="AC1050">
        <v>316.3</v>
      </c>
      <c r="AE1050">
        <f t="shared" si="33"/>
        <v>15</v>
      </c>
    </row>
    <row r="1051" spans="1:31" x14ac:dyDescent="0.25">
      <c r="A1051">
        <v>2022</v>
      </c>
      <c r="B1051" t="s">
        <v>19</v>
      </c>
      <c r="C1051" t="str">
        <f>IF(COUNTIF('Rookies 22-25'!$B$61:$B$125,E1051)&gt;0,"(R)","No")</f>
        <v>No</v>
      </c>
      <c r="D1051">
        <v>2</v>
      </c>
      <c r="E1051" t="s">
        <v>72</v>
      </c>
      <c r="F1051" t="s">
        <v>73</v>
      </c>
      <c r="G1051">
        <f>VLOOKUP(E1051,'22 Draft ADP'!$B$2:$D$510,3,FALSE)</f>
        <v>89</v>
      </c>
      <c r="H1051">
        <v>17</v>
      </c>
      <c r="I1051">
        <v>7.8</v>
      </c>
      <c r="J1051">
        <v>5.6</v>
      </c>
      <c r="K1051">
        <v>10.8</v>
      </c>
      <c r="L1051">
        <v>39.9</v>
      </c>
      <c r="M1051">
        <v>1.6</v>
      </c>
      <c r="O1051">
        <v>8.8000000000000007</v>
      </c>
      <c r="P1051">
        <v>11</v>
      </c>
      <c r="Q1051">
        <v>16</v>
      </c>
      <c r="R1051">
        <v>11.5</v>
      </c>
      <c r="S1051">
        <v>8.4</v>
      </c>
      <c r="T1051">
        <v>15.3</v>
      </c>
      <c r="U1051">
        <v>7.3</v>
      </c>
      <c r="V1051">
        <v>11.7</v>
      </c>
      <c r="W1051">
        <v>8.3000000000000007</v>
      </c>
      <c r="X1051">
        <v>35.9</v>
      </c>
      <c r="Y1051">
        <v>12.9</v>
      </c>
      <c r="Z1051">
        <v>2.6</v>
      </c>
      <c r="AA1051">
        <v>12.7</v>
      </c>
      <c r="AB1051">
        <f t="shared" si="32"/>
        <v>212.8</v>
      </c>
      <c r="AC1051">
        <v>215.4</v>
      </c>
      <c r="AE1051">
        <f t="shared" si="33"/>
        <v>9</v>
      </c>
    </row>
    <row r="1052" spans="1:31" x14ac:dyDescent="0.25">
      <c r="A1052">
        <v>2022</v>
      </c>
      <c r="B1052" t="s">
        <v>19</v>
      </c>
      <c r="C1052" t="str">
        <f>IF(COUNTIF('Rookies 22-25'!$B$61:$B$125,E1052)&gt;0,"(R)","No")</f>
        <v>No</v>
      </c>
      <c r="D1052">
        <v>3</v>
      </c>
      <c r="E1052" t="s">
        <v>46</v>
      </c>
      <c r="F1052" t="s">
        <v>47</v>
      </c>
      <c r="G1052">
        <f>VLOOKUP(E1052,'22 Draft ADP'!$B$2:$D$510,3,FALSE)</f>
        <v>48</v>
      </c>
      <c r="H1052">
        <v>15</v>
      </c>
      <c r="K1052">
        <v>6.8</v>
      </c>
      <c r="L1052">
        <v>4.4000000000000004</v>
      </c>
      <c r="M1052">
        <v>7.7</v>
      </c>
      <c r="N1052">
        <v>16.3</v>
      </c>
      <c r="O1052">
        <v>21.8</v>
      </c>
      <c r="P1052">
        <v>12.9</v>
      </c>
      <c r="Q1052" t="s">
        <v>22</v>
      </c>
      <c r="R1052">
        <v>3.1</v>
      </c>
      <c r="S1052">
        <v>24.4</v>
      </c>
      <c r="T1052">
        <v>5.6</v>
      </c>
      <c r="U1052">
        <v>4.2</v>
      </c>
      <c r="V1052">
        <v>6.8</v>
      </c>
      <c r="W1052">
        <v>25.3</v>
      </c>
      <c r="X1052">
        <v>30</v>
      </c>
      <c r="Y1052">
        <v>12.3</v>
      </c>
      <c r="Z1052">
        <v>18.899999999999999</v>
      </c>
      <c r="AA1052">
        <v>13.4</v>
      </c>
      <c r="AB1052">
        <f t="shared" si="32"/>
        <v>181.6</v>
      </c>
      <c r="AC1052">
        <v>200.5</v>
      </c>
      <c r="AE1052">
        <f t="shared" si="33"/>
        <v>7</v>
      </c>
    </row>
    <row r="1053" spans="1:31" x14ac:dyDescent="0.25">
      <c r="A1053">
        <v>2022</v>
      </c>
      <c r="B1053" t="s">
        <v>19</v>
      </c>
      <c r="C1053" t="str">
        <f>IF(COUNTIF('Rookies 22-25'!$B$61:$B$125,E1053)&gt;0,"(R)","No")</f>
        <v>No</v>
      </c>
      <c r="D1053">
        <v>4</v>
      </c>
      <c r="E1053" t="s">
        <v>52</v>
      </c>
      <c r="F1053" t="s">
        <v>53</v>
      </c>
      <c r="G1053">
        <f>VLOOKUP(E1053,'22 Draft ADP'!$B$2:$D$510,3,FALSE)</f>
        <v>22</v>
      </c>
      <c r="H1053">
        <v>15</v>
      </c>
      <c r="I1053">
        <v>10.199999999999999</v>
      </c>
      <c r="J1053">
        <v>25.7</v>
      </c>
      <c r="K1053">
        <v>28.9</v>
      </c>
      <c r="L1053">
        <v>3.5</v>
      </c>
      <c r="M1053">
        <v>22.9</v>
      </c>
      <c r="N1053">
        <v>23.6</v>
      </c>
      <c r="O1053">
        <v>0.4</v>
      </c>
      <c r="P1053">
        <v>6.3</v>
      </c>
      <c r="R1053" t="s">
        <v>22</v>
      </c>
      <c r="S1053">
        <v>12.3</v>
      </c>
      <c r="T1053">
        <v>11</v>
      </c>
      <c r="U1053">
        <v>9.4</v>
      </c>
      <c r="V1053">
        <v>3.7</v>
      </c>
      <c r="W1053">
        <v>6.1</v>
      </c>
      <c r="X1053">
        <v>7.5</v>
      </c>
      <c r="Y1053">
        <v>19</v>
      </c>
      <c r="AA1053">
        <v>12.7</v>
      </c>
      <c r="AB1053">
        <f t="shared" si="32"/>
        <v>190.5</v>
      </c>
      <c r="AC1053">
        <v>190.5</v>
      </c>
      <c r="AE1053">
        <f t="shared" si="33"/>
        <v>8</v>
      </c>
    </row>
    <row r="1054" spans="1:31" x14ac:dyDescent="0.25">
      <c r="A1054">
        <v>2022</v>
      </c>
      <c r="B1054" t="s">
        <v>19</v>
      </c>
      <c r="C1054" t="str">
        <f>IF(COUNTIF('Rookies 22-25'!$B$61:$B$125,E1054)&gt;0,"(R)","No")</f>
        <v>No</v>
      </c>
      <c r="D1054">
        <v>5</v>
      </c>
      <c r="E1054" t="s">
        <v>77</v>
      </c>
      <c r="F1054" t="s">
        <v>67</v>
      </c>
      <c r="G1054">
        <f>VLOOKUP(E1054,'22 Draft ADP'!$B$2:$D$510,3,FALSE)</f>
        <v>172</v>
      </c>
      <c r="H1054">
        <v>17</v>
      </c>
      <c r="I1054">
        <v>6.8</v>
      </c>
      <c r="J1054">
        <v>11.6</v>
      </c>
      <c r="K1054">
        <v>3.9</v>
      </c>
      <c r="L1054">
        <v>2.6</v>
      </c>
      <c r="M1054">
        <v>12.9</v>
      </c>
      <c r="N1054">
        <v>9</v>
      </c>
      <c r="O1054">
        <v>10.7</v>
      </c>
      <c r="P1054">
        <v>15.5</v>
      </c>
      <c r="Q1054">
        <v>1.8</v>
      </c>
      <c r="R1054">
        <v>4.4000000000000004</v>
      </c>
      <c r="S1054" t="s">
        <v>22</v>
      </c>
      <c r="T1054">
        <v>1.4</v>
      </c>
      <c r="U1054">
        <v>14</v>
      </c>
      <c r="V1054">
        <v>39.200000000000003</v>
      </c>
      <c r="W1054">
        <v>14.2</v>
      </c>
      <c r="X1054">
        <v>18.3</v>
      </c>
      <c r="Y1054">
        <v>3.9</v>
      </c>
      <c r="Z1054">
        <v>6.7</v>
      </c>
      <c r="AA1054">
        <v>10.4</v>
      </c>
      <c r="AB1054">
        <f t="shared" si="32"/>
        <v>170.20000000000002</v>
      </c>
      <c r="AC1054">
        <v>176.9</v>
      </c>
      <c r="AE1054">
        <f t="shared" si="33"/>
        <v>8</v>
      </c>
    </row>
    <row r="1055" spans="1:31" x14ac:dyDescent="0.25">
      <c r="A1055">
        <v>2022</v>
      </c>
      <c r="B1055" t="s">
        <v>19</v>
      </c>
      <c r="C1055" t="str">
        <f>IF(COUNTIF('Rookies 22-25'!$B$61:$B$125,E1055)&gt;0,"(R)","No")</f>
        <v>No</v>
      </c>
      <c r="D1055">
        <v>6</v>
      </c>
      <c r="E1055" t="s">
        <v>92</v>
      </c>
      <c r="F1055" t="s">
        <v>55</v>
      </c>
      <c r="G1055">
        <f>VLOOKUP(E1055,'22 Draft ADP'!$B$2:$D$510,3,FALSE)</f>
        <v>161</v>
      </c>
      <c r="H1055">
        <v>16</v>
      </c>
      <c r="I1055">
        <v>8.9</v>
      </c>
      <c r="J1055">
        <v>14.1</v>
      </c>
      <c r="K1055">
        <v>10.1</v>
      </c>
      <c r="L1055">
        <v>17.3</v>
      </c>
      <c r="M1055">
        <v>11.6</v>
      </c>
      <c r="N1055">
        <v>1.7</v>
      </c>
      <c r="O1055" t="s">
        <v>22</v>
      </c>
      <c r="P1055">
        <v>3.5</v>
      </c>
      <c r="Q1055">
        <v>0</v>
      </c>
      <c r="R1055">
        <v>15.3</v>
      </c>
      <c r="S1055">
        <v>8.5</v>
      </c>
      <c r="U1055">
        <v>3.4</v>
      </c>
      <c r="V1055">
        <v>3.1</v>
      </c>
      <c r="W1055">
        <v>12.7</v>
      </c>
      <c r="X1055">
        <v>30.4</v>
      </c>
      <c r="Y1055">
        <v>4.0999999999999996</v>
      </c>
      <c r="Z1055">
        <v>7.3</v>
      </c>
      <c r="AA1055">
        <v>9.5</v>
      </c>
      <c r="AB1055">
        <f t="shared" si="32"/>
        <v>144.69999999999999</v>
      </c>
      <c r="AC1055">
        <v>152</v>
      </c>
      <c r="AE1055">
        <f t="shared" si="33"/>
        <v>7</v>
      </c>
    </row>
    <row r="1056" spans="1:31" x14ac:dyDescent="0.25">
      <c r="A1056">
        <v>2022</v>
      </c>
      <c r="B1056" t="s">
        <v>19</v>
      </c>
      <c r="C1056" t="str">
        <f>IF(COUNTIF('Rookies 22-25'!$B$61:$B$125,E1056)&gt;0,"(R)","No")</f>
        <v>No</v>
      </c>
      <c r="D1056">
        <v>7</v>
      </c>
      <c r="E1056" t="s">
        <v>70</v>
      </c>
      <c r="F1056" t="s">
        <v>71</v>
      </c>
      <c r="G1056">
        <f>VLOOKUP(E1056,'22 Draft ADP'!$B$2:$D$510,3,FALSE)</f>
        <v>122</v>
      </c>
      <c r="H1056">
        <v>15</v>
      </c>
      <c r="I1056">
        <v>12.5</v>
      </c>
      <c r="J1056">
        <v>12.2</v>
      </c>
      <c r="K1056">
        <v>6.1</v>
      </c>
      <c r="L1056">
        <v>15.5</v>
      </c>
      <c r="M1056">
        <v>3.2</v>
      </c>
      <c r="O1056">
        <v>15.5</v>
      </c>
      <c r="P1056">
        <v>9.6999999999999993</v>
      </c>
      <c r="Q1056" t="s">
        <v>22</v>
      </c>
      <c r="R1056">
        <v>7.6</v>
      </c>
      <c r="S1056">
        <v>15.9</v>
      </c>
      <c r="T1056">
        <v>6.9</v>
      </c>
      <c r="U1056">
        <v>10.6</v>
      </c>
      <c r="V1056">
        <v>12.3</v>
      </c>
      <c r="X1056">
        <v>13.6</v>
      </c>
      <c r="Y1056">
        <v>6.6</v>
      </c>
      <c r="Z1056">
        <v>0</v>
      </c>
      <c r="AA1056">
        <v>9.9</v>
      </c>
      <c r="AB1056">
        <f t="shared" si="32"/>
        <v>148.19999999999999</v>
      </c>
      <c r="AC1056">
        <v>148.19999999999999</v>
      </c>
      <c r="AE1056">
        <f t="shared" si="33"/>
        <v>8</v>
      </c>
    </row>
    <row r="1057" spans="1:31" x14ac:dyDescent="0.25">
      <c r="A1057">
        <v>2022</v>
      </c>
      <c r="B1057" t="s">
        <v>19</v>
      </c>
      <c r="C1057" t="str">
        <f>IF(COUNTIF('Rookies 22-25'!$B$61:$B$125,E1057)&gt;0,"(R)","No")</f>
        <v>No</v>
      </c>
      <c r="D1057">
        <v>8</v>
      </c>
      <c r="E1057" t="s">
        <v>87</v>
      </c>
      <c r="F1057" t="s">
        <v>45</v>
      </c>
      <c r="G1057">
        <f>VLOOKUP(E1057,'22 Draft ADP'!$B$2:$D$510,3,FALSE)</f>
        <v>113</v>
      </c>
      <c r="H1057">
        <v>17</v>
      </c>
      <c r="I1057">
        <v>0</v>
      </c>
      <c r="J1057">
        <v>0</v>
      </c>
      <c r="K1057">
        <v>6</v>
      </c>
      <c r="L1057">
        <v>4.5999999999999996</v>
      </c>
      <c r="M1057">
        <v>8.5</v>
      </c>
      <c r="N1057">
        <v>2.5</v>
      </c>
      <c r="O1057">
        <v>5.2</v>
      </c>
      <c r="P1057">
        <v>9.1</v>
      </c>
      <c r="Q1057">
        <v>22</v>
      </c>
      <c r="R1057">
        <v>23.4</v>
      </c>
      <c r="S1057">
        <v>6.5</v>
      </c>
      <c r="T1057">
        <v>5.7</v>
      </c>
      <c r="U1057">
        <v>13.2</v>
      </c>
      <c r="V1057" t="s">
        <v>22</v>
      </c>
      <c r="W1057">
        <v>6.5</v>
      </c>
      <c r="X1057">
        <v>7.7</v>
      </c>
      <c r="Y1057">
        <v>10.7</v>
      </c>
      <c r="Z1057">
        <v>15.7</v>
      </c>
      <c r="AA1057">
        <v>8.6999999999999993</v>
      </c>
      <c r="AB1057">
        <f t="shared" si="32"/>
        <v>131.60000000000002</v>
      </c>
      <c r="AC1057">
        <v>147.30000000000001</v>
      </c>
      <c r="AE1057">
        <f t="shared" si="33"/>
        <v>4</v>
      </c>
    </row>
    <row r="1058" spans="1:31" x14ac:dyDescent="0.25">
      <c r="A1058">
        <v>2022</v>
      </c>
      <c r="B1058" t="s">
        <v>19</v>
      </c>
      <c r="C1058" t="str">
        <f>IF(COUNTIF('Rookies 22-25'!$B$61:$B$125,E1058)&gt;0,"(R)","No")</f>
        <v>No</v>
      </c>
      <c r="D1058">
        <v>9</v>
      </c>
      <c r="E1058" t="s">
        <v>440</v>
      </c>
      <c r="F1058" t="s">
        <v>37</v>
      </c>
      <c r="G1058">
        <f>VLOOKUP(E1058,'22 Draft ADP'!$B$2:$D$510,3,FALSE)</f>
        <v>261</v>
      </c>
      <c r="H1058">
        <v>16</v>
      </c>
      <c r="I1058">
        <v>15.3</v>
      </c>
      <c r="J1058">
        <v>1.4</v>
      </c>
      <c r="L1058">
        <v>8.1</v>
      </c>
      <c r="M1058">
        <v>34.1</v>
      </c>
      <c r="N1058">
        <v>4.5</v>
      </c>
      <c r="O1058">
        <v>10.1</v>
      </c>
      <c r="P1058">
        <v>8.3000000000000007</v>
      </c>
      <c r="Q1058">
        <v>1.1000000000000001</v>
      </c>
      <c r="R1058">
        <v>0.1</v>
      </c>
      <c r="S1058">
        <v>7.6</v>
      </c>
      <c r="T1058">
        <v>3</v>
      </c>
      <c r="U1058">
        <v>13.3</v>
      </c>
      <c r="V1058" t="s">
        <v>22</v>
      </c>
      <c r="W1058">
        <v>10.199999999999999</v>
      </c>
      <c r="X1058">
        <v>11.6</v>
      </c>
      <c r="Y1058">
        <v>13.6</v>
      </c>
      <c r="Z1058">
        <v>3.5</v>
      </c>
      <c r="AA1058">
        <v>9.1</v>
      </c>
      <c r="AB1058">
        <f t="shared" si="32"/>
        <v>142.30000000000001</v>
      </c>
      <c r="AC1058">
        <v>145.80000000000001</v>
      </c>
      <c r="AE1058">
        <f t="shared" si="33"/>
        <v>7</v>
      </c>
    </row>
    <row r="1059" spans="1:31" x14ac:dyDescent="0.25">
      <c r="A1059">
        <v>2022</v>
      </c>
      <c r="B1059" t="s">
        <v>19</v>
      </c>
      <c r="C1059" t="str">
        <f>IF(COUNTIF('Rookies 22-25'!$B$61:$B$125,E1059)&gt;0,"(R)","No")</f>
        <v>No</v>
      </c>
      <c r="D1059">
        <v>10</v>
      </c>
      <c r="E1059" t="s">
        <v>40</v>
      </c>
      <c r="F1059" t="s">
        <v>30</v>
      </c>
      <c r="G1059">
        <f>VLOOKUP(E1059,'22 Draft ADP'!$B$2:$D$510,3,FALSE)</f>
        <v>69</v>
      </c>
      <c r="H1059">
        <v>15</v>
      </c>
      <c r="I1059">
        <v>13.2</v>
      </c>
      <c r="J1059">
        <v>1.8</v>
      </c>
      <c r="L1059">
        <v>0</v>
      </c>
      <c r="M1059">
        <v>0</v>
      </c>
      <c r="O1059">
        <v>9.9</v>
      </c>
      <c r="P1059">
        <v>13.4</v>
      </c>
      <c r="Q1059" t="s">
        <v>22</v>
      </c>
      <c r="R1059">
        <v>17.399999999999999</v>
      </c>
      <c r="S1059">
        <v>5.2</v>
      </c>
      <c r="T1059">
        <v>19.100000000000001</v>
      </c>
      <c r="U1059">
        <v>5.3</v>
      </c>
      <c r="V1059">
        <v>14.7</v>
      </c>
      <c r="W1059">
        <v>3.5</v>
      </c>
      <c r="X1059">
        <v>7.3</v>
      </c>
      <c r="Y1059">
        <v>24.6</v>
      </c>
      <c r="Z1059">
        <v>7.3</v>
      </c>
      <c r="AA1059">
        <v>9.5</v>
      </c>
      <c r="AB1059">
        <f t="shared" si="32"/>
        <v>135.39999999999998</v>
      </c>
      <c r="AC1059">
        <v>142.69999999999999</v>
      </c>
      <c r="AE1059">
        <f t="shared" si="33"/>
        <v>6</v>
      </c>
    </row>
    <row r="1060" spans="1:31" x14ac:dyDescent="0.25">
      <c r="A1060">
        <v>2022</v>
      </c>
      <c r="B1060" t="s">
        <v>19</v>
      </c>
      <c r="C1060" t="str">
        <f>IF(COUNTIF('Rookies 22-25'!$B$61:$B$125,E1060)&gt;0,"(R)","No")</f>
        <v>No</v>
      </c>
      <c r="D1060">
        <v>11</v>
      </c>
      <c r="E1060" t="s">
        <v>85</v>
      </c>
      <c r="F1060" t="s">
        <v>32</v>
      </c>
      <c r="G1060">
        <f>VLOOKUP(E1060,'22 Draft ADP'!$B$2:$D$510,3,FALSE)</f>
        <v>150</v>
      </c>
      <c r="H1060">
        <v>14</v>
      </c>
      <c r="I1060">
        <v>1.7</v>
      </c>
      <c r="J1060">
        <v>6.2</v>
      </c>
      <c r="K1060">
        <v>23.9</v>
      </c>
      <c r="L1060">
        <v>9.6999999999999993</v>
      </c>
      <c r="M1060">
        <v>14.8</v>
      </c>
      <c r="N1060">
        <v>8.8000000000000007</v>
      </c>
      <c r="O1060">
        <v>14.1</v>
      </c>
      <c r="Q1060" t="s">
        <v>22</v>
      </c>
      <c r="S1060">
        <v>3.7</v>
      </c>
      <c r="T1060">
        <v>13.9</v>
      </c>
      <c r="V1060">
        <v>18.7</v>
      </c>
      <c r="W1060">
        <v>5.8</v>
      </c>
      <c r="X1060">
        <v>3.4</v>
      </c>
      <c r="Y1060">
        <v>3.1</v>
      </c>
      <c r="Z1060">
        <v>14.2</v>
      </c>
      <c r="AA1060">
        <v>10.1</v>
      </c>
      <c r="AB1060">
        <f t="shared" si="32"/>
        <v>127.8</v>
      </c>
      <c r="AC1060">
        <v>142</v>
      </c>
      <c r="AE1060">
        <f t="shared" si="33"/>
        <v>5</v>
      </c>
    </row>
    <row r="1061" spans="1:31" x14ac:dyDescent="0.25">
      <c r="A1061">
        <v>2022</v>
      </c>
      <c r="B1061" t="s">
        <v>19</v>
      </c>
      <c r="C1061" t="str">
        <f>IF(COUNTIF('Rookies 22-25'!$B$61:$B$125,E1061)&gt;0,"(R)","No")</f>
        <v>No</v>
      </c>
      <c r="D1061">
        <v>12</v>
      </c>
      <c r="E1061" t="s">
        <v>34</v>
      </c>
      <c r="F1061" t="s">
        <v>35</v>
      </c>
      <c r="G1061">
        <f>VLOOKUP(E1061,'22 Draft ADP'!$B$2:$D$510,3,FALSE)</f>
        <v>87</v>
      </c>
      <c r="H1061">
        <v>12</v>
      </c>
      <c r="I1061">
        <v>9</v>
      </c>
      <c r="J1061">
        <v>13.2</v>
      </c>
      <c r="K1061">
        <v>11.6</v>
      </c>
      <c r="L1061">
        <v>12.2</v>
      </c>
      <c r="M1061">
        <v>17.5</v>
      </c>
      <c r="N1061">
        <v>4.2</v>
      </c>
      <c r="O1061" t="s">
        <v>22</v>
      </c>
      <c r="P1061">
        <v>12.4</v>
      </c>
      <c r="Q1061">
        <v>24</v>
      </c>
      <c r="R1061">
        <v>9.3000000000000007</v>
      </c>
      <c r="X1061">
        <v>9.6999999999999993</v>
      </c>
      <c r="Y1061">
        <v>7.5</v>
      </c>
      <c r="Z1061">
        <v>10.6</v>
      </c>
      <c r="AA1061">
        <v>11.8</v>
      </c>
      <c r="AB1061">
        <f t="shared" si="32"/>
        <v>130.6</v>
      </c>
      <c r="AC1061">
        <v>141.19999999999999</v>
      </c>
      <c r="AE1061">
        <f t="shared" si="33"/>
        <v>6</v>
      </c>
    </row>
    <row r="1062" spans="1:31" x14ac:dyDescent="0.25">
      <c r="A1062">
        <v>2022</v>
      </c>
      <c r="B1062" t="s">
        <v>19</v>
      </c>
      <c r="C1062" t="str">
        <f>IF(COUNTIF('Rookies 22-25'!$B$61:$B$125,E1062)&gt;0,"(R)","No")</f>
        <v>No</v>
      </c>
      <c r="D1062">
        <v>13</v>
      </c>
      <c r="E1062" t="s">
        <v>451</v>
      </c>
      <c r="F1062" t="s">
        <v>51</v>
      </c>
      <c r="G1062">
        <f>VLOOKUP(E1062,'22 Draft ADP'!$B$2:$D$510,3,FALSE)</f>
        <v>157</v>
      </c>
      <c r="H1062">
        <v>15</v>
      </c>
      <c r="I1062">
        <v>14.4</v>
      </c>
      <c r="J1062">
        <v>13.1</v>
      </c>
      <c r="K1062">
        <v>4.5</v>
      </c>
      <c r="L1062">
        <v>17.100000000000001</v>
      </c>
      <c r="M1062">
        <v>1.2</v>
      </c>
      <c r="N1062">
        <v>7.9</v>
      </c>
      <c r="O1062">
        <v>11.3</v>
      </c>
      <c r="P1062" t="s">
        <v>22</v>
      </c>
      <c r="Q1062">
        <v>8.6</v>
      </c>
      <c r="R1062">
        <v>4.3</v>
      </c>
      <c r="T1062">
        <v>7.8</v>
      </c>
      <c r="U1062">
        <v>13</v>
      </c>
      <c r="V1062">
        <v>7.8</v>
      </c>
      <c r="W1062">
        <v>8.1999999999999993</v>
      </c>
      <c r="Y1062">
        <v>10.5</v>
      </c>
      <c r="Z1062">
        <v>9.8000000000000007</v>
      </c>
      <c r="AA1062">
        <v>9.3000000000000007</v>
      </c>
      <c r="AB1062">
        <f t="shared" si="32"/>
        <v>129.69999999999999</v>
      </c>
      <c r="AC1062">
        <v>139.5</v>
      </c>
      <c r="AE1062">
        <f t="shared" si="33"/>
        <v>6</v>
      </c>
    </row>
    <row r="1063" spans="1:31" x14ac:dyDescent="0.25">
      <c r="A1063">
        <v>2022</v>
      </c>
      <c r="B1063" t="s">
        <v>19</v>
      </c>
      <c r="C1063" t="str">
        <f>IF(COUNTIF('Rookies 22-25'!$B$61:$B$125,E1063)&gt;0,"(R)","No")</f>
        <v>No</v>
      </c>
      <c r="D1063">
        <v>14</v>
      </c>
      <c r="E1063" t="s">
        <v>76</v>
      </c>
      <c r="F1063" t="s">
        <v>61</v>
      </c>
      <c r="G1063">
        <f>VLOOKUP(E1063,'22 Draft ADP'!$B$2:$D$510,3,FALSE)</f>
        <v>103</v>
      </c>
      <c r="H1063">
        <v>15</v>
      </c>
      <c r="I1063">
        <v>1.5</v>
      </c>
      <c r="J1063">
        <v>8.1</v>
      </c>
      <c r="K1063">
        <v>6.5</v>
      </c>
      <c r="L1063">
        <v>7</v>
      </c>
      <c r="N1063">
        <v>12.7</v>
      </c>
      <c r="O1063" t="s">
        <v>22</v>
      </c>
      <c r="P1063">
        <v>9</v>
      </c>
      <c r="Q1063">
        <v>5.5</v>
      </c>
      <c r="R1063">
        <v>9.6999999999999993</v>
      </c>
      <c r="S1063">
        <v>14</v>
      </c>
      <c r="T1063">
        <v>3.7</v>
      </c>
      <c r="U1063">
        <v>0</v>
      </c>
      <c r="V1063">
        <v>14.1</v>
      </c>
      <c r="W1063">
        <v>21.8</v>
      </c>
      <c r="X1063">
        <v>12.8</v>
      </c>
      <c r="Z1063">
        <v>9.3000000000000007</v>
      </c>
      <c r="AA1063">
        <v>9</v>
      </c>
      <c r="AB1063">
        <f t="shared" si="32"/>
        <v>126.39999999999999</v>
      </c>
      <c r="AC1063">
        <v>135.69999999999999</v>
      </c>
      <c r="AE1063">
        <f t="shared" si="33"/>
        <v>5</v>
      </c>
    </row>
    <row r="1064" spans="1:31" x14ac:dyDescent="0.25">
      <c r="A1064">
        <v>2022</v>
      </c>
      <c r="B1064" t="s">
        <v>19</v>
      </c>
      <c r="C1064" t="str">
        <f>IF(COUNTIF('Rookies 22-25'!$B$61:$B$125,E1064)&gt;0,"(R)","No")</f>
        <v>No</v>
      </c>
      <c r="D1064">
        <v>15</v>
      </c>
      <c r="E1064" t="s">
        <v>36</v>
      </c>
      <c r="F1064" t="s">
        <v>37</v>
      </c>
      <c r="G1064">
        <v>300</v>
      </c>
      <c r="H1064">
        <v>16</v>
      </c>
      <c r="I1064">
        <v>6.3</v>
      </c>
      <c r="J1064">
        <v>8</v>
      </c>
      <c r="K1064">
        <v>0</v>
      </c>
      <c r="L1064">
        <v>6.3</v>
      </c>
      <c r="M1064">
        <v>2.2999999999999998</v>
      </c>
      <c r="N1064">
        <v>8.1</v>
      </c>
      <c r="O1064">
        <v>20.2</v>
      </c>
      <c r="P1064">
        <v>3.4</v>
      </c>
      <c r="Q1064">
        <v>12.2</v>
      </c>
      <c r="R1064">
        <v>15.4</v>
      </c>
      <c r="S1064">
        <v>13.7</v>
      </c>
      <c r="T1064">
        <v>0</v>
      </c>
      <c r="V1064" t="s">
        <v>22</v>
      </c>
      <c r="W1064">
        <v>22.7</v>
      </c>
      <c r="X1064">
        <v>1.9</v>
      </c>
      <c r="Y1064">
        <v>11.2</v>
      </c>
      <c r="Z1064">
        <v>3.1</v>
      </c>
      <c r="AA1064">
        <v>8.4</v>
      </c>
      <c r="AB1064">
        <f t="shared" si="32"/>
        <v>131.70000000000002</v>
      </c>
      <c r="AC1064">
        <v>134.80000000000001</v>
      </c>
      <c r="AE1064">
        <f t="shared" si="33"/>
        <v>6</v>
      </c>
    </row>
    <row r="1065" spans="1:31" x14ac:dyDescent="0.25">
      <c r="A1065">
        <v>2022</v>
      </c>
      <c r="B1065" t="s">
        <v>19</v>
      </c>
      <c r="C1065" t="str">
        <f>IF(COUNTIF('Rookies 22-25'!$B$61:$B$125,E1065)&gt;0,"(R)","No")</f>
        <v>No</v>
      </c>
      <c r="D1065">
        <v>16</v>
      </c>
      <c r="E1065" t="s">
        <v>436</v>
      </c>
      <c r="F1065" t="s">
        <v>82</v>
      </c>
      <c r="G1065">
        <f>VLOOKUP(E1065,'22 Draft ADP'!$B$2:$D$510,3,FALSE)</f>
        <v>249</v>
      </c>
      <c r="H1065">
        <v>17</v>
      </c>
      <c r="I1065">
        <v>11.6</v>
      </c>
      <c r="J1065">
        <v>10</v>
      </c>
      <c r="K1065">
        <v>16.399999999999999</v>
      </c>
      <c r="L1065">
        <v>8.1999999999999993</v>
      </c>
      <c r="M1065">
        <v>0</v>
      </c>
      <c r="N1065">
        <v>2.7</v>
      </c>
      <c r="O1065">
        <v>6.2</v>
      </c>
      <c r="P1065">
        <v>25.9</v>
      </c>
      <c r="Q1065">
        <v>1.7</v>
      </c>
      <c r="R1065" t="s">
        <v>22</v>
      </c>
      <c r="S1065">
        <v>3.5</v>
      </c>
      <c r="T1065">
        <v>8</v>
      </c>
      <c r="U1065">
        <v>2.9</v>
      </c>
      <c r="V1065">
        <v>7.8</v>
      </c>
      <c r="W1065">
        <v>1.9</v>
      </c>
      <c r="X1065">
        <v>7.4</v>
      </c>
      <c r="Y1065">
        <v>14</v>
      </c>
      <c r="Z1065">
        <v>3.3</v>
      </c>
      <c r="AA1065">
        <v>7.7</v>
      </c>
      <c r="AB1065">
        <f t="shared" si="32"/>
        <v>128.19999999999999</v>
      </c>
      <c r="AC1065">
        <v>131.5</v>
      </c>
      <c r="AE1065">
        <f t="shared" si="33"/>
        <v>4</v>
      </c>
    </row>
    <row r="1066" spans="1:31" x14ac:dyDescent="0.25">
      <c r="A1066">
        <v>2022</v>
      </c>
      <c r="B1066" t="s">
        <v>19</v>
      </c>
      <c r="C1066" t="str">
        <f>IF(COUNTIF('Rookies 22-25'!$B$61:$B$125,E1066)&gt;0,"(R)","No")</f>
        <v>No</v>
      </c>
      <c r="D1066">
        <v>17</v>
      </c>
      <c r="E1066" t="s">
        <v>88</v>
      </c>
      <c r="F1066" t="s">
        <v>49</v>
      </c>
      <c r="G1066">
        <f>VLOOKUP(E1066,'22 Draft ADP'!$B$2:$D$510,3,FALSE)</f>
        <v>167</v>
      </c>
      <c r="H1066">
        <v>17</v>
      </c>
      <c r="I1066">
        <v>4.5999999999999996</v>
      </c>
      <c r="J1066">
        <v>3.1</v>
      </c>
      <c r="K1066">
        <v>6.7</v>
      </c>
      <c r="L1066">
        <v>7.2</v>
      </c>
      <c r="M1066">
        <v>7.9</v>
      </c>
      <c r="N1066">
        <v>10.5</v>
      </c>
      <c r="O1066">
        <v>1.7</v>
      </c>
      <c r="P1066">
        <v>3.9</v>
      </c>
      <c r="Q1066">
        <v>14.6</v>
      </c>
      <c r="R1066">
        <v>6.4</v>
      </c>
      <c r="S1066" t="s">
        <v>22</v>
      </c>
      <c r="T1066">
        <v>6.4</v>
      </c>
      <c r="U1066">
        <v>14.2</v>
      </c>
      <c r="V1066">
        <v>0</v>
      </c>
      <c r="W1066">
        <v>14.2</v>
      </c>
      <c r="X1066">
        <v>9.1999999999999993</v>
      </c>
      <c r="Y1066">
        <v>6</v>
      </c>
      <c r="Z1066">
        <v>6</v>
      </c>
      <c r="AA1066">
        <v>7.2</v>
      </c>
      <c r="AB1066">
        <f t="shared" si="32"/>
        <v>116.6</v>
      </c>
      <c r="AC1066">
        <v>122.6</v>
      </c>
      <c r="AE1066">
        <f t="shared" si="33"/>
        <v>4</v>
      </c>
    </row>
    <row r="1067" spans="1:31" x14ac:dyDescent="0.25">
      <c r="A1067">
        <v>2022</v>
      </c>
      <c r="B1067" t="s">
        <v>19</v>
      </c>
      <c r="C1067" t="str">
        <f>IF(COUNTIF('Rookies 22-25'!$B$61:$B$125,E1067)&gt;0,"(R)","No")</f>
        <v>No</v>
      </c>
      <c r="D1067">
        <v>18</v>
      </c>
      <c r="E1067" t="s">
        <v>442</v>
      </c>
      <c r="F1067" t="s">
        <v>41</v>
      </c>
      <c r="G1067">
        <f>VLOOKUP(E1067,'22 Draft ADP'!$B$2:$D$510,3,FALSE)</f>
        <v>463</v>
      </c>
      <c r="H1067">
        <v>15</v>
      </c>
      <c r="K1067">
        <v>12.1</v>
      </c>
      <c r="L1067">
        <v>5.3</v>
      </c>
      <c r="M1067">
        <v>4.2</v>
      </c>
      <c r="N1067" t="s">
        <v>22</v>
      </c>
      <c r="O1067">
        <v>9.8000000000000007</v>
      </c>
      <c r="P1067">
        <v>1.5</v>
      </c>
      <c r="Q1067">
        <v>0</v>
      </c>
      <c r="R1067">
        <v>10.199999999999999</v>
      </c>
      <c r="S1067">
        <v>2.8</v>
      </c>
      <c r="T1067">
        <v>15.1</v>
      </c>
      <c r="U1067">
        <v>5.0999999999999996</v>
      </c>
      <c r="V1067">
        <v>1.5</v>
      </c>
      <c r="W1067">
        <v>11.2</v>
      </c>
      <c r="X1067">
        <v>6.9</v>
      </c>
      <c r="Y1067">
        <v>5.8</v>
      </c>
      <c r="Z1067">
        <v>25</v>
      </c>
      <c r="AA1067">
        <v>7.8</v>
      </c>
      <c r="AB1067">
        <f t="shared" si="32"/>
        <v>91.5</v>
      </c>
      <c r="AC1067">
        <v>116.5</v>
      </c>
      <c r="AE1067">
        <f t="shared" si="33"/>
        <v>4</v>
      </c>
    </row>
    <row r="1068" spans="1:31" x14ac:dyDescent="0.25">
      <c r="A1068">
        <v>2022</v>
      </c>
      <c r="B1068" t="s">
        <v>19</v>
      </c>
      <c r="C1068" t="str">
        <f>IF(COUNTIF('Rookies 22-25'!$B$61:$B$125,E1068)&gt;0,"(R)","No")</f>
        <v>No</v>
      </c>
      <c r="D1068">
        <v>19</v>
      </c>
      <c r="E1068" t="s">
        <v>58</v>
      </c>
      <c r="F1068" t="s">
        <v>21</v>
      </c>
      <c r="G1068">
        <f>VLOOKUP(E1068,'22 Draft ADP'!$B$2:$D$510,3,FALSE)</f>
        <v>106</v>
      </c>
      <c r="H1068">
        <v>10</v>
      </c>
      <c r="I1068">
        <v>11.4</v>
      </c>
      <c r="J1068">
        <v>15.5</v>
      </c>
      <c r="K1068">
        <v>10.5</v>
      </c>
      <c r="L1068">
        <v>16.7</v>
      </c>
      <c r="M1068">
        <v>10.8</v>
      </c>
      <c r="N1068">
        <v>14</v>
      </c>
      <c r="O1068">
        <v>6.1</v>
      </c>
      <c r="P1068">
        <v>13.4</v>
      </c>
      <c r="Q1068">
        <v>15</v>
      </c>
      <c r="R1068">
        <v>2.2000000000000002</v>
      </c>
      <c r="U1068" t="s">
        <v>22</v>
      </c>
      <c r="AA1068">
        <v>11.6</v>
      </c>
      <c r="AB1068">
        <f t="shared" si="32"/>
        <v>115.6</v>
      </c>
      <c r="AC1068">
        <v>115.6</v>
      </c>
      <c r="AE1068">
        <f t="shared" si="33"/>
        <v>8</v>
      </c>
    </row>
    <row r="1069" spans="1:31" x14ac:dyDescent="0.25">
      <c r="A1069">
        <v>2022</v>
      </c>
      <c r="B1069" t="s">
        <v>19</v>
      </c>
      <c r="C1069" t="str">
        <f>IF(COUNTIF('Rookies 22-25'!$B$61:$B$125,E1069)&gt;0,"(R)","No")</f>
        <v>No</v>
      </c>
      <c r="D1069">
        <v>20</v>
      </c>
      <c r="E1069" t="s">
        <v>923</v>
      </c>
      <c r="F1069" t="s">
        <v>69</v>
      </c>
      <c r="G1069">
        <f>VLOOKUP(E1069,'22 Draft ADP'!$B$2:$D$510,3,FALSE)</f>
        <v>160</v>
      </c>
      <c r="H1069">
        <v>17</v>
      </c>
      <c r="I1069">
        <v>6.6</v>
      </c>
      <c r="J1069">
        <v>3.1</v>
      </c>
      <c r="K1069">
        <v>9.6999999999999993</v>
      </c>
      <c r="L1069">
        <v>10.199999999999999</v>
      </c>
      <c r="M1069">
        <v>6.3</v>
      </c>
      <c r="N1069">
        <v>19</v>
      </c>
      <c r="O1069">
        <v>6.2</v>
      </c>
      <c r="P1069">
        <v>8.5</v>
      </c>
      <c r="Q1069">
        <v>5.9</v>
      </c>
      <c r="R1069">
        <v>1.8</v>
      </c>
      <c r="S1069">
        <v>3.9</v>
      </c>
      <c r="T1069">
        <v>5</v>
      </c>
      <c r="U1069">
        <v>2</v>
      </c>
      <c r="V1069" t="s">
        <v>22</v>
      </c>
      <c r="W1069">
        <v>1.4</v>
      </c>
      <c r="X1069">
        <v>2.2999999999999998</v>
      </c>
      <c r="Y1069">
        <v>14.2</v>
      </c>
      <c r="Z1069">
        <v>5.9</v>
      </c>
      <c r="AA1069">
        <v>6.6</v>
      </c>
      <c r="AB1069">
        <f t="shared" si="32"/>
        <v>106.1</v>
      </c>
      <c r="AC1069">
        <v>112</v>
      </c>
      <c r="AE1069">
        <f t="shared" si="33"/>
        <v>3</v>
      </c>
    </row>
    <row r="1070" spans="1:31" x14ac:dyDescent="0.25">
      <c r="A1070">
        <v>2022</v>
      </c>
      <c r="B1070" t="s">
        <v>19</v>
      </c>
      <c r="C1070" t="str">
        <f>IF(COUNTIF('Rookies 22-25'!$B$61:$B$125,E1070)&gt;0,"(R)","No")</f>
        <v>No</v>
      </c>
      <c r="D1070">
        <v>21</v>
      </c>
      <c r="E1070" t="s">
        <v>749</v>
      </c>
      <c r="F1070" t="s">
        <v>89</v>
      </c>
      <c r="G1070">
        <f>VLOOKUP(E1070,'22 Draft ADP'!$B$2:$D$510,3,FALSE)</f>
        <v>179</v>
      </c>
      <c r="H1070">
        <v>14</v>
      </c>
      <c r="I1070">
        <v>9.6</v>
      </c>
      <c r="J1070">
        <v>7.4</v>
      </c>
      <c r="K1070">
        <v>1.7</v>
      </c>
      <c r="L1070">
        <v>11.7</v>
      </c>
      <c r="M1070">
        <v>17.3</v>
      </c>
      <c r="N1070">
        <v>5.0999999999999996</v>
      </c>
      <c r="O1070">
        <v>10.8</v>
      </c>
      <c r="P1070">
        <v>8.1999999999999993</v>
      </c>
      <c r="Q1070">
        <v>8.5</v>
      </c>
      <c r="R1070" t="s">
        <v>22</v>
      </c>
      <c r="S1070">
        <v>4.8</v>
      </c>
      <c r="T1070">
        <v>11.7</v>
      </c>
      <c r="U1070">
        <v>3.2</v>
      </c>
      <c r="Y1070">
        <v>4.5</v>
      </c>
      <c r="Z1070">
        <v>5.4</v>
      </c>
      <c r="AA1070">
        <v>7.9</v>
      </c>
      <c r="AB1070">
        <f t="shared" si="32"/>
        <v>104.5</v>
      </c>
      <c r="AC1070">
        <v>109.9</v>
      </c>
      <c r="AE1070">
        <f t="shared" si="33"/>
        <v>4</v>
      </c>
    </row>
    <row r="1071" spans="1:31" x14ac:dyDescent="0.25">
      <c r="A1071">
        <v>2022</v>
      </c>
      <c r="B1071" t="s">
        <v>19</v>
      </c>
      <c r="C1071" t="str">
        <f>IF(COUNTIF('Rookies 22-25'!$B$61:$B$125,E1071)&gt;0,"(R)","No")</f>
        <v>No</v>
      </c>
      <c r="D1071">
        <v>22</v>
      </c>
      <c r="E1071" t="s">
        <v>38</v>
      </c>
      <c r="F1071" t="s">
        <v>510</v>
      </c>
      <c r="G1071">
        <f>VLOOKUP(E1071,'22 Draft ADP'!$B$2:$D$510,3,FALSE)</f>
        <v>140</v>
      </c>
      <c r="H1071">
        <v>16</v>
      </c>
      <c r="I1071">
        <v>4</v>
      </c>
      <c r="J1071">
        <v>0</v>
      </c>
      <c r="K1071">
        <v>1.8</v>
      </c>
      <c r="L1071">
        <v>3.3</v>
      </c>
      <c r="M1071">
        <v>9.4</v>
      </c>
      <c r="N1071">
        <v>16.100000000000001</v>
      </c>
      <c r="O1071">
        <v>2.2000000000000002</v>
      </c>
      <c r="P1071">
        <v>3.2</v>
      </c>
      <c r="Q1071">
        <v>9</v>
      </c>
      <c r="R1071" t="s">
        <v>22</v>
      </c>
      <c r="S1071">
        <v>3</v>
      </c>
      <c r="T1071">
        <v>15.3</v>
      </c>
      <c r="U1071">
        <v>3.3</v>
      </c>
      <c r="V1071">
        <v>10</v>
      </c>
      <c r="W1071">
        <v>2.9</v>
      </c>
      <c r="Y1071">
        <v>10.199999999999999</v>
      </c>
      <c r="Z1071">
        <v>10.199999999999999</v>
      </c>
      <c r="AA1071">
        <v>6.5</v>
      </c>
      <c r="AB1071">
        <f t="shared" si="32"/>
        <v>93.7</v>
      </c>
      <c r="AC1071">
        <v>103.9</v>
      </c>
      <c r="AE1071">
        <f t="shared" si="33"/>
        <v>3</v>
      </c>
    </row>
    <row r="1072" spans="1:31" x14ac:dyDescent="0.25">
      <c r="A1072">
        <v>2022</v>
      </c>
      <c r="B1072" t="s">
        <v>19</v>
      </c>
      <c r="C1072" t="str">
        <f>IF(COUNTIF('Rookies 22-25'!$B$61:$B$125,E1072)&gt;0,"(R)","No")</f>
        <v>No</v>
      </c>
      <c r="D1072">
        <v>23</v>
      </c>
      <c r="E1072" t="s">
        <v>93</v>
      </c>
      <c r="F1072" t="s">
        <v>84</v>
      </c>
      <c r="G1072">
        <f>VLOOKUP(E1072,'22 Draft ADP'!$B$2:$D$510,3,FALSE)</f>
        <v>146</v>
      </c>
      <c r="H1072">
        <v>17</v>
      </c>
      <c r="I1072">
        <v>1.1000000000000001</v>
      </c>
      <c r="J1072">
        <v>14.1</v>
      </c>
      <c r="K1072">
        <v>1.6</v>
      </c>
      <c r="L1072">
        <v>4.3</v>
      </c>
      <c r="M1072">
        <v>4</v>
      </c>
      <c r="N1072">
        <v>24.9</v>
      </c>
      <c r="O1072">
        <v>5.7</v>
      </c>
      <c r="P1072">
        <v>12.8</v>
      </c>
      <c r="Q1072">
        <v>1.3</v>
      </c>
      <c r="R1072">
        <v>5.0999999999999996</v>
      </c>
      <c r="S1072" t="s">
        <v>22</v>
      </c>
      <c r="T1072">
        <v>0</v>
      </c>
      <c r="U1072">
        <v>0</v>
      </c>
      <c r="V1072">
        <v>0</v>
      </c>
      <c r="W1072">
        <v>1.5</v>
      </c>
      <c r="X1072">
        <v>3.4</v>
      </c>
      <c r="Y1072">
        <v>9.8000000000000007</v>
      </c>
      <c r="Z1072">
        <v>8.6</v>
      </c>
      <c r="AA1072">
        <v>5.8</v>
      </c>
      <c r="AB1072">
        <f t="shared" si="32"/>
        <v>89.600000000000009</v>
      </c>
      <c r="AC1072">
        <v>98.2</v>
      </c>
      <c r="AE1072">
        <f t="shared" si="33"/>
        <v>3</v>
      </c>
    </row>
    <row r="1073" spans="1:31" x14ac:dyDescent="0.25">
      <c r="A1073">
        <v>2022</v>
      </c>
      <c r="B1073" t="s">
        <v>19</v>
      </c>
      <c r="C1073" t="str">
        <f>IF(COUNTIF('Rookies 22-25'!$B$61:$B$125,E1073)&gt;0,"(R)","No")</f>
        <v>No</v>
      </c>
      <c r="D1073">
        <v>24</v>
      </c>
      <c r="E1073" t="s">
        <v>439</v>
      </c>
      <c r="F1073" t="s">
        <v>63</v>
      </c>
      <c r="G1073">
        <f>VLOOKUP(E1073,'22 Draft ADP'!$B$2:$D$510,3,FALSE)</f>
        <v>184</v>
      </c>
      <c r="H1073">
        <v>17</v>
      </c>
      <c r="I1073">
        <v>1.6</v>
      </c>
      <c r="J1073">
        <v>2.9</v>
      </c>
      <c r="K1073">
        <v>3.9</v>
      </c>
      <c r="L1073">
        <v>1.4</v>
      </c>
      <c r="M1073">
        <v>1.7</v>
      </c>
      <c r="N1073" t="s">
        <v>22</v>
      </c>
      <c r="O1073">
        <v>8.6</v>
      </c>
      <c r="P1073">
        <v>1.5</v>
      </c>
      <c r="Q1073">
        <v>5.4</v>
      </c>
      <c r="R1073">
        <v>9.1</v>
      </c>
      <c r="S1073">
        <v>19.600000000000001</v>
      </c>
      <c r="T1073">
        <v>6</v>
      </c>
      <c r="U1073">
        <v>5.2</v>
      </c>
      <c r="V1073">
        <v>11.8</v>
      </c>
      <c r="W1073">
        <v>5.3</v>
      </c>
      <c r="X1073">
        <v>4</v>
      </c>
      <c r="Y1073">
        <v>1.6</v>
      </c>
      <c r="Z1073">
        <v>7.8</v>
      </c>
      <c r="AA1073">
        <v>5.7</v>
      </c>
      <c r="AB1073">
        <f t="shared" si="32"/>
        <v>89.600000000000009</v>
      </c>
      <c r="AC1073">
        <v>97.4</v>
      </c>
      <c r="AE1073">
        <f t="shared" si="33"/>
        <v>2</v>
      </c>
    </row>
    <row r="1074" spans="1:31" x14ac:dyDescent="0.25">
      <c r="A1074">
        <v>2022</v>
      </c>
      <c r="B1074" t="s">
        <v>19</v>
      </c>
      <c r="C1074" t="str">
        <f>IF(COUNTIF('Rookies 22-25'!$B$61:$B$125,E1074)&gt;0,"(R)","No")</f>
        <v>(R)</v>
      </c>
      <c r="D1074">
        <v>25</v>
      </c>
      <c r="E1074" t="s">
        <v>62</v>
      </c>
      <c r="F1074" t="s">
        <v>63</v>
      </c>
      <c r="G1074">
        <f>VLOOKUP(E1074,'22 Draft ADP'!$B$2:$D$510,3,FALSE)</f>
        <v>387</v>
      </c>
      <c r="H1074">
        <v>17</v>
      </c>
      <c r="I1074">
        <v>1.7</v>
      </c>
      <c r="J1074">
        <v>0</v>
      </c>
      <c r="K1074">
        <v>0</v>
      </c>
      <c r="L1074">
        <v>12.8</v>
      </c>
      <c r="M1074">
        <v>0</v>
      </c>
      <c r="N1074" t="s">
        <v>22</v>
      </c>
      <c r="O1074">
        <v>0</v>
      </c>
      <c r="P1074">
        <v>1.3</v>
      </c>
      <c r="Q1074">
        <v>5.8</v>
      </c>
      <c r="R1074">
        <v>5.0999999999999996</v>
      </c>
      <c r="S1074">
        <v>4.0999999999999996</v>
      </c>
      <c r="T1074">
        <v>6.5</v>
      </c>
      <c r="U1074">
        <v>10.8</v>
      </c>
      <c r="V1074">
        <v>18.5</v>
      </c>
      <c r="W1074">
        <v>10</v>
      </c>
      <c r="X1074">
        <v>2</v>
      </c>
      <c r="Y1074">
        <v>5.4</v>
      </c>
      <c r="Z1074">
        <v>13.2</v>
      </c>
      <c r="AA1074">
        <v>5.7</v>
      </c>
      <c r="AB1074">
        <f t="shared" si="32"/>
        <v>84</v>
      </c>
      <c r="AC1074">
        <v>97.2</v>
      </c>
      <c r="AE1074">
        <f t="shared" si="33"/>
        <v>3</v>
      </c>
    </row>
    <row r="1075" spans="1:31" x14ac:dyDescent="0.25">
      <c r="A1075">
        <v>2022</v>
      </c>
      <c r="B1075" t="s">
        <v>19</v>
      </c>
      <c r="C1075" t="str">
        <f>IF(COUNTIF('Rookies 22-25'!$B$61:$B$125,E1075)&gt;0,"(R)","No")</f>
        <v>(R)</v>
      </c>
      <c r="D1075">
        <v>26</v>
      </c>
      <c r="E1075" t="s">
        <v>64</v>
      </c>
      <c r="F1075" t="s">
        <v>65</v>
      </c>
      <c r="G1075">
        <f>VLOOKUP(E1075,'22 Draft ADP'!$B$2:$D$510,3,FALSE)</f>
        <v>368</v>
      </c>
      <c r="H1075">
        <v>16</v>
      </c>
      <c r="I1075">
        <v>0</v>
      </c>
      <c r="J1075">
        <v>1.4</v>
      </c>
      <c r="L1075">
        <v>5.9</v>
      </c>
      <c r="M1075">
        <v>10.3</v>
      </c>
      <c r="N1075">
        <v>4.3</v>
      </c>
      <c r="O1075">
        <v>10.4</v>
      </c>
      <c r="P1075">
        <v>3.5</v>
      </c>
      <c r="Q1075">
        <v>17.8</v>
      </c>
      <c r="R1075">
        <v>6.5</v>
      </c>
      <c r="S1075" t="s">
        <v>22</v>
      </c>
      <c r="T1075">
        <v>0</v>
      </c>
      <c r="U1075">
        <v>14.8</v>
      </c>
      <c r="V1075">
        <v>6.8</v>
      </c>
      <c r="W1075">
        <v>3</v>
      </c>
      <c r="X1075">
        <v>3.2</v>
      </c>
      <c r="Y1075">
        <v>3.7</v>
      </c>
      <c r="Z1075">
        <v>1.5</v>
      </c>
      <c r="AA1075">
        <v>5.8</v>
      </c>
      <c r="AB1075">
        <f t="shared" si="32"/>
        <v>91.6</v>
      </c>
      <c r="AC1075">
        <v>93.1</v>
      </c>
      <c r="AE1075">
        <f t="shared" si="33"/>
        <v>4</v>
      </c>
    </row>
    <row r="1076" spans="1:31" x14ac:dyDescent="0.25">
      <c r="A1076">
        <v>2022</v>
      </c>
      <c r="B1076" t="s">
        <v>19</v>
      </c>
      <c r="C1076" t="str">
        <f>IF(COUNTIF('Rookies 22-25'!$B$61:$B$125,E1076)&gt;0,"(R)","No")</f>
        <v>(R)</v>
      </c>
      <c r="D1076">
        <v>27</v>
      </c>
      <c r="E1076" t="s">
        <v>98</v>
      </c>
      <c r="F1076" t="s">
        <v>53</v>
      </c>
      <c r="G1076">
        <f>VLOOKUP(E1076,'22 Draft ADP'!$B$2:$D$510,3,FALSE)</f>
        <v>186</v>
      </c>
      <c r="H1076">
        <v>15</v>
      </c>
      <c r="I1076">
        <v>0</v>
      </c>
      <c r="J1076">
        <v>8.3000000000000007</v>
      </c>
      <c r="K1076">
        <v>1.8</v>
      </c>
      <c r="L1076">
        <v>0</v>
      </c>
      <c r="M1076">
        <v>2.7</v>
      </c>
      <c r="N1076">
        <v>5</v>
      </c>
      <c r="O1076">
        <v>2.6</v>
      </c>
      <c r="P1076">
        <v>19.7</v>
      </c>
      <c r="Q1076">
        <v>9.4</v>
      </c>
      <c r="R1076" t="s">
        <v>22</v>
      </c>
      <c r="S1076">
        <v>1.1000000000000001</v>
      </c>
      <c r="U1076">
        <v>7</v>
      </c>
      <c r="W1076">
        <v>3.8</v>
      </c>
      <c r="X1076">
        <v>1.4</v>
      </c>
      <c r="Y1076">
        <v>10.199999999999999</v>
      </c>
      <c r="Z1076">
        <v>18.3</v>
      </c>
      <c r="AA1076">
        <v>6.1</v>
      </c>
      <c r="AB1076">
        <f t="shared" si="32"/>
        <v>73</v>
      </c>
      <c r="AC1076">
        <v>91.3</v>
      </c>
      <c r="AE1076">
        <f t="shared" si="33"/>
        <v>2</v>
      </c>
    </row>
    <row r="1077" spans="1:31" x14ac:dyDescent="0.25">
      <c r="A1077">
        <v>2022</v>
      </c>
      <c r="B1077" t="s">
        <v>19</v>
      </c>
      <c r="C1077" t="str">
        <f>IF(COUNTIF('Rookies 22-25'!$B$61:$B$125,E1077)&gt;0,"(R)","No")</f>
        <v>No</v>
      </c>
      <c r="D1077">
        <v>28</v>
      </c>
      <c r="E1077" t="s">
        <v>438</v>
      </c>
      <c r="F1077" t="s">
        <v>49</v>
      </c>
      <c r="G1077">
        <f>VLOOKUP(E1077,'22 Draft ADP'!$B$2:$D$510,3,FALSE)</f>
        <v>473</v>
      </c>
      <c r="H1077">
        <v>15</v>
      </c>
      <c r="I1077">
        <v>13.3</v>
      </c>
      <c r="J1077">
        <v>2</v>
      </c>
      <c r="K1077">
        <v>12.4</v>
      </c>
      <c r="L1077">
        <v>13.9</v>
      </c>
      <c r="M1077">
        <v>4.0999999999999996</v>
      </c>
      <c r="N1077">
        <v>2.2000000000000002</v>
      </c>
      <c r="O1077">
        <v>8.5</v>
      </c>
      <c r="P1077">
        <v>3.2</v>
      </c>
      <c r="Q1077">
        <v>5.4</v>
      </c>
      <c r="R1077">
        <v>4.8</v>
      </c>
      <c r="S1077" t="s">
        <v>22</v>
      </c>
      <c r="T1077">
        <v>3.7</v>
      </c>
      <c r="U1077">
        <v>4.2</v>
      </c>
      <c r="V1077">
        <v>4</v>
      </c>
      <c r="W1077">
        <v>2.2999999999999998</v>
      </c>
      <c r="X1077">
        <v>2.9</v>
      </c>
      <c r="AA1077">
        <v>5.8</v>
      </c>
      <c r="AB1077">
        <f t="shared" si="32"/>
        <v>86.9</v>
      </c>
      <c r="AC1077">
        <v>86.9</v>
      </c>
      <c r="AE1077">
        <f t="shared" si="33"/>
        <v>3</v>
      </c>
    </row>
    <row r="1078" spans="1:31" x14ac:dyDescent="0.25">
      <c r="A1078">
        <v>2022</v>
      </c>
      <c r="B1078" t="s">
        <v>19</v>
      </c>
      <c r="C1078" t="str">
        <f>IF(COUNTIF('Rookies 22-25'!$B$61:$B$125,E1078)&gt;0,"(R)","No")</f>
        <v>(R)</v>
      </c>
      <c r="D1078">
        <v>29</v>
      </c>
      <c r="E1078" t="s">
        <v>96</v>
      </c>
      <c r="F1078" t="s">
        <v>78</v>
      </c>
      <c r="G1078">
        <f>VLOOKUP(E1078,'22 Draft ADP'!$B$2:$D$510,3,FALSE)</f>
        <v>291</v>
      </c>
      <c r="H1078">
        <v>10</v>
      </c>
      <c r="N1078">
        <v>12.4</v>
      </c>
      <c r="O1078">
        <v>11.1</v>
      </c>
      <c r="P1078">
        <v>12.7</v>
      </c>
      <c r="Q1078" t="s">
        <v>22</v>
      </c>
      <c r="R1078">
        <v>2.1</v>
      </c>
      <c r="S1078">
        <v>7</v>
      </c>
      <c r="T1078">
        <v>3.1</v>
      </c>
      <c r="U1078">
        <v>14.5</v>
      </c>
      <c r="V1078">
        <v>7.2</v>
      </c>
      <c r="W1078">
        <v>2.1</v>
      </c>
      <c r="X1078">
        <v>13.9</v>
      </c>
      <c r="AA1078">
        <v>8.6</v>
      </c>
      <c r="AB1078">
        <f t="shared" si="32"/>
        <v>86.1</v>
      </c>
      <c r="AC1078">
        <v>86.1</v>
      </c>
      <c r="AE1078">
        <f t="shared" si="33"/>
        <v>5</v>
      </c>
    </row>
    <row r="1079" spans="1:31" x14ac:dyDescent="0.25">
      <c r="A1079">
        <v>2022</v>
      </c>
      <c r="B1079" t="s">
        <v>19</v>
      </c>
      <c r="C1079" t="str">
        <f>IF(COUNTIF('Rookies 22-25'!$B$61:$B$125,E1079)&gt;0,"(R)","No")</f>
        <v>No</v>
      </c>
      <c r="D1079">
        <v>30</v>
      </c>
      <c r="E1079" t="s">
        <v>441</v>
      </c>
      <c r="F1079" t="s">
        <v>43</v>
      </c>
      <c r="G1079">
        <f>VLOOKUP(E1079,'22 Draft ADP'!$B$2:$D$510,3,FALSE)</f>
        <v>318</v>
      </c>
      <c r="H1079">
        <v>14</v>
      </c>
      <c r="J1079">
        <v>6</v>
      </c>
      <c r="K1079">
        <v>7.4</v>
      </c>
      <c r="N1079" t="s">
        <v>22</v>
      </c>
      <c r="O1079">
        <v>5.8</v>
      </c>
      <c r="P1079">
        <v>9.1</v>
      </c>
      <c r="Q1079">
        <v>4.4000000000000004</v>
      </c>
      <c r="R1079">
        <v>13.3</v>
      </c>
      <c r="S1079">
        <v>4.3</v>
      </c>
      <c r="T1079">
        <v>12.3</v>
      </c>
      <c r="U1079">
        <v>4.2</v>
      </c>
      <c r="V1079">
        <v>0</v>
      </c>
      <c r="W1079">
        <v>4</v>
      </c>
      <c r="X1079">
        <v>3.9</v>
      </c>
      <c r="Y1079">
        <v>8.5</v>
      </c>
      <c r="Z1079">
        <v>2</v>
      </c>
      <c r="AA1079">
        <v>6.1</v>
      </c>
      <c r="AB1079">
        <f t="shared" si="32"/>
        <v>83.2</v>
      </c>
      <c r="AC1079">
        <v>85.2</v>
      </c>
      <c r="AE1079">
        <f t="shared" si="33"/>
        <v>2</v>
      </c>
    </row>
    <row r="1080" spans="1:31" x14ac:dyDescent="0.25">
      <c r="A1080">
        <v>2022</v>
      </c>
      <c r="B1080" t="s">
        <v>19</v>
      </c>
      <c r="C1080" t="str">
        <f>IF(COUNTIF('Rookies 22-25'!$B$61:$B$125,E1080)&gt;0,"(R)","No")</f>
        <v>No</v>
      </c>
      <c r="D1080">
        <v>31</v>
      </c>
      <c r="E1080" t="s">
        <v>83</v>
      </c>
      <c r="F1080" t="s">
        <v>43</v>
      </c>
      <c r="G1080">
        <f>VLOOKUP(E1080,'22 Draft ADP'!$B$2:$D$510,3,FALSE)</f>
        <v>54</v>
      </c>
      <c r="H1080">
        <v>9</v>
      </c>
      <c r="I1080">
        <v>11.9</v>
      </c>
      <c r="J1080">
        <v>17</v>
      </c>
      <c r="K1080">
        <v>5.2</v>
      </c>
      <c r="L1080">
        <v>5.4</v>
      </c>
      <c r="N1080" t="s">
        <v>22</v>
      </c>
      <c r="P1080">
        <v>0</v>
      </c>
      <c r="W1080">
        <v>13.8</v>
      </c>
      <c r="X1080">
        <v>9.8000000000000007</v>
      </c>
      <c r="Y1080">
        <v>16.2</v>
      </c>
      <c r="Z1080">
        <v>5.5</v>
      </c>
      <c r="AA1080">
        <v>9.4</v>
      </c>
      <c r="AB1080">
        <f t="shared" si="32"/>
        <v>79.3</v>
      </c>
      <c r="AC1080">
        <v>84.8</v>
      </c>
      <c r="AE1080">
        <f t="shared" si="33"/>
        <v>4</v>
      </c>
    </row>
    <row r="1081" spans="1:31" x14ac:dyDescent="0.25">
      <c r="A1081">
        <v>2022</v>
      </c>
      <c r="B1081" t="s">
        <v>19</v>
      </c>
      <c r="C1081" t="str">
        <f>IF(COUNTIF('Rookies 22-25'!$B$61:$B$125,E1081)&gt;0,"(R)","No")</f>
        <v>No</v>
      </c>
      <c r="D1081">
        <v>32</v>
      </c>
      <c r="E1081" t="s">
        <v>449</v>
      </c>
      <c r="F1081" t="s">
        <v>59</v>
      </c>
      <c r="G1081">
        <f>VLOOKUP(E1081,'22 Draft ADP'!$B$2:$D$510,3,FALSE)</f>
        <v>198</v>
      </c>
      <c r="H1081">
        <v>13</v>
      </c>
      <c r="I1081">
        <v>7.5</v>
      </c>
      <c r="J1081">
        <v>12.7</v>
      </c>
      <c r="K1081">
        <v>2.5</v>
      </c>
      <c r="L1081">
        <v>6.9</v>
      </c>
      <c r="Q1081">
        <v>0</v>
      </c>
      <c r="R1081">
        <v>3.2</v>
      </c>
      <c r="S1081">
        <v>11.5</v>
      </c>
      <c r="T1081">
        <v>1.7</v>
      </c>
      <c r="U1081">
        <v>5</v>
      </c>
      <c r="V1081" t="s">
        <v>22</v>
      </c>
      <c r="W1081">
        <v>1.6</v>
      </c>
      <c r="X1081">
        <v>9.5</v>
      </c>
      <c r="Y1081">
        <v>11.6</v>
      </c>
      <c r="Z1081">
        <v>3.6</v>
      </c>
      <c r="AA1081">
        <v>5.9</v>
      </c>
      <c r="AB1081">
        <f t="shared" si="32"/>
        <v>73.7</v>
      </c>
      <c r="AC1081">
        <v>77.3</v>
      </c>
      <c r="AE1081">
        <f t="shared" si="33"/>
        <v>3</v>
      </c>
    </row>
    <row r="1082" spans="1:31" x14ac:dyDescent="0.25">
      <c r="A1082">
        <v>2022</v>
      </c>
      <c r="B1082" t="s">
        <v>19</v>
      </c>
      <c r="C1082" t="str">
        <f>IF(COUNTIF('Rookies 22-25'!$B$61:$B$125,E1082)&gt;0,"(R)","No")</f>
        <v>No</v>
      </c>
      <c r="D1082">
        <v>33</v>
      </c>
      <c r="E1082" t="s">
        <v>23</v>
      </c>
      <c r="F1082" t="s">
        <v>24</v>
      </c>
      <c r="G1082">
        <f>VLOOKUP(E1082,'22 Draft ADP'!$B$2:$D$510,3,FALSE)</f>
        <v>28</v>
      </c>
      <c r="H1082">
        <v>10</v>
      </c>
      <c r="I1082">
        <v>3.9</v>
      </c>
      <c r="J1082">
        <v>3.9</v>
      </c>
      <c r="K1082">
        <v>13.7</v>
      </c>
      <c r="L1082">
        <v>3.5</v>
      </c>
      <c r="N1082">
        <v>10.9</v>
      </c>
      <c r="O1082">
        <v>3.9</v>
      </c>
      <c r="P1082">
        <v>19</v>
      </c>
      <c r="Q1082">
        <v>4.7</v>
      </c>
      <c r="R1082">
        <v>4.8</v>
      </c>
      <c r="S1082">
        <v>7.3</v>
      </c>
      <c r="V1082" t="s">
        <v>22</v>
      </c>
      <c r="AA1082">
        <v>7.6</v>
      </c>
      <c r="AB1082">
        <f t="shared" si="32"/>
        <v>75.599999999999994</v>
      </c>
      <c r="AC1082">
        <v>75.599999999999994</v>
      </c>
      <c r="AE1082">
        <f t="shared" si="33"/>
        <v>3</v>
      </c>
    </row>
    <row r="1083" spans="1:31" x14ac:dyDescent="0.25">
      <c r="A1083">
        <v>2022</v>
      </c>
      <c r="B1083" t="s">
        <v>19</v>
      </c>
      <c r="C1083" t="str">
        <f>IF(COUNTIF('Rookies 22-25'!$B$61:$B$125,E1083)&gt;0,"(R)","No")</f>
        <v>(R)</v>
      </c>
      <c r="D1083">
        <v>34</v>
      </c>
      <c r="E1083" t="s">
        <v>459</v>
      </c>
      <c r="F1083" t="s">
        <v>57</v>
      </c>
      <c r="G1083">
        <f>VLOOKUP(E1083,'22 Draft ADP'!$B$2:$D$510,3,FALSE)</f>
        <v>270</v>
      </c>
      <c r="H1083">
        <v>12</v>
      </c>
      <c r="I1083">
        <v>0</v>
      </c>
      <c r="J1083">
        <v>8.6</v>
      </c>
      <c r="K1083">
        <v>8</v>
      </c>
      <c r="L1083">
        <v>5.3</v>
      </c>
      <c r="M1083">
        <v>10.4</v>
      </c>
      <c r="N1083">
        <v>14.8</v>
      </c>
      <c r="O1083">
        <v>2.2999999999999998</v>
      </c>
      <c r="Q1083" t="s">
        <v>22</v>
      </c>
      <c r="U1083">
        <v>7.4</v>
      </c>
      <c r="V1083">
        <v>4.9000000000000004</v>
      </c>
      <c r="W1083">
        <v>1.4</v>
      </c>
      <c r="X1083">
        <v>4.7</v>
      </c>
      <c r="Y1083">
        <v>7.2</v>
      </c>
      <c r="AA1083">
        <v>6.3</v>
      </c>
      <c r="AB1083">
        <f t="shared" si="32"/>
        <v>75</v>
      </c>
      <c r="AC1083">
        <v>75</v>
      </c>
      <c r="AE1083">
        <f t="shared" si="33"/>
        <v>2</v>
      </c>
    </row>
    <row r="1084" spans="1:31" x14ac:dyDescent="0.25">
      <c r="A1084">
        <v>2022</v>
      </c>
      <c r="B1084" t="s">
        <v>19</v>
      </c>
      <c r="C1084" t="str">
        <f>IF(COUNTIF('Rookies 22-25'!$B$61:$B$125,E1084)&gt;0,"(R)","No")</f>
        <v>(R)</v>
      </c>
      <c r="D1084">
        <v>35</v>
      </c>
      <c r="E1084" t="s">
        <v>914</v>
      </c>
      <c r="F1084" t="s">
        <v>28</v>
      </c>
      <c r="G1084">
        <f>VLOOKUP(E1084,'22 Draft ADP'!$B$2:$D$510,3,FALSE)</f>
        <v>327</v>
      </c>
      <c r="H1084">
        <v>14</v>
      </c>
      <c r="I1084">
        <v>0</v>
      </c>
      <c r="J1084">
        <v>0</v>
      </c>
      <c r="K1084">
        <v>15.3</v>
      </c>
      <c r="L1084">
        <v>4.3</v>
      </c>
      <c r="M1084">
        <v>0</v>
      </c>
      <c r="N1084">
        <v>10.7</v>
      </c>
      <c r="O1084">
        <v>1.4</v>
      </c>
      <c r="Q1084">
        <v>1.2</v>
      </c>
      <c r="T1084">
        <v>17.8</v>
      </c>
      <c r="U1084">
        <v>4.8</v>
      </c>
      <c r="V1084" t="s">
        <v>22</v>
      </c>
      <c r="W1084">
        <v>4.5999999999999996</v>
      </c>
      <c r="X1084">
        <v>7.3</v>
      </c>
      <c r="Y1084">
        <v>4.9000000000000004</v>
      </c>
      <c r="Z1084">
        <v>1.9</v>
      </c>
      <c r="AA1084">
        <v>5.3</v>
      </c>
      <c r="AB1084">
        <f t="shared" si="32"/>
        <v>72.3</v>
      </c>
      <c r="AC1084">
        <v>74.2</v>
      </c>
      <c r="AE1084">
        <f t="shared" si="33"/>
        <v>3</v>
      </c>
    </row>
    <row r="1085" spans="1:31" x14ac:dyDescent="0.25">
      <c r="A1085">
        <v>2022</v>
      </c>
      <c r="B1085" t="s">
        <v>19</v>
      </c>
      <c r="C1085" t="str">
        <f>IF(COUNTIF('Rookies 22-25'!$B$61:$B$125,E1085)&gt;0,"(R)","No")</f>
        <v>No</v>
      </c>
      <c r="D1085">
        <v>36</v>
      </c>
      <c r="E1085" t="s">
        <v>437</v>
      </c>
      <c r="F1085" t="s">
        <v>26</v>
      </c>
      <c r="G1085">
        <f>VLOOKUP(E1085,'22 Draft ADP'!$B$2:$D$510,3,FALSE)</f>
        <v>436</v>
      </c>
      <c r="H1085">
        <v>17</v>
      </c>
      <c r="I1085">
        <v>2</v>
      </c>
      <c r="J1085">
        <v>3.2</v>
      </c>
      <c r="K1085">
        <v>3.6</v>
      </c>
      <c r="L1085">
        <v>6.1</v>
      </c>
      <c r="M1085">
        <v>1.7</v>
      </c>
      <c r="N1085">
        <v>4.3</v>
      </c>
      <c r="O1085">
        <v>2</v>
      </c>
      <c r="P1085" t="s">
        <v>22</v>
      </c>
      <c r="Q1085">
        <v>7.5</v>
      </c>
      <c r="R1085">
        <v>10</v>
      </c>
      <c r="S1085">
        <v>3.5</v>
      </c>
      <c r="T1085">
        <v>3.6</v>
      </c>
      <c r="U1085">
        <v>2.5</v>
      </c>
      <c r="V1085">
        <v>7.5</v>
      </c>
      <c r="W1085">
        <v>6.1</v>
      </c>
      <c r="X1085">
        <v>1.8</v>
      </c>
      <c r="Y1085">
        <v>2.2000000000000002</v>
      </c>
      <c r="Z1085">
        <v>2.4</v>
      </c>
      <c r="AA1085">
        <v>4.0999999999999996</v>
      </c>
      <c r="AB1085">
        <f t="shared" si="32"/>
        <v>67.599999999999994</v>
      </c>
      <c r="AC1085">
        <v>70</v>
      </c>
      <c r="AE1085">
        <f t="shared" si="33"/>
        <v>0</v>
      </c>
    </row>
    <row r="1086" spans="1:31" x14ac:dyDescent="0.25">
      <c r="A1086">
        <v>2022</v>
      </c>
      <c r="B1086" t="s">
        <v>19</v>
      </c>
      <c r="C1086" t="str">
        <f>IF(COUNTIF('Rookies 22-25'!$B$61:$B$125,E1086)&gt;0,"(R)","No")</f>
        <v>No</v>
      </c>
      <c r="D1086">
        <v>37</v>
      </c>
      <c r="E1086" t="s">
        <v>54</v>
      </c>
      <c r="F1086" t="s">
        <v>49</v>
      </c>
      <c r="G1086">
        <f>VLOOKUP(E1086,'22 Draft ADP'!$B$2:$D$510,3,FALSE)</f>
        <v>442</v>
      </c>
      <c r="H1086">
        <v>14</v>
      </c>
      <c r="I1086">
        <v>12.3</v>
      </c>
      <c r="K1086">
        <v>6.4</v>
      </c>
      <c r="L1086">
        <v>4.8</v>
      </c>
      <c r="N1086">
        <v>3.1</v>
      </c>
      <c r="O1086">
        <v>3.8</v>
      </c>
      <c r="P1086">
        <v>1.5</v>
      </c>
      <c r="Q1086">
        <v>2.6</v>
      </c>
      <c r="R1086">
        <v>1.7</v>
      </c>
      <c r="S1086" t="s">
        <v>22</v>
      </c>
      <c r="U1086">
        <v>2.2000000000000002</v>
      </c>
      <c r="V1086">
        <v>2</v>
      </c>
      <c r="W1086">
        <v>0</v>
      </c>
      <c r="X1086">
        <v>7.5</v>
      </c>
      <c r="Y1086">
        <v>14.6</v>
      </c>
      <c r="Z1086">
        <v>6.7</v>
      </c>
      <c r="AA1086">
        <v>4.9000000000000004</v>
      </c>
      <c r="AB1086">
        <f t="shared" si="32"/>
        <v>62.5</v>
      </c>
      <c r="AC1086">
        <v>69.2</v>
      </c>
      <c r="AE1086">
        <f t="shared" si="33"/>
        <v>2</v>
      </c>
    </row>
    <row r="1087" spans="1:31" x14ac:dyDescent="0.25">
      <c r="A1087">
        <v>2022</v>
      </c>
      <c r="B1087" t="s">
        <v>19</v>
      </c>
      <c r="C1087" t="str">
        <f>IF(COUNTIF('Rookies 22-25'!$B$61:$B$125,E1087)&gt;0,"(R)","No")</f>
        <v>No</v>
      </c>
      <c r="D1087">
        <v>38</v>
      </c>
      <c r="E1087" t="s">
        <v>1096</v>
      </c>
      <c r="F1087" t="s">
        <v>75</v>
      </c>
      <c r="G1087">
        <v>300</v>
      </c>
      <c r="H1087">
        <v>16</v>
      </c>
      <c r="I1087">
        <v>0</v>
      </c>
      <c r="J1087">
        <v>3.5</v>
      </c>
      <c r="K1087">
        <v>0</v>
      </c>
      <c r="L1087">
        <v>0</v>
      </c>
      <c r="N1087" t="s">
        <v>22</v>
      </c>
      <c r="O1087">
        <v>9.6999999999999993</v>
      </c>
      <c r="P1087">
        <v>1.6</v>
      </c>
      <c r="Q1087">
        <v>0</v>
      </c>
      <c r="R1087">
        <v>7.2</v>
      </c>
      <c r="S1087">
        <v>4</v>
      </c>
      <c r="T1087">
        <v>2.6</v>
      </c>
      <c r="U1087">
        <v>4.5</v>
      </c>
      <c r="V1087">
        <v>0</v>
      </c>
      <c r="W1087">
        <v>12.1</v>
      </c>
      <c r="X1087">
        <v>2.1</v>
      </c>
      <c r="Y1087">
        <v>16.3</v>
      </c>
      <c r="Z1087">
        <v>0</v>
      </c>
      <c r="AA1087">
        <v>4</v>
      </c>
      <c r="AB1087">
        <f t="shared" si="32"/>
        <v>63.6</v>
      </c>
      <c r="AC1087">
        <v>63.6</v>
      </c>
      <c r="AE1087">
        <f t="shared" si="33"/>
        <v>2</v>
      </c>
    </row>
    <row r="1088" spans="1:31" x14ac:dyDescent="0.25">
      <c r="A1088">
        <v>2022</v>
      </c>
      <c r="B1088" t="s">
        <v>19</v>
      </c>
      <c r="C1088" t="str">
        <f>IF(COUNTIF('Rookies 22-25'!$B$61:$B$125,E1088)&gt;0,"(R)","No")</f>
        <v>No</v>
      </c>
      <c r="D1088">
        <v>39</v>
      </c>
      <c r="E1088" t="s">
        <v>1382</v>
      </c>
      <c r="F1088" t="s">
        <v>32</v>
      </c>
      <c r="G1088">
        <f>VLOOKUP(E1088,'22 Draft ADP'!$B$2:$D$510,3,FALSE)</f>
        <v>371</v>
      </c>
      <c r="H1088">
        <v>14</v>
      </c>
      <c r="I1088">
        <v>3.8</v>
      </c>
      <c r="J1088">
        <v>7.5</v>
      </c>
      <c r="L1088">
        <v>5.8</v>
      </c>
      <c r="M1088">
        <v>0</v>
      </c>
      <c r="N1088">
        <v>4.8</v>
      </c>
      <c r="O1088">
        <v>3.5</v>
      </c>
      <c r="Q1088" t="s">
        <v>22</v>
      </c>
      <c r="R1088">
        <v>10.5</v>
      </c>
      <c r="S1088">
        <v>8.1</v>
      </c>
      <c r="T1088">
        <v>2.9</v>
      </c>
      <c r="U1088">
        <v>2.4</v>
      </c>
      <c r="V1088">
        <v>1.8</v>
      </c>
      <c r="W1088">
        <v>2.7</v>
      </c>
      <c r="Y1088">
        <v>3.9</v>
      </c>
      <c r="Z1088">
        <v>4</v>
      </c>
      <c r="AA1088">
        <v>4.4000000000000004</v>
      </c>
      <c r="AB1088">
        <f t="shared" si="32"/>
        <v>57.7</v>
      </c>
      <c r="AC1088">
        <v>61.7</v>
      </c>
      <c r="AE1088">
        <f t="shared" si="33"/>
        <v>1</v>
      </c>
    </row>
    <row r="1089" spans="1:31" x14ac:dyDescent="0.25">
      <c r="A1089">
        <v>2022</v>
      </c>
      <c r="B1089" t="s">
        <v>19</v>
      </c>
      <c r="C1089" t="str">
        <f>IF(COUNTIF('Rookies 22-25'!$B$61:$B$125,E1089)&gt;0,"(R)","No")</f>
        <v>(R)</v>
      </c>
      <c r="D1089">
        <v>40</v>
      </c>
      <c r="E1089" t="s">
        <v>20</v>
      </c>
      <c r="F1089" t="s">
        <v>21</v>
      </c>
      <c r="G1089">
        <f>VLOOKUP(E1089,'22 Draft ADP'!$B$2:$D$510,3,FALSE)</f>
        <v>278</v>
      </c>
      <c r="H1089">
        <v>14</v>
      </c>
      <c r="J1089">
        <v>0</v>
      </c>
      <c r="K1089">
        <v>0</v>
      </c>
      <c r="L1089">
        <v>5.4</v>
      </c>
      <c r="N1089">
        <v>0</v>
      </c>
      <c r="O1089">
        <v>0</v>
      </c>
      <c r="P1089">
        <v>0</v>
      </c>
      <c r="R1089">
        <v>1.7</v>
      </c>
      <c r="S1089">
        <v>5.4</v>
      </c>
      <c r="T1089">
        <v>1.1000000000000001</v>
      </c>
      <c r="U1089" t="s">
        <v>22</v>
      </c>
      <c r="V1089">
        <v>5.8</v>
      </c>
      <c r="W1089">
        <v>9.5</v>
      </c>
      <c r="X1089">
        <v>4.7</v>
      </c>
      <c r="Y1089">
        <v>20.8</v>
      </c>
      <c r="Z1089">
        <v>7.1</v>
      </c>
      <c r="AA1089">
        <v>4.4000000000000004</v>
      </c>
      <c r="AB1089">
        <f t="shared" si="32"/>
        <v>54.4</v>
      </c>
      <c r="AC1089">
        <v>61.5</v>
      </c>
      <c r="AE1089">
        <f t="shared" si="33"/>
        <v>1</v>
      </c>
    </row>
    <row r="1090" spans="1:31" x14ac:dyDescent="0.25">
      <c r="A1090">
        <v>2022</v>
      </c>
      <c r="B1090" t="s">
        <v>19</v>
      </c>
      <c r="C1090" t="str">
        <f>IF(COUNTIF('Rookies 22-25'!$B$61:$B$125,E1090)&gt;0,"(R)","No")</f>
        <v>No</v>
      </c>
      <c r="D1090">
        <v>41</v>
      </c>
      <c r="E1090" t="s">
        <v>455</v>
      </c>
      <c r="F1090" t="s">
        <v>28</v>
      </c>
      <c r="G1090">
        <f>VLOOKUP(E1090,'22 Draft ADP'!$B$2:$D$510,3,FALSE)</f>
        <v>393</v>
      </c>
      <c r="H1090">
        <v>13</v>
      </c>
      <c r="I1090">
        <v>5.2</v>
      </c>
      <c r="J1090">
        <v>3.4</v>
      </c>
      <c r="K1090">
        <v>2.7</v>
      </c>
      <c r="L1090">
        <v>10.199999999999999</v>
      </c>
      <c r="M1090">
        <v>2.6</v>
      </c>
      <c r="N1090">
        <v>7.8</v>
      </c>
      <c r="O1090">
        <v>1.6</v>
      </c>
      <c r="P1090">
        <v>4.0999999999999996</v>
      </c>
      <c r="Q1090">
        <v>0</v>
      </c>
      <c r="R1090">
        <v>9.6999999999999993</v>
      </c>
      <c r="S1090">
        <v>2.6</v>
      </c>
      <c r="U1090">
        <v>5.9</v>
      </c>
      <c r="V1090" t="s">
        <v>22</v>
      </c>
      <c r="W1090">
        <v>5.4</v>
      </c>
      <c r="AA1090">
        <v>4.7</v>
      </c>
      <c r="AB1090">
        <f t="shared" si="32"/>
        <v>61.2</v>
      </c>
      <c r="AC1090">
        <v>61.2</v>
      </c>
      <c r="AE1090">
        <f t="shared" si="33"/>
        <v>1</v>
      </c>
    </row>
    <row r="1091" spans="1:31" x14ac:dyDescent="0.25">
      <c r="A1091">
        <v>2022</v>
      </c>
      <c r="B1091" t="s">
        <v>19</v>
      </c>
      <c r="C1091" t="str">
        <f>IF(COUNTIF('Rookies 22-25'!$B$61:$B$125,E1091)&gt;0,"(R)","No")</f>
        <v>No</v>
      </c>
      <c r="D1091">
        <v>42</v>
      </c>
      <c r="E1091" t="s">
        <v>896</v>
      </c>
      <c r="F1091" t="s">
        <v>82</v>
      </c>
      <c r="G1091">
        <f>VLOOKUP(E1091,'22 Draft ADP'!$B$2:$D$510,3,FALSE)</f>
        <v>282</v>
      </c>
      <c r="H1091">
        <v>14</v>
      </c>
      <c r="K1091">
        <v>1.5</v>
      </c>
      <c r="L1091">
        <v>0</v>
      </c>
      <c r="M1091">
        <v>3.2</v>
      </c>
      <c r="N1091">
        <v>3.7</v>
      </c>
      <c r="O1091">
        <v>1.5</v>
      </c>
      <c r="P1091">
        <v>3.7</v>
      </c>
      <c r="Q1091">
        <v>4.5999999999999996</v>
      </c>
      <c r="R1091" t="s">
        <v>22</v>
      </c>
      <c r="S1091">
        <v>0</v>
      </c>
      <c r="T1091">
        <v>4.7</v>
      </c>
      <c r="U1091">
        <v>4.0999999999999996</v>
      </c>
      <c r="V1091">
        <v>1.7</v>
      </c>
      <c r="W1091">
        <v>18.100000000000001</v>
      </c>
      <c r="X1091">
        <v>4</v>
      </c>
      <c r="Y1091">
        <v>5.4</v>
      </c>
      <c r="AA1091">
        <v>4</v>
      </c>
      <c r="AB1091">
        <f t="shared" ref="AB1091:AB1154" si="34">AC1091-Z1091</f>
        <v>56.2</v>
      </c>
      <c r="AC1091">
        <v>56.2</v>
      </c>
      <c r="AE1091">
        <f t="shared" ref="AE1091:AE1154" si="35">COUNTIF(I1091:Y1091,"&gt;10")</f>
        <v>1</v>
      </c>
    </row>
    <row r="1092" spans="1:31" x14ac:dyDescent="0.25">
      <c r="A1092">
        <v>2022</v>
      </c>
      <c r="B1092" t="s">
        <v>19</v>
      </c>
      <c r="C1092" t="str">
        <f>IF(COUNTIF('Rookies 22-25'!$B$61:$B$125,E1092)&gt;0,"(R)","No")</f>
        <v>No</v>
      </c>
      <c r="D1092">
        <v>43</v>
      </c>
      <c r="E1092" t="s">
        <v>696</v>
      </c>
      <c r="F1092" t="s">
        <v>73</v>
      </c>
      <c r="G1092">
        <v>350</v>
      </c>
      <c r="H1092">
        <v>8</v>
      </c>
      <c r="I1092">
        <v>0</v>
      </c>
      <c r="J1092">
        <v>14.6</v>
      </c>
      <c r="K1092">
        <v>5.2</v>
      </c>
      <c r="L1092">
        <v>5.3</v>
      </c>
      <c r="M1092">
        <v>8.1999999999999993</v>
      </c>
      <c r="N1092">
        <v>10.7</v>
      </c>
      <c r="O1092" t="s">
        <v>22</v>
      </c>
      <c r="P1092">
        <v>6.8</v>
      </c>
      <c r="Z1092">
        <v>4.4000000000000004</v>
      </c>
      <c r="AA1092">
        <v>6.9</v>
      </c>
      <c r="AB1092">
        <f t="shared" si="34"/>
        <v>50.800000000000004</v>
      </c>
      <c r="AC1092">
        <v>55.2</v>
      </c>
      <c r="AE1092">
        <f t="shared" si="35"/>
        <v>2</v>
      </c>
    </row>
    <row r="1093" spans="1:31" x14ac:dyDescent="0.25">
      <c r="A1093">
        <v>2022</v>
      </c>
      <c r="B1093" t="s">
        <v>19</v>
      </c>
      <c r="C1093" t="str">
        <f>IF(COUNTIF('Rookies 22-25'!$B$61:$B$125,E1093)&gt;0,"(R)","No")</f>
        <v>No</v>
      </c>
      <c r="D1093">
        <v>44</v>
      </c>
      <c r="E1093" t="s">
        <v>1383</v>
      </c>
      <c r="F1093" t="s">
        <v>24</v>
      </c>
      <c r="G1093">
        <v>350</v>
      </c>
      <c r="H1093">
        <v>10</v>
      </c>
      <c r="N1093">
        <v>7.2</v>
      </c>
      <c r="Q1093">
        <v>1.6</v>
      </c>
      <c r="R1093">
        <v>1.6</v>
      </c>
      <c r="S1093">
        <v>2.7</v>
      </c>
      <c r="T1093">
        <v>8.9</v>
      </c>
      <c r="U1093">
        <v>7.7</v>
      </c>
      <c r="V1093" t="s">
        <v>22</v>
      </c>
      <c r="W1093">
        <v>4</v>
      </c>
      <c r="X1093">
        <v>0</v>
      </c>
      <c r="Y1093">
        <v>8.9</v>
      </c>
      <c r="Z1093">
        <v>12.4</v>
      </c>
      <c r="AA1093">
        <v>5.5</v>
      </c>
      <c r="AB1093">
        <f t="shared" si="34"/>
        <v>42.6</v>
      </c>
      <c r="AC1093">
        <v>55</v>
      </c>
      <c r="AE1093">
        <f t="shared" si="35"/>
        <v>0</v>
      </c>
    </row>
    <row r="1094" spans="1:31" x14ac:dyDescent="0.25">
      <c r="A1094">
        <v>2022</v>
      </c>
      <c r="B1094" t="s">
        <v>19</v>
      </c>
      <c r="C1094" t="str">
        <f>IF(COUNTIF('Rookies 22-25'!$B$61:$B$125,E1094)&gt;0,"(R)","No")</f>
        <v>No</v>
      </c>
      <c r="D1094">
        <v>45</v>
      </c>
      <c r="E1094" t="s">
        <v>1091</v>
      </c>
      <c r="F1094" t="s">
        <v>28</v>
      </c>
      <c r="G1094">
        <f>VLOOKUP(E1094,'22 Draft ADP'!$B$2:$D$510,3,FALSE)</f>
        <v>213</v>
      </c>
      <c r="H1094">
        <v>14</v>
      </c>
      <c r="I1094">
        <v>4.5999999999999996</v>
      </c>
      <c r="J1094">
        <v>1.9</v>
      </c>
      <c r="K1094">
        <v>1.9</v>
      </c>
      <c r="L1094">
        <v>26.5</v>
      </c>
      <c r="M1094">
        <v>1.7</v>
      </c>
      <c r="P1094">
        <v>0</v>
      </c>
      <c r="Q1094">
        <v>3.3</v>
      </c>
      <c r="S1094">
        <v>2.4</v>
      </c>
      <c r="T1094">
        <v>3.4</v>
      </c>
      <c r="U1094">
        <v>-0.4</v>
      </c>
      <c r="V1094" t="s">
        <v>22</v>
      </c>
      <c r="W1094">
        <v>0</v>
      </c>
      <c r="X1094">
        <v>1.2</v>
      </c>
      <c r="Y1094">
        <v>0</v>
      </c>
      <c r="Z1094">
        <v>7.4</v>
      </c>
      <c r="AA1094">
        <v>3.9</v>
      </c>
      <c r="AB1094">
        <f t="shared" si="34"/>
        <v>46.5</v>
      </c>
      <c r="AC1094">
        <v>53.9</v>
      </c>
      <c r="AE1094">
        <f t="shared" si="35"/>
        <v>1</v>
      </c>
    </row>
    <row r="1095" spans="1:31" x14ac:dyDescent="0.25">
      <c r="A1095">
        <v>2022</v>
      </c>
      <c r="B1095" t="s">
        <v>19</v>
      </c>
      <c r="C1095" t="str">
        <f>IF(COUNTIF('Rookies 22-25'!$B$61:$B$125,E1095)&gt;0,"(R)","No")</f>
        <v>No</v>
      </c>
      <c r="D1095">
        <v>46</v>
      </c>
      <c r="E1095" t="s">
        <v>94</v>
      </c>
      <c r="F1095" t="s">
        <v>95</v>
      </c>
      <c r="G1095">
        <f>VLOOKUP(E1095,'22 Draft ADP'!$B$2:$D$510,3,FALSE)</f>
        <v>311</v>
      </c>
      <c r="H1095">
        <v>16</v>
      </c>
      <c r="I1095">
        <v>1.1000000000000001</v>
      </c>
      <c r="J1095">
        <v>0</v>
      </c>
      <c r="K1095">
        <v>1.7</v>
      </c>
      <c r="L1095">
        <v>6.4</v>
      </c>
      <c r="M1095">
        <v>0</v>
      </c>
      <c r="O1095">
        <v>9.9</v>
      </c>
      <c r="P1095">
        <v>3.7</v>
      </c>
      <c r="Q1095">
        <v>7.1</v>
      </c>
      <c r="R1095">
        <v>0</v>
      </c>
      <c r="S1095">
        <v>0</v>
      </c>
      <c r="T1095">
        <v>1.2</v>
      </c>
      <c r="U1095" t="s">
        <v>22</v>
      </c>
      <c r="V1095">
        <v>0</v>
      </c>
      <c r="W1095">
        <v>4</v>
      </c>
      <c r="X1095">
        <v>3.8</v>
      </c>
      <c r="Y1095">
        <v>12.3</v>
      </c>
      <c r="Z1095">
        <v>1.2</v>
      </c>
      <c r="AA1095">
        <v>3.3</v>
      </c>
      <c r="AB1095">
        <f t="shared" si="34"/>
        <v>51.199999999999996</v>
      </c>
      <c r="AC1095">
        <v>52.4</v>
      </c>
      <c r="AE1095">
        <f t="shared" si="35"/>
        <v>1</v>
      </c>
    </row>
    <row r="1096" spans="1:31" x14ac:dyDescent="0.25">
      <c r="A1096">
        <v>2022</v>
      </c>
      <c r="B1096" t="s">
        <v>19</v>
      </c>
      <c r="C1096" t="str">
        <f>IF(COUNTIF('Rookies 22-25'!$B$61:$B$125,E1096)&gt;0,"(R)","No")</f>
        <v>No</v>
      </c>
      <c r="D1096">
        <v>47</v>
      </c>
      <c r="E1096" t="s">
        <v>86</v>
      </c>
      <c r="F1096" t="s">
        <v>510</v>
      </c>
      <c r="G1096">
        <f>VLOOKUP(E1096,'22 Draft ADP'!$B$2:$D$510,3,FALSE)</f>
        <v>255</v>
      </c>
      <c r="H1096">
        <v>13</v>
      </c>
      <c r="I1096">
        <v>6.3</v>
      </c>
      <c r="J1096">
        <v>0</v>
      </c>
      <c r="K1096">
        <v>6.5</v>
      </c>
      <c r="L1096">
        <v>0</v>
      </c>
      <c r="N1096">
        <v>8.1</v>
      </c>
      <c r="O1096">
        <v>1.4</v>
      </c>
      <c r="P1096">
        <v>4</v>
      </c>
      <c r="Q1096">
        <v>5.0999999999999996</v>
      </c>
      <c r="R1096" t="s">
        <v>22</v>
      </c>
      <c r="S1096">
        <v>8.5</v>
      </c>
      <c r="U1096">
        <v>2.6</v>
      </c>
      <c r="V1096">
        <v>0</v>
      </c>
      <c r="W1096">
        <v>4.4000000000000004</v>
      </c>
      <c r="X1096">
        <v>5.0999999999999996</v>
      </c>
      <c r="AA1096">
        <v>4</v>
      </c>
      <c r="AB1096">
        <f t="shared" si="34"/>
        <v>52</v>
      </c>
      <c r="AC1096">
        <v>52</v>
      </c>
      <c r="AE1096">
        <f t="shared" si="35"/>
        <v>0</v>
      </c>
    </row>
    <row r="1097" spans="1:31" x14ac:dyDescent="0.25">
      <c r="A1097">
        <v>2022</v>
      </c>
      <c r="B1097" t="s">
        <v>19</v>
      </c>
      <c r="C1097" t="str">
        <f>IF(COUNTIF('Rookies 22-25'!$B$61:$B$125,E1097)&gt;0,"(R)","No")</f>
        <v>(R)</v>
      </c>
      <c r="D1097">
        <v>48</v>
      </c>
      <c r="E1097" t="s">
        <v>29</v>
      </c>
      <c r="F1097" t="s">
        <v>30</v>
      </c>
      <c r="G1097">
        <f>VLOOKUP(E1097,'22 Draft ADP'!$B$2:$D$510,3,FALSE)</f>
        <v>305</v>
      </c>
      <c r="H1097">
        <v>13</v>
      </c>
      <c r="I1097">
        <v>0</v>
      </c>
      <c r="J1097">
        <v>0</v>
      </c>
      <c r="K1097">
        <v>3.3</v>
      </c>
      <c r="L1097">
        <v>1.7</v>
      </c>
      <c r="N1097">
        <v>14</v>
      </c>
      <c r="O1097">
        <v>1.7</v>
      </c>
      <c r="P1097">
        <v>7.1</v>
      </c>
      <c r="Q1097" t="s">
        <v>22</v>
      </c>
      <c r="S1097">
        <v>3.5</v>
      </c>
      <c r="T1097">
        <v>8.6999999999999993</v>
      </c>
      <c r="U1097">
        <v>1.9</v>
      </c>
      <c r="X1097">
        <v>3.4</v>
      </c>
      <c r="Y1097">
        <v>1.7</v>
      </c>
      <c r="Z1097">
        <v>1.4</v>
      </c>
      <c r="AA1097">
        <v>3.7</v>
      </c>
      <c r="AB1097">
        <f t="shared" si="34"/>
        <v>47</v>
      </c>
      <c r="AC1097">
        <v>48.4</v>
      </c>
      <c r="AE1097">
        <f t="shared" si="35"/>
        <v>1</v>
      </c>
    </row>
    <row r="1098" spans="1:31" x14ac:dyDescent="0.25">
      <c r="A1098">
        <v>2022</v>
      </c>
      <c r="B1098" t="s">
        <v>220</v>
      </c>
      <c r="C1098" t="str">
        <f>IF(COUNTIF('Rookies 22-25'!$B$61:$B$125,E1098)&gt;0,"(R)","No")</f>
        <v>No</v>
      </c>
      <c r="D1098">
        <v>1</v>
      </c>
      <c r="E1098" t="s">
        <v>321</v>
      </c>
      <c r="F1098" t="s">
        <v>51</v>
      </c>
      <c r="G1098">
        <f>VLOOKUP(E1098,'22 Draft ADP'!$B$2:$D$510,3,FALSE)</f>
        <v>5</v>
      </c>
      <c r="H1098">
        <v>17</v>
      </c>
      <c r="I1098">
        <v>11.2</v>
      </c>
      <c r="J1098">
        <v>18.399999999999999</v>
      </c>
      <c r="K1098">
        <v>13.3</v>
      </c>
      <c r="L1098">
        <v>34.9</v>
      </c>
      <c r="M1098">
        <v>35.9</v>
      </c>
      <c r="N1098">
        <v>24.3</v>
      </c>
      <c r="O1098">
        <v>36.700000000000003</v>
      </c>
      <c r="P1098" t="s">
        <v>22</v>
      </c>
      <c r="Q1098">
        <v>24.1</v>
      </c>
      <c r="R1098">
        <v>13.3</v>
      </c>
      <c r="S1098">
        <v>18</v>
      </c>
      <c r="T1098">
        <v>25</v>
      </c>
      <c r="U1098">
        <v>13.2</v>
      </c>
      <c r="V1098">
        <v>24.4</v>
      </c>
      <c r="W1098">
        <v>15</v>
      </c>
      <c r="X1098">
        <v>23.9</v>
      </c>
      <c r="Y1098">
        <v>32.1</v>
      </c>
      <c r="Z1098">
        <v>9</v>
      </c>
      <c r="AA1098">
        <v>21.9</v>
      </c>
      <c r="AB1098">
        <f t="shared" si="34"/>
        <v>363.7</v>
      </c>
      <c r="AC1098">
        <v>372.7</v>
      </c>
      <c r="AE1098">
        <f t="shared" si="35"/>
        <v>16</v>
      </c>
    </row>
    <row r="1099" spans="1:31" x14ac:dyDescent="0.25">
      <c r="A1099">
        <v>2022</v>
      </c>
      <c r="B1099" t="s">
        <v>220</v>
      </c>
      <c r="C1099" t="str">
        <f>IF(COUNTIF('Rookies 22-25'!$B$61:$B$125,E1099)&gt;0,"(R)","No")</f>
        <v>No</v>
      </c>
      <c r="D1099">
        <v>2</v>
      </c>
      <c r="E1099" t="s">
        <v>221</v>
      </c>
      <c r="F1099" t="s">
        <v>47</v>
      </c>
      <c r="G1099">
        <f>VLOOKUP(E1099,'22 Draft ADP'!$B$2:$D$510,3,FALSE)</f>
        <v>2</v>
      </c>
      <c r="H1099">
        <v>17</v>
      </c>
      <c r="I1099">
        <v>15.7</v>
      </c>
      <c r="J1099">
        <v>16.8</v>
      </c>
      <c r="K1099">
        <v>13.5</v>
      </c>
      <c r="L1099">
        <v>25.8</v>
      </c>
      <c r="M1099">
        <v>23.4</v>
      </c>
      <c r="N1099">
        <v>22.8</v>
      </c>
      <c r="O1099">
        <v>8.1999999999999993</v>
      </c>
      <c r="P1099">
        <v>40.299999999999997</v>
      </c>
      <c r="Q1099" t="s">
        <v>22</v>
      </c>
      <c r="R1099">
        <v>17.7</v>
      </c>
      <c r="S1099">
        <v>17.600000000000001</v>
      </c>
      <c r="T1099">
        <v>8.9</v>
      </c>
      <c r="U1099">
        <v>28.6</v>
      </c>
      <c r="V1099">
        <v>29.3</v>
      </c>
      <c r="W1099">
        <v>25.8</v>
      </c>
      <c r="X1099">
        <v>13.8</v>
      </c>
      <c r="Y1099">
        <v>31.3</v>
      </c>
      <c r="Z1099">
        <v>16.899999999999999</v>
      </c>
      <c r="AA1099">
        <v>21</v>
      </c>
      <c r="AB1099">
        <f t="shared" si="34"/>
        <v>339.5</v>
      </c>
      <c r="AC1099">
        <v>356.4</v>
      </c>
      <c r="AE1099">
        <f t="shared" si="35"/>
        <v>14</v>
      </c>
    </row>
    <row r="1100" spans="1:31" x14ac:dyDescent="0.25">
      <c r="A1100">
        <v>2022</v>
      </c>
      <c r="B1100" t="s">
        <v>220</v>
      </c>
      <c r="C1100" t="str">
        <f>IF(COUNTIF('Rookies 22-25'!$B$61:$B$125,E1100)&gt;0,"(R)","No")</f>
        <v>No</v>
      </c>
      <c r="D1100">
        <v>3</v>
      </c>
      <c r="E1100" t="s">
        <v>233</v>
      </c>
      <c r="F1100" t="s">
        <v>43</v>
      </c>
      <c r="G1100">
        <f>VLOOKUP(E1100,'22 Draft ADP'!$B$2:$D$510,3,FALSE)</f>
        <v>70</v>
      </c>
      <c r="H1100">
        <v>17</v>
      </c>
      <c r="I1100">
        <v>8.3000000000000007</v>
      </c>
      <c r="J1100">
        <v>9.1</v>
      </c>
      <c r="K1100">
        <v>14.7</v>
      </c>
      <c r="L1100">
        <v>34.5</v>
      </c>
      <c r="M1100">
        <v>30.3</v>
      </c>
      <c r="N1100" t="s">
        <v>22</v>
      </c>
      <c r="O1100">
        <v>36.5</v>
      </c>
      <c r="P1100">
        <v>7.4</v>
      </c>
      <c r="Q1100">
        <v>11.7</v>
      </c>
      <c r="R1100">
        <v>22.6</v>
      </c>
      <c r="S1100">
        <v>19</v>
      </c>
      <c r="T1100">
        <v>48.3</v>
      </c>
      <c r="U1100">
        <v>21</v>
      </c>
      <c r="V1100">
        <v>19.399999999999999</v>
      </c>
      <c r="W1100">
        <v>13</v>
      </c>
      <c r="X1100">
        <v>6</v>
      </c>
      <c r="Y1100">
        <v>19.5</v>
      </c>
      <c r="Z1100">
        <v>7</v>
      </c>
      <c r="AA1100">
        <v>19.3</v>
      </c>
      <c r="AB1100">
        <f t="shared" si="34"/>
        <v>321.3</v>
      </c>
      <c r="AC1100">
        <v>328.3</v>
      </c>
      <c r="AE1100">
        <f t="shared" si="35"/>
        <v>12</v>
      </c>
    </row>
    <row r="1101" spans="1:31" x14ac:dyDescent="0.25">
      <c r="A1101">
        <v>2022</v>
      </c>
      <c r="B1101" t="s">
        <v>220</v>
      </c>
      <c r="C1101" t="str">
        <f>IF(COUNTIF('Rookies 22-25'!$B$61:$B$125,E1101)&gt;0,"(R)","No")</f>
        <v>No</v>
      </c>
      <c r="D1101">
        <v>4</v>
      </c>
      <c r="E1101" t="s">
        <v>228</v>
      </c>
      <c r="F1101" t="s">
        <v>63</v>
      </c>
      <c r="G1101">
        <f>VLOOKUP(E1101,'22 Draft ADP'!$B$2:$D$510,3,FALSE)</f>
        <v>9</v>
      </c>
      <c r="H1101">
        <v>16</v>
      </c>
      <c r="I1101">
        <v>8.1999999999999993</v>
      </c>
      <c r="J1101">
        <v>8.5</v>
      </c>
      <c r="K1101">
        <v>25.3</v>
      </c>
      <c r="L1101">
        <v>23.7</v>
      </c>
      <c r="M1101">
        <v>27.2</v>
      </c>
      <c r="N1101" t="s">
        <v>22</v>
      </c>
      <c r="O1101">
        <v>16.8</v>
      </c>
      <c r="P1101">
        <v>35.799999999999997</v>
      </c>
      <c r="Q1101">
        <v>23.5</v>
      </c>
      <c r="R1101">
        <v>8.6999999999999993</v>
      </c>
      <c r="S1101">
        <v>25.4</v>
      </c>
      <c r="T1101">
        <v>14.7</v>
      </c>
      <c r="U1101">
        <v>5.8</v>
      </c>
      <c r="V1101">
        <v>20.5</v>
      </c>
      <c r="W1101">
        <v>26.3</v>
      </c>
      <c r="X1101">
        <v>18.600000000000001</v>
      </c>
      <c r="Z1101">
        <v>13.8</v>
      </c>
      <c r="AA1101">
        <v>18.899999999999999</v>
      </c>
      <c r="AB1101">
        <f t="shared" si="34"/>
        <v>289</v>
      </c>
      <c r="AC1101">
        <v>302.8</v>
      </c>
      <c r="AE1101">
        <f t="shared" si="35"/>
        <v>11</v>
      </c>
    </row>
    <row r="1102" spans="1:31" x14ac:dyDescent="0.25">
      <c r="A1102">
        <v>2022</v>
      </c>
      <c r="B1102" t="s">
        <v>220</v>
      </c>
      <c r="C1102" t="str">
        <f>IF(COUNTIF('Rookies 22-25'!$B$61:$B$125,E1102)&gt;0,"(R)","No")</f>
        <v>No</v>
      </c>
      <c r="D1102">
        <v>5</v>
      </c>
      <c r="E1102" t="s">
        <v>234</v>
      </c>
      <c r="F1102" t="s">
        <v>57</v>
      </c>
      <c r="G1102">
        <f>VLOOKUP(E1102,'22 Draft ADP'!$B$2:$D$510,3,FALSE)</f>
        <v>15</v>
      </c>
      <c r="H1102">
        <v>16</v>
      </c>
      <c r="I1102">
        <v>33.4</v>
      </c>
      <c r="J1102">
        <v>11.8</v>
      </c>
      <c r="K1102">
        <v>22.6</v>
      </c>
      <c r="L1102">
        <v>18.2</v>
      </c>
      <c r="M1102">
        <v>19.600000000000001</v>
      </c>
      <c r="N1102">
        <v>18.5</v>
      </c>
      <c r="O1102">
        <v>17.5</v>
      </c>
      <c r="P1102">
        <v>15.2</v>
      </c>
      <c r="Q1102" t="s">
        <v>22</v>
      </c>
      <c r="R1102">
        <v>23</v>
      </c>
      <c r="S1102">
        <v>5.5</v>
      </c>
      <c r="T1102">
        <v>15.2</v>
      </c>
      <c r="U1102">
        <v>19.100000000000001</v>
      </c>
      <c r="V1102">
        <v>6.8</v>
      </c>
      <c r="W1102">
        <v>23</v>
      </c>
      <c r="X1102">
        <v>27.3</v>
      </c>
      <c r="Y1102">
        <v>7.3</v>
      </c>
      <c r="AA1102">
        <v>17.8</v>
      </c>
      <c r="AB1102">
        <f t="shared" si="34"/>
        <v>284</v>
      </c>
      <c r="AC1102">
        <v>284</v>
      </c>
      <c r="AE1102">
        <f t="shared" si="35"/>
        <v>13</v>
      </c>
    </row>
    <row r="1103" spans="1:31" x14ac:dyDescent="0.25">
      <c r="A1103">
        <v>2022</v>
      </c>
      <c r="B1103" t="s">
        <v>220</v>
      </c>
      <c r="C1103" t="str">
        <f>IF(COUNTIF('Rookies 22-25'!$B$61:$B$125,E1103)&gt;0,"(R)","No")</f>
        <v>No</v>
      </c>
      <c r="D1103">
        <v>6</v>
      </c>
      <c r="E1103" t="s">
        <v>274</v>
      </c>
      <c r="F1103" t="s">
        <v>32</v>
      </c>
      <c r="G1103">
        <f>VLOOKUP(E1103,'22 Draft ADP'!$B$2:$D$510,3,FALSE)</f>
        <v>25</v>
      </c>
      <c r="H1103">
        <v>17</v>
      </c>
      <c r="I1103">
        <v>15.3</v>
      </c>
      <c r="J1103">
        <v>32.299999999999997</v>
      </c>
      <c r="K1103">
        <v>17.3</v>
      </c>
      <c r="L1103">
        <v>20.7</v>
      </c>
      <c r="M1103">
        <v>25.4</v>
      </c>
      <c r="N1103">
        <v>8</v>
      </c>
      <c r="O1103">
        <v>18.7</v>
      </c>
      <c r="P1103">
        <v>25.4</v>
      </c>
      <c r="Q1103" t="s">
        <v>22</v>
      </c>
      <c r="R1103">
        <v>15.1</v>
      </c>
      <c r="S1103">
        <v>9.6999999999999993</v>
      </c>
      <c r="T1103">
        <v>20.2</v>
      </c>
      <c r="U1103">
        <v>8</v>
      </c>
      <c r="V1103">
        <v>8.4</v>
      </c>
      <c r="W1103">
        <v>9.9</v>
      </c>
      <c r="X1103">
        <v>11.2</v>
      </c>
      <c r="Y1103">
        <v>12.6</v>
      </c>
      <c r="Z1103">
        <v>23.2</v>
      </c>
      <c r="AA1103">
        <v>16.600000000000001</v>
      </c>
      <c r="AB1103">
        <f t="shared" si="34"/>
        <v>258.2</v>
      </c>
      <c r="AC1103">
        <v>281.39999999999998</v>
      </c>
      <c r="AE1103">
        <f t="shared" si="35"/>
        <v>11</v>
      </c>
    </row>
    <row r="1104" spans="1:31" x14ac:dyDescent="0.25">
      <c r="A1104">
        <v>2022</v>
      </c>
      <c r="B1104" t="s">
        <v>220</v>
      </c>
      <c r="C1104" t="str">
        <f>IF(COUNTIF('Rookies 22-25'!$B$61:$B$125,E1104)&gt;0,"(R)","No")</f>
        <v>No</v>
      </c>
      <c r="D1104">
        <v>7</v>
      </c>
      <c r="E1104" t="s">
        <v>245</v>
      </c>
      <c r="F1104" t="s">
        <v>510</v>
      </c>
      <c r="G1104">
        <f>VLOOKUP(E1104,'22 Draft ADP'!$B$2:$D$510,3,FALSE)</f>
        <v>78</v>
      </c>
      <c r="H1104">
        <v>17</v>
      </c>
      <c r="I1104">
        <v>4.7</v>
      </c>
      <c r="J1104">
        <v>6.1</v>
      </c>
      <c r="K1104">
        <v>20.100000000000001</v>
      </c>
      <c r="L1104">
        <v>12.9</v>
      </c>
      <c r="M1104">
        <v>19.5</v>
      </c>
      <c r="N1104">
        <v>25.1</v>
      </c>
      <c r="O1104">
        <v>23.8</v>
      </c>
      <c r="P1104">
        <v>21.3</v>
      </c>
      <c r="Q1104">
        <v>16</v>
      </c>
      <c r="R1104" t="s">
        <v>22</v>
      </c>
      <c r="S1104">
        <v>14.2</v>
      </c>
      <c r="T1104">
        <v>20.2</v>
      </c>
      <c r="U1104">
        <v>13.8</v>
      </c>
      <c r="V1104">
        <v>3</v>
      </c>
      <c r="W1104">
        <v>24.8</v>
      </c>
      <c r="X1104">
        <v>3.3</v>
      </c>
      <c r="Y1104">
        <v>7.1</v>
      </c>
      <c r="Z1104">
        <v>13.2</v>
      </c>
      <c r="AA1104">
        <v>14.7</v>
      </c>
      <c r="AB1104">
        <f t="shared" si="34"/>
        <v>235.9</v>
      </c>
      <c r="AC1104">
        <v>249.1</v>
      </c>
      <c r="AE1104">
        <f t="shared" si="35"/>
        <v>11</v>
      </c>
    </row>
    <row r="1105" spans="1:31" x14ac:dyDescent="0.25">
      <c r="A1105">
        <v>2022</v>
      </c>
      <c r="B1105" t="s">
        <v>220</v>
      </c>
      <c r="C1105" t="str">
        <f>IF(COUNTIF('Rookies 22-25'!$B$61:$B$125,E1105)&gt;0,"(R)","No")</f>
        <v>No</v>
      </c>
      <c r="D1105">
        <v>8</v>
      </c>
      <c r="E1105" t="s">
        <v>243</v>
      </c>
      <c r="F1105" t="s">
        <v>30</v>
      </c>
      <c r="G1105">
        <f>VLOOKUP(E1105,'22 Draft ADP'!$B$2:$D$510,3,FALSE)</f>
        <v>82</v>
      </c>
      <c r="H1105">
        <v>16</v>
      </c>
      <c r="I1105">
        <v>4.2</v>
      </c>
      <c r="J1105">
        <v>19.8</v>
      </c>
      <c r="K1105">
        <v>10.5</v>
      </c>
      <c r="L1105">
        <v>1.8</v>
      </c>
      <c r="M1105">
        <v>14.6</v>
      </c>
      <c r="N1105">
        <v>7.2</v>
      </c>
      <c r="O1105">
        <v>12.9</v>
      </c>
      <c r="P1105">
        <v>33.700000000000003</v>
      </c>
      <c r="Q1105" t="s">
        <v>22</v>
      </c>
      <c r="R1105">
        <v>21.8</v>
      </c>
      <c r="S1105">
        <v>36.9</v>
      </c>
      <c r="T1105">
        <v>8.1</v>
      </c>
      <c r="U1105">
        <v>24.6</v>
      </c>
      <c r="V1105">
        <v>22.2</v>
      </c>
      <c r="W1105">
        <v>14.6</v>
      </c>
      <c r="X1105">
        <v>14</v>
      </c>
      <c r="Z1105">
        <v>1.9</v>
      </c>
      <c r="AA1105">
        <v>15.5</v>
      </c>
      <c r="AB1105">
        <f t="shared" si="34"/>
        <v>246.9</v>
      </c>
      <c r="AC1105">
        <v>248.8</v>
      </c>
      <c r="AE1105">
        <f t="shared" si="35"/>
        <v>11</v>
      </c>
    </row>
    <row r="1106" spans="1:31" x14ac:dyDescent="0.25">
      <c r="A1106">
        <v>2022</v>
      </c>
      <c r="B1106" t="s">
        <v>220</v>
      </c>
      <c r="C1106" t="str">
        <f>IF(COUNTIF('Rookies 22-25'!$B$61:$B$125,E1106)&gt;0,"(R)","No")</f>
        <v>No</v>
      </c>
      <c r="D1106">
        <v>9</v>
      </c>
      <c r="E1106" t="s">
        <v>261</v>
      </c>
      <c r="F1106" t="s">
        <v>69</v>
      </c>
      <c r="G1106">
        <f>VLOOKUP(E1106,'22 Draft ADP'!$B$2:$D$510,3,FALSE)</f>
        <v>20</v>
      </c>
      <c r="H1106">
        <v>17</v>
      </c>
      <c r="I1106">
        <v>10.6</v>
      </c>
      <c r="J1106">
        <v>32</v>
      </c>
      <c r="K1106">
        <v>5.7</v>
      </c>
      <c r="L1106">
        <v>14.5</v>
      </c>
      <c r="M1106">
        <v>10</v>
      </c>
      <c r="N1106">
        <v>7.4</v>
      </c>
      <c r="O1106">
        <v>28.6</v>
      </c>
      <c r="P1106">
        <v>19.7</v>
      </c>
      <c r="Q1106">
        <v>6.5</v>
      </c>
      <c r="R1106">
        <v>23.6</v>
      </c>
      <c r="S1106">
        <v>14</v>
      </c>
      <c r="T1106">
        <v>18.899999999999999</v>
      </c>
      <c r="U1106">
        <v>10</v>
      </c>
      <c r="V1106" t="s">
        <v>22</v>
      </c>
      <c r="W1106">
        <v>20.6</v>
      </c>
      <c r="X1106">
        <v>5.4</v>
      </c>
      <c r="Y1106">
        <v>13.3</v>
      </c>
      <c r="Z1106">
        <v>7.8</v>
      </c>
      <c r="AA1106">
        <v>14.6</v>
      </c>
      <c r="AB1106">
        <f t="shared" si="34"/>
        <v>240.79999999999998</v>
      </c>
      <c r="AC1106">
        <v>248.6</v>
      </c>
      <c r="AE1106">
        <f t="shared" si="35"/>
        <v>10</v>
      </c>
    </row>
    <row r="1107" spans="1:31" x14ac:dyDescent="0.25">
      <c r="A1107">
        <v>2022</v>
      </c>
      <c r="B1107" t="s">
        <v>220</v>
      </c>
      <c r="C1107" t="str">
        <f>IF(COUNTIF('Rookies 22-25'!$B$61:$B$125,E1107)&gt;0,"(R)","No")</f>
        <v>No</v>
      </c>
      <c r="D1107">
        <v>10</v>
      </c>
      <c r="E1107" t="s">
        <v>389</v>
      </c>
      <c r="F1107" t="s">
        <v>89</v>
      </c>
      <c r="G1107">
        <f>VLOOKUP(E1107,'22 Draft ADP'!$B$2:$D$510,3,FALSE)</f>
        <v>12</v>
      </c>
      <c r="H1107">
        <v>15</v>
      </c>
      <c r="I1107">
        <v>21.5</v>
      </c>
      <c r="J1107">
        <v>11.3</v>
      </c>
      <c r="K1107">
        <v>6.8</v>
      </c>
      <c r="L1107">
        <v>17.399999999999999</v>
      </c>
      <c r="M1107">
        <v>11.8</v>
      </c>
      <c r="N1107">
        <v>16.8</v>
      </c>
      <c r="O1107">
        <v>18.100000000000001</v>
      </c>
      <c r="P1107">
        <v>12.9</v>
      </c>
      <c r="Q1107">
        <v>55.1</v>
      </c>
      <c r="R1107" t="s">
        <v>22</v>
      </c>
      <c r="S1107">
        <v>9.1999999999999993</v>
      </c>
      <c r="V1107">
        <v>12.6</v>
      </c>
      <c r="W1107">
        <v>10.4</v>
      </c>
      <c r="X1107">
        <v>17.8</v>
      </c>
      <c r="Y1107">
        <v>1.2</v>
      </c>
      <c r="Z1107">
        <v>17.8</v>
      </c>
      <c r="AA1107">
        <v>16</v>
      </c>
      <c r="AB1107">
        <f t="shared" si="34"/>
        <v>222.89999999999998</v>
      </c>
      <c r="AC1107">
        <v>240.7</v>
      </c>
      <c r="AE1107">
        <f t="shared" si="35"/>
        <v>11</v>
      </c>
    </row>
    <row r="1108" spans="1:31" x14ac:dyDescent="0.25">
      <c r="A1108">
        <v>2022</v>
      </c>
      <c r="B1108" t="s">
        <v>220</v>
      </c>
      <c r="C1108" t="str">
        <f>IF(COUNTIF('Rookies 22-25'!$B$61:$B$125,E1108)&gt;0,"(R)","No")</f>
        <v>No</v>
      </c>
      <c r="D1108">
        <v>11</v>
      </c>
      <c r="E1108" t="s">
        <v>500</v>
      </c>
      <c r="F1108" t="s">
        <v>73</v>
      </c>
      <c r="G1108">
        <f>VLOOKUP(E1108,'22 Draft ADP'!$B$2:$D$510,3,FALSE)</f>
        <v>7</v>
      </c>
      <c r="H1108">
        <v>17</v>
      </c>
      <c r="I1108">
        <v>13.8</v>
      </c>
      <c r="J1108">
        <v>7.6</v>
      </c>
      <c r="K1108">
        <v>13.6</v>
      </c>
      <c r="L1108">
        <v>10.6</v>
      </c>
      <c r="M1108">
        <v>26.1</v>
      </c>
      <c r="N1108">
        <v>15.3</v>
      </c>
      <c r="O1108" t="s">
        <v>22</v>
      </c>
      <c r="P1108">
        <v>25.1</v>
      </c>
      <c r="Q1108">
        <v>13.6</v>
      </c>
      <c r="R1108">
        <v>23.6</v>
      </c>
      <c r="S1108">
        <v>7.2</v>
      </c>
      <c r="T1108">
        <v>9.6</v>
      </c>
      <c r="U1108">
        <v>16.3</v>
      </c>
      <c r="V1108">
        <v>8.6</v>
      </c>
      <c r="W1108">
        <v>27</v>
      </c>
      <c r="X1108">
        <v>10.7</v>
      </c>
      <c r="Y1108">
        <v>6.4</v>
      </c>
      <c r="Z1108">
        <v>2.7</v>
      </c>
      <c r="AA1108">
        <v>14</v>
      </c>
      <c r="AB1108">
        <f t="shared" si="34"/>
        <v>235.10000000000002</v>
      </c>
      <c r="AC1108">
        <v>237.8</v>
      </c>
      <c r="AE1108">
        <f t="shared" si="35"/>
        <v>11</v>
      </c>
    </row>
    <row r="1109" spans="1:31" x14ac:dyDescent="0.25">
      <c r="A1109">
        <v>2022</v>
      </c>
      <c r="B1109" t="s">
        <v>220</v>
      </c>
      <c r="C1109" t="str">
        <f>IF(COUNTIF('Rookies 22-25'!$B$61:$B$125,E1109)&gt;0,"(R)","No")</f>
        <v>No</v>
      </c>
      <c r="D1109">
        <v>12</v>
      </c>
      <c r="E1109" t="s">
        <v>701</v>
      </c>
      <c r="F1109" t="s">
        <v>65</v>
      </c>
      <c r="G1109">
        <f>VLOOKUP(E1109,'22 Draft ADP'!$B$2:$D$510,3,FALSE)</f>
        <v>23</v>
      </c>
      <c r="H1109">
        <v>16</v>
      </c>
      <c r="I1109">
        <v>15.7</v>
      </c>
      <c r="J1109">
        <v>9.4</v>
      </c>
      <c r="K1109">
        <v>12</v>
      </c>
      <c r="L1109">
        <v>18.399999999999999</v>
      </c>
      <c r="M1109">
        <v>35.9</v>
      </c>
      <c r="N1109">
        <v>22.1</v>
      </c>
      <c r="O1109">
        <v>4.5999999999999996</v>
      </c>
      <c r="P1109">
        <v>14.8</v>
      </c>
      <c r="Q1109">
        <v>11</v>
      </c>
      <c r="R1109">
        <v>11.8</v>
      </c>
      <c r="S1109" t="s">
        <v>22</v>
      </c>
      <c r="U1109">
        <v>14.1</v>
      </c>
      <c r="V1109">
        <v>10.6</v>
      </c>
      <c r="W1109">
        <v>11.4</v>
      </c>
      <c r="X1109">
        <v>25.2</v>
      </c>
      <c r="Y1109">
        <v>8.6999999999999993</v>
      </c>
      <c r="Z1109">
        <v>1.4</v>
      </c>
      <c r="AA1109">
        <v>14.2</v>
      </c>
      <c r="AB1109">
        <f t="shared" si="34"/>
        <v>225.7</v>
      </c>
      <c r="AC1109">
        <v>227.1</v>
      </c>
      <c r="AE1109">
        <f t="shared" si="35"/>
        <v>12</v>
      </c>
    </row>
    <row r="1110" spans="1:31" x14ac:dyDescent="0.25">
      <c r="A1110">
        <v>2022</v>
      </c>
      <c r="B1110" t="s">
        <v>220</v>
      </c>
      <c r="C1110" t="str">
        <f>IF(COUNTIF('Rookies 22-25'!$B$61:$B$125,E1110)&gt;0,"(R)","No")</f>
        <v>No</v>
      </c>
      <c r="D1110">
        <v>13</v>
      </c>
      <c r="E1110" t="s">
        <v>401</v>
      </c>
      <c r="F1110" t="s">
        <v>75</v>
      </c>
      <c r="G1110">
        <f>VLOOKUP(E1110,'22 Draft ADP'!$B$2:$D$510,3,FALSE)</f>
        <v>153</v>
      </c>
      <c r="H1110">
        <v>17</v>
      </c>
      <c r="I1110">
        <v>16</v>
      </c>
      <c r="J1110">
        <v>7</v>
      </c>
      <c r="K1110">
        <v>24.7</v>
      </c>
      <c r="L1110">
        <v>23.9</v>
      </c>
      <c r="M1110">
        <v>5.6</v>
      </c>
      <c r="N1110" t="s">
        <v>22</v>
      </c>
      <c r="O1110">
        <v>7.3</v>
      </c>
      <c r="P1110">
        <v>22.6</v>
      </c>
      <c r="Q1110">
        <v>10.1</v>
      </c>
      <c r="R1110">
        <v>11.9</v>
      </c>
      <c r="S1110">
        <v>24.4</v>
      </c>
      <c r="T1110">
        <v>10.6</v>
      </c>
      <c r="U1110">
        <v>9.5</v>
      </c>
      <c r="V1110">
        <v>3.7</v>
      </c>
      <c r="W1110">
        <v>3.3</v>
      </c>
      <c r="X1110">
        <v>3.4</v>
      </c>
      <c r="Y1110">
        <v>22.7</v>
      </c>
      <c r="Z1110">
        <v>19.2</v>
      </c>
      <c r="AA1110">
        <v>13.3</v>
      </c>
      <c r="AB1110">
        <f t="shared" si="34"/>
        <v>206.70000000000002</v>
      </c>
      <c r="AC1110">
        <v>225.9</v>
      </c>
      <c r="AE1110">
        <f t="shared" si="35"/>
        <v>9</v>
      </c>
    </row>
    <row r="1111" spans="1:31" x14ac:dyDescent="0.25">
      <c r="A1111">
        <v>2022</v>
      </c>
      <c r="B1111" t="s">
        <v>220</v>
      </c>
      <c r="C1111" t="str">
        <f>IF(COUNTIF('Rookies 22-25'!$B$61:$B$125,E1111)&gt;0,"(R)","No")</f>
        <v>No</v>
      </c>
      <c r="D1111">
        <v>14</v>
      </c>
      <c r="E1111" t="s">
        <v>323</v>
      </c>
      <c r="F1111" t="s">
        <v>71</v>
      </c>
      <c r="G1111">
        <f>VLOOKUP(E1111,'22 Draft ADP'!$B$2:$D$510,3,FALSE)</f>
        <v>8</v>
      </c>
      <c r="H1111">
        <v>17</v>
      </c>
      <c r="I1111">
        <v>10.6</v>
      </c>
      <c r="J1111">
        <v>13.9</v>
      </c>
      <c r="K1111">
        <v>13.1</v>
      </c>
      <c r="L1111">
        <v>7.4</v>
      </c>
      <c r="M1111">
        <v>6.6</v>
      </c>
      <c r="N1111">
        <v>12.9</v>
      </c>
      <c r="O1111">
        <v>11</v>
      </c>
      <c r="P1111">
        <v>12</v>
      </c>
      <c r="Q1111" t="s">
        <v>22</v>
      </c>
      <c r="R1111">
        <v>9.9</v>
      </c>
      <c r="S1111">
        <v>27.6</v>
      </c>
      <c r="T1111">
        <v>10.9</v>
      </c>
      <c r="U1111">
        <v>10.199999999999999</v>
      </c>
      <c r="V1111">
        <v>13</v>
      </c>
      <c r="W1111">
        <v>14.6</v>
      </c>
      <c r="X1111">
        <v>15.5</v>
      </c>
      <c r="Y1111">
        <v>20.3</v>
      </c>
      <c r="Z1111">
        <v>14</v>
      </c>
      <c r="AA1111">
        <v>13.1</v>
      </c>
      <c r="AB1111">
        <f t="shared" si="34"/>
        <v>209.5</v>
      </c>
      <c r="AC1111">
        <v>223.5</v>
      </c>
      <c r="AE1111">
        <f t="shared" si="35"/>
        <v>13</v>
      </c>
    </row>
    <row r="1112" spans="1:31" x14ac:dyDescent="0.25">
      <c r="A1112">
        <v>2022</v>
      </c>
      <c r="B1112" t="s">
        <v>220</v>
      </c>
      <c r="C1112" t="str">
        <f>IF(COUNTIF('Rookies 22-25'!$B$61:$B$125,E1112)&gt;0,"(R)","No")</f>
        <v>No</v>
      </c>
      <c r="D1112">
        <v>15</v>
      </c>
      <c r="E1112" t="s">
        <v>305</v>
      </c>
      <c r="F1112" t="s">
        <v>35</v>
      </c>
      <c r="G1112">
        <f>VLOOKUP(E1112,'22 Draft ADP'!$B$2:$D$510,3,FALSE)</f>
        <v>96</v>
      </c>
      <c r="H1112">
        <v>17</v>
      </c>
      <c r="I1112">
        <v>18.5</v>
      </c>
      <c r="J1112">
        <v>11.6</v>
      </c>
      <c r="K1112">
        <v>5.4</v>
      </c>
      <c r="L1112">
        <v>29.6</v>
      </c>
      <c r="M1112">
        <v>8.4</v>
      </c>
      <c r="N1112">
        <v>14.2</v>
      </c>
      <c r="O1112" t="s">
        <v>22</v>
      </c>
      <c r="P1112">
        <v>13.8</v>
      </c>
      <c r="Q1112">
        <v>15.3</v>
      </c>
      <c r="R1112">
        <v>5.4</v>
      </c>
      <c r="S1112">
        <v>5.8</v>
      </c>
      <c r="T1112">
        <v>31</v>
      </c>
      <c r="U1112">
        <v>11.8</v>
      </c>
      <c r="V1112">
        <v>28.5</v>
      </c>
      <c r="W1112">
        <v>1.9</v>
      </c>
      <c r="X1112">
        <v>6.1</v>
      </c>
      <c r="Y1112">
        <v>6.1</v>
      </c>
      <c r="Z1112">
        <v>3.3</v>
      </c>
      <c r="AA1112">
        <v>12.7</v>
      </c>
      <c r="AB1112">
        <f t="shared" si="34"/>
        <v>213.39999999999998</v>
      </c>
      <c r="AC1112">
        <v>216.7</v>
      </c>
      <c r="AE1112">
        <f t="shared" si="35"/>
        <v>9</v>
      </c>
    </row>
    <row r="1113" spans="1:31" x14ac:dyDescent="0.25">
      <c r="A1113">
        <v>2022</v>
      </c>
      <c r="B1113" t="s">
        <v>220</v>
      </c>
      <c r="C1113" t="str">
        <f>IF(COUNTIF('Rookies 22-25'!$B$61:$B$125,E1113)&gt;0,"(R)","No")</f>
        <v>No</v>
      </c>
      <c r="D1113">
        <v>16</v>
      </c>
      <c r="E1113" t="s">
        <v>266</v>
      </c>
      <c r="F1113" t="s">
        <v>37</v>
      </c>
      <c r="G1113">
        <f>VLOOKUP(E1113,'22 Draft ADP'!$B$2:$D$510,3,FALSE)</f>
        <v>16</v>
      </c>
      <c r="H1113">
        <v>15</v>
      </c>
      <c r="I1113">
        <v>7.6</v>
      </c>
      <c r="K1113">
        <v>7.3</v>
      </c>
      <c r="M1113">
        <v>23.4</v>
      </c>
      <c r="N1113">
        <v>18.399999999999999</v>
      </c>
      <c r="O1113">
        <v>17.5</v>
      </c>
      <c r="P1113">
        <v>42.8</v>
      </c>
      <c r="Q1113">
        <v>9.1999999999999993</v>
      </c>
      <c r="R1113">
        <v>7.5</v>
      </c>
      <c r="S1113">
        <v>12.9</v>
      </c>
      <c r="T1113">
        <v>7</v>
      </c>
      <c r="U1113">
        <v>5.7</v>
      </c>
      <c r="V1113" t="s">
        <v>22</v>
      </c>
      <c r="W1113">
        <v>12.4</v>
      </c>
      <c r="X1113">
        <v>19</v>
      </c>
      <c r="Y1113">
        <v>9</v>
      </c>
      <c r="Z1113">
        <v>12</v>
      </c>
      <c r="AA1113">
        <v>14.1</v>
      </c>
      <c r="AB1113">
        <f t="shared" si="34"/>
        <v>199.7</v>
      </c>
      <c r="AC1113">
        <v>211.7</v>
      </c>
      <c r="AE1113">
        <f t="shared" si="35"/>
        <v>7</v>
      </c>
    </row>
    <row r="1114" spans="1:31" x14ac:dyDescent="0.25">
      <c r="A1114">
        <v>2022</v>
      </c>
      <c r="B1114" t="s">
        <v>220</v>
      </c>
      <c r="C1114" t="str">
        <f>IF(COUNTIF('Rookies 22-25'!$B$61:$B$125,E1114)&gt;0,"(R)","No")</f>
        <v>No</v>
      </c>
      <c r="D1114">
        <v>17</v>
      </c>
      <c r="E1114" t="s">
        <v>1477</v>
      </c>
      <c r="F1114" t="s">
        <v>67</v>
      </c>
      <c r="G1114">
        <f>VLOOKUP(E1114,'22 Draft ADP'!$B$2:$D$510,3,FALSE)</f>
        <v>35</v>
      </c>
      <c r="H1114">
        <v>17</v>
      </c>
      <c r="I1114">
        <v>8.5</v>
      </c>
      <c r="J1114">
        <v>8.3000000000000007</v>
      </c>
      <c r="K1114">
        <v>10.5</v>
      </c>
      <c r="L1114">
        <v>3.2</v>
      </c>
      <c r="M1114">
        <v>14.4</v>
      </c>
      <c r="N1114">
        <v>12.8</v>
      </c>
      <c r="O1114">
        <v>18.899999999999999</v>
      </c>
      <c r="P1114">
        <v>25.2</v>
      </c>
      <c r="Q1114">
        <v>26.6</v>
      </c>
      <c r="R1114">
        <v>10.3</v>
      </c>
      <c r="S1114" t="s">
        <v>22</v>
      </c>
      <c r="T1114">
        <v>0.3</v>
      </c>
      <c r="U1114">
        <v>7.6</v>
      </c>
      <c r="V1114">
        <v>3.2</v>
      </c>
      <c r="W1114">
        <v>14.7</v>
      </c>
      <c r="X1114">
        <v>14.2</v>
      </c>
      <c r="Y1114">
        <v>23</v>
      </c>
      <c r="Z1114">
        <v>5.4</v>
      </c>
      <c r="AA1114">
        <v>12.2</v>
      </c>
      <c r="AB1114">
        <f t="shared" si="34"/>
        <v>201.7</v>
      </c>
      <c r="AC1114">
        <v>207.1</v>
      </c>
      <c r="AE1114">
        <f t="shared" si="35"/>
        <v>10</v>
      </c>
    </row>
    <row r="1115" spans="1:31" x14ac:dyDescent="0.25">
      <c r="A1115">
        <v>2022</v>
      </c>
      <c r="B1115" t="s">
        <v>220</v>
      </c>
      <c r="C1115" t="str">
        <f>IF(COUNTIF('Rookies 22-25'!$B$61:$B$125,E1115)&gt;0,"(R)","No")</f>
        <v>No</v>
      </c>
      <c r="D1115">
        <v>18</v>
      </c>
      <c r="E1115" t="s">
        <v>1482</v>
      </c>
      <c r="F1115" t="s">
        <v>49</v>
      </c>
      <c r="G1115">
        <f>VLOOKUP(E1115,'22 Draft ADP'!$B$2:$D$510,3,FALSE)</f>
        <v>112</v>
      </c>
      <c r="H1115">
        <v>15</v>
      </c>
      <c r="J1115">
        <v>3.5</v>
      </c>
      <c r="K1115">
        <v>6.3</v>
      </c>
      <c r="L1115">
        <v>3.4</v>
      </c>
      <c r="M1115">
        <v>14.8</v>
      </c>
      <c r="N1115">
        <v>19</v>
      </c>
      <c r="O1115">
        <v>28.7</v>
      </c>
      <c r="P1115">
        <v>12.2</v>
      </c>
      <c r="Q1115">
        <v>27.9</v>
      </c>
      <c r="R1115">
        <v>13.2</v>
      </c>
      <c r="S1115" t="s">
        <v>22</v>
      </c>
      <c r="T1115">
        <v>16.899999999999999</v>
      </c>
      <c r="U1115">
        <v>3.6</v>
      </c>
      <c r="W1115">
        <v>11.9</v>
      </c>
      <c r="X1115">
        <v>12.5</v>
      </c>
      <c r="Y1115">
        <v>15.2</v>
      </c>
      <c r="Z1115">
        <v>13.4</v>
      </c>
      <c r="AA1115">
        <v>13.5</v>
      </c>
      <c r="AB1115">
        <f t="shared" si="34"/>
        <v>189.1</v>
      </c>
      <c r="AC1115">
        <v>202.5</v>
      </c>
      <c r="AE1115">
        <f t="shared" si="35"/>
        <v>10</v>
      </c>
    </row>
    <row r="1116" spans="1:31" x14ac:dyDescent="0.25">
      <c r="A1116">
        <v>2022</v>
      </c>
      <c r="B1116" t="s">
        <v>220</v>
      </c>
      <c r="C1116" t="str">
        <f>IF(COUNTIF('Rookies 22-25'!$B$61:$B$125,E1116)&gt;0,"(R)","No")</f>
        <v>No</v>
      </c>
      <c r="D1116">
        <v>19</v>
      </c>
      <c r="E1116" t="s">
        <v>299</v>
      </c>
      <c r="F1116" t="s">
        <v>21</v>
      </c>
      <c r="G1116">
        <f>VLOOKUP(E1116,'22 Draft ADP'!$B$2:$D$510,3,FALSE)</f>
        <v>32</v>
      </c>
      <c r="H1116">
        <v>13</v>
      </c>
      <c r="I1116">
        <v>16.5</v>
      </c>
      <c r="J1116">
        <v>7.1</v>
      </c>
      <c r="K1116">
        <v>8.6999999999999993</v>
      </c>
      <c r="L1116">
        <v>10.7</v>
      </c>
      <c r="M1116">
        <v>7.3</v>
      </c>
      <c r="Q1116">
        <v>11.4</v>
      </c>
      <c r="R1116">
        <v>23.6</v>
      </c>
      <c r="S1116">
        <v>13.4</v>
      </c>
      <c r="T1116">
        <v>21</v>
      </c>
      <c r="U1116" t="s">
        <v>22</v>
      </c>
      <c r="V1116">
        <v>23.4</v>
      </c>
      <c r="W1116">
        <v>18.100000000000001</v>
      </c>
      <c r="X1116">
        <v>25</v>
      </c>
      <c r="Y1116">
        <v>14</v>
      </c>
      <c r="AA1116">
        <v>15.4</v>
      </c>
      <c r="AB1116">
        <f t="shared" si="34"/>
        <v>200.2</v>
      </c>
      <c r="AC1116">
        <v>200.2</v>
      </c>
      <c r="AE1116">
        <f t="shared" si="35"/>
        <v>10</v>
      </c>
    </row>
    <row r="1117" spans="1:31" x14ac:dyDescent="0.25">
      <c r="A1117">
        <v>2022</v>
      </c>
      <c r="B1117" t="s">
        <v>220</v>
      </c>
      <c r="C1117" t="str">
        <f>IF(COUNTIF('Rookies 22-25'!$B$61:$B$125,E1117)&gt;0,"(R)","No")</f>
        <v>No</v>
      </c>
      <c r="D1117">
        <v>20</v>
      </c>
      <c r="E1117" t="s">
        <v>490</v>
      </c>
      <c r="F1117" t="s">
        <v>26</v>
      </c>
      <c r="G1117">
        <f>VLOOKUP(E1117,'22 Draft ADP'!$B$2:$D$510,3,FALSE)</f>
        <v>188</v>
      </c>
      <c r="H1117">
        <v>17</v>
      </c>
      <c r="I1117">
        <v>7.9</v>
      </c>
      <c r="J1117">
        <v>9.6</v>
      </c>
      <c r="K1117">
        <v>2</v>
      </c>
      <c r="L1117">
        <v>1</v>
      </c>
      <c r="M1117">
        <v>9.1999999999999993</v>
      </c>
      <c r="N1117">
        <v>6</v>
      </c>
      <c r="O1117">
        <v>6.8</v>
      </c>
      <c r="P1117" t="s">
        <v>22</v>
      </c>
      <c r="Q1117">
        <v>10.4</v>
      </c>
      <c r="R1117">
        <v>11.8</v>
      </c>
      <c r="S1117">
        <v>1.4</v>
      </c>
      <c r="T1117">
        <v>5.6</v>
      </c>
      <c r="U1117">
        <v>14</v>
      </c>
      <c r="V1117">
        <v>32.4</v>
      </c>
      <c r="W1117">
        <v>34.200000000000003</v>
      </c>
      <c r="X1117">
        <v>12.8</v>
      </c>
      <c r="Y1117">
        <v>22.6</v>
      </c>
      <c r="Z1117">
        <v>8.6</v>
      </c>
      <c r="AA1117">
        <v>11.5</v>
      </c>
      <c r="AB1117">
        <f t="shared" si="34"/>
        <v>187.70000000000002</v>
      </c>
      <c r="AC1117">
        <v>196.3</v>
      </c>
      <c r="AE1117">
        <f t="shared" si="35"/>
        <v>7</v>
      </c>
    </row>
    <row r="1118" spans="1:31" x14ac:dyDescent="0.25">
      <c r="A1118">
        <v>2022</v>
      </c>
      <c r="B1118" t="s">
        <v>220</v>
      </c>
      <c r="C1118" t="str">
        <f>IF(COUNTIF('Rookies 22-25'!$B$61:$B$125,E1118)&gt;0,"(R)","No")</f>
        <v>No</v>
      </c>
      <c r="D1118">
        <v>21</v>
      </c>
      <c r="E1118" t="s">
        <v>235</v>
      </c>
      <c r="F1118" t="s">
        <v>75</v>
      </c>
      <c r="G1118">
        <f>VLOOKUP(E1118,'22 Draft ADP'!$B$2:$D$510,3,FALSE)</f>
        <v>14</v>
      </c>
      <c r="H1118">
        <v>14</v>
      </c>
      <c r="I1118">
        <v>26.5</v>
      </c>
      <c r="J1118">
        <v>16.7</v>
      </c>
      <c r="K1118">
        <v>7.6</v>
      </c>
      <c r="N1118" t="s">
        <v>22</v>
      </c>
      <c r="P1118">
        <v>14.3</v>
      </c>
      <c r="Q1118">
        <v>8</v>
      </c>
      <c r="R1118">
        <v>8.1999999999999993</v>
      </c>
      <c r="S1118">
        <v>12.2</v>
      </c>
      <c r="T1118">
        <v>10.3</v>
      </c>
      <c r="U1118">
        <v>21.1</v>
      </c>
      <c r="V1118">
        <v>6.9</v>
      </c>
      <c r="W1118">
        <v>12.5</v>
      </c>
      <c r="X1118">
        <v>3.5</v>
      </c>
      <c r="Y1118">
        <v>27.7</v>
      </c>
      <c r="Z1118">
        <v>15.6</v>
      </c>
      <c r="AA1118">
        <v>13.7</v>
      </c>
      <c r="AB1118">
        <f t="shared" si="34"/>
        <v>175.5</v>
      </c>
      <c r="AC1118">
        <v>191.1</v>
      </c>
      <c r="AE1118">
        <f t="shared" si="35"/>
        <v>8</v>
      </c>
    </row>
    <row r="1119" spans="1:31" x14ac:dyDescent="0.25">
      <c r="A1119">
        <v>2022</v>
      </c>
      <c r="B1119" t="s">
        <v>220</v>
      </c>
      <c r="C1119" t="str">
        <f>IF(COUNTIF('Rookies 22-25'!$B$61:$B$125,E1119)&gt;0,"(R)","No")</f>
        <v>No</v>
      </c>
      <c r="D1119">
        <v>22</v>
      </c>
      <c r="E1119" t="s">
        <v>396</v>
      </c>
      <c r="F1119" t="s">
        <v>30</v>
      </c>
      <c r="G1119">
        <f>VLOOKUP(E1119,'22 Draft ADP'!$B$2:$D$510,3,FALSE)</f>
        <v>38</v>
      </c>
      <c r="H1119">
        <v>15</v>
      </c>
      <c r="I1119">
        <v>5.9</v>
      </c>
      <c r="J1119">
        <v>5.9</v>
      </c>
      <c r="K1119">
        <v>14.5</v>
      </c>
      <c r="L1119">
        <v>10.1</v>
      </c>
      <c r="M1119">
        <v>7.8</v>
      </c>
      <c r="N1119">
        <v>15.6</v>
      </c>
      <c r="O1119">
        <v>17.7</v>
      </c>
      <c r="Q1119" t="s">
        <v>22</v>
      </c>
      <c r="S1119">
        <v>17.7</v>
      </c>
      <c r="T1119">
        <v>16.5</v>
      </c>
      <c r="U1119">
        <v>18.100000000000001</v>
      </c>
      <c r="V1119">
        <v>17.100000000000001</v>
      </c>
      <c r="W1119">
        <v>15.1</v>
      </c>
      <c r="X1119">
        <v>13.1</v>
      </c>
      <c r="Y1119">
        <v>9.6999999999999993</v>
      </c>
      <c r="Z1119">
        <v>1</v>
      </c>
      <c r="AA1119">
        <v>12.4</v>
      </c>
      <c r="AB1119">
        <f t="shared" si="34"/>
        <v>184.8</v>
      </c>
      <c r="AC1119">
        <v>185.8</v>
      </c>
      <c r="AE1119">
        <f t="shared" si="35"/>
        <v>10</v>
      </c>
    </row>
    <row r="1120" spans="1:31" x14ac:dyDescent="0.25">
      <c r="A1120">
        <v>2022</v>
      </c>
      <c r="B1120" t="s">
        <v>220</v>
      </c>
      <c r="C1120" t="str">
        <f>IF(COUNTIF('Rookies 22-25'!$B$61:$B$125,E1120)&gt;0,"(R)","No")</f>
        <v>No</v>
      </c>
      <c r="D1120">
        <v>23</v>
      </c>
      <c r="E1120" t="s">
        <v>265</v>
      </c>
      <c r="F1120" t="s">
        <v>61</v>
      </c>
      <c r="G1120">
        <f>VLOOKUP(E1120,'22 Draft ADP'!$B$2:$D$510,3,FALSE)</f>
        <v>92</v>
      </c>
      <c r="H1120">
        <v>17</v>
      </c>
      <c r="I1120">
        <v>8.1999999999999993</v>
      </c>
      <c r="J1120">
        <v>4.0999999999999996</v>
      </c>
      <c r="K1120">
        <v>24.1</v>
      </c>
      <c r="L1120">
        <v>11.6</v>
      </c>
      <c r="M1120">
        <v>5.6</v>
      </c>
      <c r="N1120">
        <v>14.7</v>
      </c>
      <c r="O1120" t="s">
        <v>22</v>
      </c>
      <c r="P1120">
        <v>9.3000000000000007</v>
      </c>
      <c r="Q1120">
        <v>8.8000000000000007</v>
      </c>
      <c r="R1120">
        <v>15.7</v>
      </c>
      <c r="S1120">
        <v>17.7</v>
      </c>
      <c r="T1120">
        <v>9</v>
      </c>
      <c r="U1120">
        <v>11.1</v>
      </c>
      <c r="V1120">
        <v>5.3</v>
      </c>
      <c r="W1120">
        <v>10</v>
      </c>
      <c r="X1120">
        <v>20.5</v>
      </c>
      <c r="Y1120">
        <v>0.3</v>
      </c>
      <c r="Z1120">
        <v>2.2000000000000002</v>
      </c>
      <c r="AA1120">
        <v>10.5</v>
      </c>
      <c r="AB1120">
        <f t="shared" si="34"/>
        <v>176</v>
      </c>
      <c r="AC1120">
        <v>178.2</v>
      </c>
      <c r="AE1120">
        <f t="shared" si="35"/>
        <v>7</v>
      </c>
    </row>
    <row r="1121" spans="1:31" x14ac:dyDescent="0.25">
      <c r="A1121">
        <v>2022</v>
      </c>
      <c r="B1121" t="s">
        <v>220</v>
      </c>
      <c r="C1121" t="str">
        <f>IF(COUNTIF('Rookies 22-25'!$B$61:$B$125,E1121)&gt;0,"(R)","No")</f>
        <v>No</v>
      </c>
      <c r="D1121">
        <v>24</v>
      </c>
      <c r="E1121" t="s">
        <v>247</v>
      </c>
      <c r="F1121" t="s">
        <v>45</v>
      </c>
      <c r="G1121">
        <f>VLOOKUP(E1121,'22 Draft ADP'!$B$2:$D$510,3,FALSE)</f>
        <v>51</v>
      </c>
      <c r="H1121">
        <v>16</v>
      </c>
      <c r="I1121">
        <v>8</v>
      </c>
      <c r="J1121">
        <v>15.6</v>
      </c>
      <c r="K1121">
        <v>1.1000000000000001</v>
      </c>
      <c r="M1121">
        <v>18.2</v>
      </c>
      <c r="N1121">
        <v>9</v>
      </c>
      <c r="O1121">
        <v>12.2</v>
      </c>
      <c r="P1121">
        <v>8.5</v>
      </c>
      <c r="Q1121">
        <v>5.4</v>
      </c>
      <c r="R1121">
        <v>5.4</v>
      </c>
      <c r="S1121">
        <v>21.1</v>
      </c>
      <c r="T1121">
        <v>14.3</v>
      </c>
      <c r="U1121">
        <v>16.7</v>
      </c>
      <c r="V1121" t="s">
        <v>22</v>
      </c>
      <c r="W1121">
        <v>24.1</v>
      </c>
      <c r="X1121">
        <v>10.4</v>
      </c>
      <c r="Y1121">
        <v>5.6</v>
      </c>
      <c r="Z1121">
        <v>2.1</v>
      </c>
      <c r="AA1121">
        <v>11.1</v>
      </c>
      <c r="AB1121">
        <f t="shared" si="34"/>
        <v>175.6</v>
      </c>
      <c r="AC1121">
        <v>177.7</v>
      </c>
      <c r="AE1121">
        <f t="shared" si="35"/>
        <v>8</v>
      </c>
    </row>
    <row r="1122" spans="1:31" x14ac:dyDescent="0.25">
      <c r="A1122">
        <v>2022</v>
      </c>
      <c r="B1122" t="s">
        <v>220</v>
      </c>
      <c r="C1122" t="str">
        <f>IF(COUNTIF('Rookies 22-25'!$B$61:$B$125,E1122)&gt;0,"(R)","No")</f>
        <v>No</v>
      </c>
      <c r="D1122">
        <v>25</v>
      </c>
      <c r="E1122" t="s">
        <v>304</v>
      </c>
      <c r="F1122" t="s">
        <v>84</v>
      </c>
      <c r="G1122">
        <f>VLOOKUP(E1122,'22 Draft ADP'!$B$2:$D$510,3,FALSE)</f>
        <v>147</v>
      </c>
      <c r="H1122">
        <v>16</v>
      </c>
      <c r="I1122">
        <v>4.2</v>
      </c>
      <c r="J1122">
        <v>10.9</v>
      </c>
      <c r="K1122">
        <v>1.1000000000000001</v>
      </c>
      <c r="L1122">
        <v>10.1</v>
      </c>
      <c r="M1122">
        <v>19.2</v>
      </c>
      <c r="N1122">
        <v>5.8</v>
      </c>
      <c r="O1122">
        <v>20.9</v>
      </c>
      <c r="P1122">
        <v>7.7</v>
      </c>
      <c r="Q1122">
        <v>8.6</v>
      </c>
      <c r="R1122">
        <v>18.7</v>
      </c>
      <c r="S1122" t="s">
        <v>22</v>
      </c>
      <c r="U1122">
        <v>3</v>
      </c>
      <c r="V1122">
        <v>5.4</v>
      </c>
      <c r="W1122">
        <v>16.600000000000001</v>
      </c>
      <c r="X1122">
        <v>4.9000000000000004</v>
      </c>
      <c r="Y1122">
        <v>23.1</v>
      </c>
      <c r="Z1122">
        <v>8.1</v>
      </c>
      <c r="AA1122">
        <v>10.5</v>
      </c>
      <c r="AB1122">
        <f t="shared" si="34"/>
        <v>160.20000000000002</v>
      </c>
      <c r="AC1122">
        <v>168.3</v>
      </c>
      <c r="AE1122">
        <f t="shared" si="35"/>
        <v>7</v>
      </c>
    </row>
    <row r="1123" spans="1:31" x14ac:dyDescent="0.25">
      <c r="A1123">
        <v>2022</v>
      </c>
      <c r="B1123" t="s">
        <v>220</v>
      </c>
      <c r="C1123" t="str">
        <f>IF(COUNTIF('Rookies 22-25'!$B$61:$B$125,E1123)&gt;0,"(R)","No")</f>
        <v>No</v>
      </c>
      <c r="D1123">
        <v>26</v>
      </c>
      <c r="E1123" t="s">
        <v>488</v>
      </c>
      <c r="F1123" t="s">
        <v>69</v>
      </c>
      <c r="G1123">
        <f>VLOOKUP(E1123,'22 Draft ADP'!$B$2:$D$510,3,FALSE)</f>
        <v>58</v>
      </c>
      <c r="H1123">
        <v>17</v>
      </c>
      <c r="I1123">
        <v>20.100000000000001</v>
      </c>
      <c r="J1123">
        <v>7.7</v>
      </c>
      <c r="K1123">
        <v>5.8</v>
      </c>
      <c r="L1123">
        <v>9.4</v>
      </c>
      <c r="M1123">
        <v>3.4</v>
      </c>
      <c r="N1123">
        <v>9.1999999999999993</v>
      </c>
      <c r="O1123">
        <v>1.5</v>
      </c>
      <c r="P1123">
        <v>7.3</v>
      </c>
      <c r="Q1123">
        <v>6.4</v>
      </c>
      <c r="R1123">
        <v>6.5</v>
      </c>
      <c r="S1123">
        <v>3.3</v>
      </c>
      <c r="T1123">
        <v>17.8</v>
      </c>
      <c r="U1123">
        <v>20.9</v>
      </c>
      <c r="V1123" t="s">
        <v>22</v>
      </c>
      <c r="W1123">
        <v>22.1</v>
      </c>
      <c r="X1123">
        <v>12.8</v>
      </c>
      <c r="Y1123">
        <v>10.1</v>
      </c>
      <c r="Z1123">
        <v>3.3</v>
      </c>
      <c r="AA1123">
        <v>9.9</v>
      </c>
      <c r="AB1123">
        <f t="shared" si="34"/>
        <v>164.29999999999998</v>
      </c>
      <c r="AC1123">
        <v>167.6</v>
      </c>
      <c r="AE1123">
        <f t="shared" si="35"/>
        <v>6</v>
      </c>
    </row>
    <row r="1124" spans="1:31" x14ac:dyDescent="0.25">
      <c r="A1124">
        <v>2022</v>
      </c>
      <c r="B1124" t="s">
        <v>220</v>
      </c>
      <c r="C1124" t="str">
        <f>IF(COUNTIF('Rookies 22-25'!$B$61:$B$125,E1124)&gt;0,"(R)","No")</f>
        <v>(R)</v>
      </c>
      <c r="D1124">
        <v>27</v>
      </c>
      <c r="E1124" t="s">
        <v>399</v>
      </c>
      <c r="F1124" t="s">
        <v>41</v>
      </c>
      <c r="G1124">
        <f>VLOOKUP(E1124,'22 Draft ADP'!$B$2:$D$510,3,FALSE)</f>
        <v>67</v>
      </c>
      <c r="H1124">
        <v>13</v>
      </c>
      <c r="I1124">
        <v>4.9000000000000004</v>
      </c>
      <c r="J1124">
        <v>8.6999999999999993</v>
      </c>
      <c r="K1124">
        <v>18.100000000000001</v>
      </c>
      <c r="L1124">
        <v>25.9</v>
      </c>
      <c r="M1124">
        <v>20.3</v>
      </c>
      <c r="N1124" t="s">
        <v>22</v>
      </c>
      <c r="O1124">
        <v>15.7</v>
      </c>
      <c r="P1124">
        <v>14.1</v>
      </c>
      <c r="Q1124">
        <v>13.9</v>
      </c>
      <c r="R1124">
        <v>12.2</v>
      </c>
      <c r="S1124">
        <v>3.7</v>
      </c>
      <c r="T1124">
        <v>4.5999999999999996</v>
      </c>
      <c r="U1124">
        <v>12.5</v>
      </c>
      <c r="V1124">
        <v>11.8</v>
      </c>
      <c r="AA1124">
        <v>12.8</v>
      </c>
      <c r="AB1124">
        <f t="shared" si="34"/>
        <v>166.4</v>
      </c>
      <c r="AC1124">
        <v>166.4</v>
      </c>
      <c r="AE1124">
        <f t="shared" si="35"/>
        <v>9</v>
      </c>
    </row>
    <row r="1125" spans="1:31" x14ac:dyDescent="0.25">
      <c r="A1125">
        <v>2022</v>
      </c>
      <c r="B1125" t="s">
        <v>220</v>
      </c>
      <c r="C1125" t="str">
        <f>IF(COUNTIF('Rookies 22-25'!$B$61:$B$125,E1125)&gt;0,"(R)","No")</f>
        <v>No</v>
      </c>
      <c r="D1125">
        <v>28</v>
      </c>
      <c r="E1125" t="s">
        <v>310</v>
      </c>
      <c r="F1125" t="s">
        <v>59</v>
      </c>
      <c r="G1125">
        <f>VLOOKUP(E1125,'22 Draft ADP'!$B$2:$D$510,3,FALSE)</f>
        <v>80</v>
      </c>
      <c r="H1125">
        <v>15</v>
      </c>
      <c r="I1125">
        <v>20</v>
      </c>
      <c r="J1125">
        <v>12.1</v>
      </c>
      <c r="K1125">
        <v>11</v>
      </c>
      <c r="L1125">
        <v>9.3000000000000007</v>
      </c>
      <c r="M1125">
        <v>6.9</v>
      </c>
      <c r="N1125">
        <v>8.3000000000000007</v>
      </c>
      <c r="O1125">
        <v>16.7</v>
      </c>
      <c r="P1125">
        <v>20.7</v>
      </c>
      <c r="Q1125">
        <v>6.7</v>
      </c>
      <c r="R1125">
        <v>14.8</v>
      </c>
      <c r="S1125">
        <v>13.3</v>
      </c>
      <c r="T1125">
        <v>8.4</v>
      </c>
      <c r="U1125">
        <v>7.9</v>
      </c>
      <c r="V1125" t="s">
        <v>22</v>
      </c>
      <c r="W1125">
        <v>4.7</v>
      </c>
      <c r="X1125">
        <v>5.0999999999999996</v>
      </c>
      <c r="AA1125">
        <v>11.1</v>
      </c>
      <c r="AB1125">
        <f t="shared" si="34"/>
        <v>165.9</v>
      </c>
      <c r="AC1125">
        <v>165.9</v>
      </c>
      <c r="AE1125">
        <f t="shared" si="35"/>
        <v>7</v>
      </c>
    </row>
    <row r="1126" spans="1:31" x14ac:dyDescent="0.25">
      <c r="A1126">
        <v>2022</v>
      </c>
      <c r="B1126" t="s">
        <v>220</v>
      </c>
      <c r="C1126" t="str">
        <f>IF(COUNTIF('Rookies 22-25'!$B$61:$B$125,E1126)&gt;0,"(R)","No")</f>
        <v>(R)</v>
      </c>
      <c r="D1126">
        <v>29</v>
      </c>
      <c r="E1126" t="s">
        <v>259</v>
      </c>
      <c r="F1126" t="s">
        <v>24</v>
      </c>
      <c r="G1126">
        <f>VLOOKUP(E1126,'22 Draft ADP'!$B$2:$D$510,3,FALSE)</f>
        <v>143</v>
      </c>
      <c r="H1126">
        <v>16</v>
      </c>
      <c r="J1126">
        <v>3</v>
      </c>
      <c r="K1126">
        <v>4</v>
      </c>
      <c r="L1126">
        <v>11.4</v>
      </c>
      <c r="M1126">
        <v>4.5</v>
      </c>
      <c r="N1126">
        <v>5.0999999999999996</v>
      </c>
      <c r="O1126">
        <v>11</v>
      </c>
      <c r="P1126">
        <v>17.5</v>
      </c>
      <c r="Q1126">
        <v>13.3</v>
      </c>
      <c r="R1126">
        <v>3.3</v>
      </c>
      <c r="S1126">
        <v>7.4</v>
      </c>
      <c r="T1126">
        <v>5.4</v>
      </c>
      <c r="U1126">
        <v>5.2</v>
      </c>
      <c r="V1126" t="s">
        <v>22</v>
      </c>
      <c r="W1126">
        <v>22.6</v>
      </c>
      <c r="X1126">
        <v>15.7</v>
      </c>
      <c r="Y1126">
        <v>16.5</v>
      </c>
      <c r="Z1126">
        <v>13.5</v>
      </c>
      <c r="AA1126">
        <v>10</v>
      </c>
      <c r="AB1126">
        <f t="shared" si="34"/>
        <v>145.9</v>
      </c>
      <c r="AC1126">
        <v>159.4</v>
      </c>
      <c r="AE1126">
        <f t="shared" si="35"/>
        <v>7</v>
      </c>
    </row>
    <row r="1127" spans="1:31" x14ac:dyDescent="0.25">
      <c r="A1127">
        <v>2022</v>
      </c>
      <c r="B1127" t="s">
        <v>220</v>
      </c>
      <c r="C1127" t="str">
        <f>IF(COUNTIF('Rookies 22-25'!$B$61:$B$125,E1127)&gt;0,"(R)","No")</f>
        <v>No</v>
      </c>
      <c r="D1127">
        <v>30</v>
      </c>
      <c r="E1127" t="s">
        <v>1490</v>
      </c>
      <c r="F1127" t="s">
        <v>84</v>
      </c>
      <c r="G1127">
        <f>VLOOKUP(E1127,'22 Draft ADP'!$B$2:$D$510,3,FALSE)</f>
        <v>202</v>
      </c>
      <c r="H1127">
        <v>16</v>
      </c>
      <c r="I1127">
        <v>5</v>
      </c>
      <c r="J1127">
        <v>12.3</v>
      </c>
      <c r="K1127">
        <v>11.6</v>
      </c>
      <c r="L1127">
        <v>13.4</v>
      </c>
      <c r="M1127">
        <v>20.2</v>
      </c>
      <c r="N1127">
        <v>0.5</v>
      </c>
      <c r="O1127">
        <v>5.4</v>
      </c>
      <c r="P1127">
        <v>5.5</v>
      </c>
      <c r="Q1127">
        <v>16.2</v>
      </c>
      <c r="R1127">
        <v>22.3</v>
      </c>
      <c r="S1127" t="s">
        <v>22</v>
      </c>
      <c r="T1127">
        <v>12.2</v>
      </c>
      <c r="U1127">
        <v>0.3</v>
      </c>
      <c r="V1127">
        <v>2.6</v>
      </c>
      <c r="X1127">
        <v>11</v>
      </c>
      <c r="Y1127">
        <v>10.6</v>
      </c>
      <c r="Z1127">
        <v>9.4</v>
      </c>
      <c r="AA1127">
        <v>9.9</v>
      </c>
      <c r="AB1127">
        <f t="shared" si="34"/>
        <v>149.1</v>
      </c>
      <c r="AC1127">
        <v>158.5</v>
      </c>
      <c r="AE1127">
        <f t="shared" si="35"/>
        <v>9</v>
      </c>
    </row>
    <row r="1128" spans="1:31" x14ac:dyDescent="0.25">
      <c r="A1128">
        <v>2022</v>
      </c>
      <c r="B1128" t="s">
        <v>220</v>
      </c>
      <c r="C1128" t="str">
        <f>IF(COUNTIF('Rookies 22-25'!$B$61:$B$125,E1128)&gt;0,"(R)","No")</f>
        <v>No</v>
      </c>
      <c r="D1128">
        <v>31</v>
      </c>
      <c r="E1128" t="s">
        <v>400</v>
      </c>
      <c r="F1128" t="s">
        <v>24</v>
      </c>
      <c r="G1128">
        <f>VLOOKUP(E1128,'22 Draft ADP'!$B$2:$D$510,3,FALSE)</f>
        <v>100</v>
      </c>
      <c r="H1128">
        <v>13</v>
      </c>
      <c r="I1128">
        <v>22.6</v>
      </c>
      <c r="J1128">
        <v>4.0999999999999996</v>
      </c>
      <c r="K1128">
        <v>22.3</v>
      </c>
      <c r="L1128">
        <v>9.8000000000000007</v>
      </c>
      <c r="Q1128">
        <v>18.3</v>
      </c>
      <c r="R1128">
        <v>3</v>
      </c>
      <c r="S1128">
        <v>11.9</v>
      </c>
      <c r="T1128">
        <v>10.1</v>
      </c>
      <c r="U1128">
        <v>6</v>
      </c>
      <c r="V1128" t="s">
        <v>22</v>
      </c>
      <c r="W1128">
        <v>12.2</v>
      </c>
      <c r="X1128">
        <v>4.0999999999999996</v>
      </c>
      <c r="Y1128">
        <v>20.399999999999999</v>
      </c>
      <c r="Z1128">
        <v>9.9</v>
      </c>
      <c r="AA1128">
        <v>11.9</v>
      </c>
      <c r="AB1128">
        <f t="shared" si="34"/>
        <v>144.79999999999998</v>
      </c>
      <c r="AC1128">
        <v>154.69999999999999</v>
      </c>
      <c r="AE1128">
        <f t="shared" si="35"/>
        <v>7</v>
      </c>
    </row>
    <row r="1129" spans="1:31" x14ac:dyDescent="0.25">
      <c r="A1129">
        <v>2022</v>
      </c>
      <c r="B1129" t="s">
        <v>220</v>
      </c>
      <c r="C1129" t="str">
        <f>IF(COUNTIF('Rookies 22-25'!$B$61:$B$125,E1129)&gt;0,"(R)","No")</f>
        <v>No</v>
      </c>
      <c r="D1129">
        <v>32</v>
      </c>
      <c r="E1129" t="s">
        <v>491</v>
      </c>
      <c r="F1129" t="s">
        <v>78</v>
      </c>
      <c r="G1129">
        <v>302</v>
      </c>
      <c r="H1129">
        <v>14</v>
      </c>
      <c r="J1129">
        <v>0</v>
      </c>
      <c r="L1129">
        <v>13.5</v>
      </c>
      <c r="N1129">
        <v>7.4</v>
      </c>
      <c r="O1129">
        <v>10.3</v>
      </c>
      <c r="P1129">
        <v>12.9</v>
      </c>
      <c r="Q1129" t="s">
        <v>22</v>
      </c>
      <c r="R1129">
        <v>7.7</v>
      </c>
      <c r="S1129">
        <v>17.2</v>
      </c>
      <c r="T1129">
        <v>10.8</v>
      </c>
      <c r="U1129">
        <v>10.1</v>
      </c>
      <c r="V1129">
        <v>6.1</v>
      </c>
      <c r="W1129">
        <v>21.2</v>
      </c>
      <c r="X1129">
        <v>7</v>
      </c>
      <c r="Y1129">
        <v>11.2</v>
      </c>
      <c r="Z1129">
        <v>18.8</v>
      </c>
      <c r="AA1129">
        <v>11</v>
      </c>
      <c r="AB1129">
        <f t="shared" si="34"/>
        <v>135.39999999999998</v>
      </c>
      <c r="AC1129">
        <v>154.19999999999999</v>
      </c>
      <c r="AE1129">
        <f t="shared" si="35"/>
        <v>8</v>
      </c>
    </row>
    <row r="1130" spans="1:31" x14ac:dyDescent="0.25">
      <c r="A1130">
        <v>2022</v>
      </c>
      <c r="B1130" t="s">
        <v>220</v>
      </c>
      <c r="C1130" t="str">
        <f>IF(COUNTIF('Rookies 22-25'!$B$61:$B$125,E1130)&gt;0,"(R)","No")</f>
        <v>No</v>
      </c>
      <c r="D1130">
        <v>33</v>
      </c>
      <c r="E1130" t="s">
        <v>224</v>
      </c>
      <c r="F1130" t="s">
        <v>28</v>
      </c>
      <c r="G1130">
        <f>VLOOKUP(E1130,'22 Draft ADP'!$B$2:$D$510,3,FALSE)</f>
        <v>1</v>
      </c>
      <c r="H1130">
        <v>12</v>
      </c>
      <c r="I1130">
        <v>27.5</v>
      </c>
      <c r="J1130">
        <v>7.3</v>
      </c>
      <c r="K1130">
        <v>12.1</v>
      </c>
      <c r="L1130">
        <v>3.3</v>
      </c>
      <c r="O1130">
        <v>15.5</v>
      </c>
      <c r="P1130">
        <v>5.6</v>
      </c>
      <c r="R1130">
        <v>24.3</v>
      </c>
      <c r="S1130">
        <v>16.399999999999999</v>
      </c>
      <c r="T1130">
        <v>18.8</v>
      </c>
      <c r="U1130">
        <v>13.3</v>
      </c>
      <c r="V1130" t="s">
        <v>22</v>
      </c>
      <c r="W1130">
        <v>2.2999999999999998</v>
      </c>
      <c r="Z1130">
        <v>0</v>
      </c>
      <c r="AA1130">
        <v>12.2</v>
      </c>
      <c r="AB1130">
        <f t="shared" si="34"/>
        <v>146.4</v>
      </c>
      <c r="AC1130">
        <v>146.4</v>
      </c>
      <c r="AE1130">
        <f t="shared" si="35"/>
        <v>7</v>
      </c>
    </row>
    <row r="1131" spans="1:31" x14ac:dyDescent="0.25">
      <c r="A1131">
        <v>2022</v>
      </c>
      <c r="B1131" t="s">
        <v>220</v>
      </c>
      <c r="C1131" t="str">
        <f>IF(COUNTIF('Rookies 22-25'!$B$61:$B$125,E1131)&gt;0,"(R)","No")</f>
        <v>No</v>
      </c>
      <c r="D1131">
        <v>34</v>
      </c>
      <c r="E1131" t="s">
        <v>277</v>
      </c>
      <c r="F1131" t="s">
        <v>89</v>
      </c>
      <c r="G1131">
        <f>VLOOKUP(E1131,'22 Draft ADP'!$B$2:$D$510,3,FALSE)</f>
        <v>267</v>
      </c>
      <c r="H1131">
        <v>16</v>
      </c>
      <c r="I1131">
        <v>6.7</v>
      </c>
      <c r="J1131">
        <v>2</v>
      </c>
      <c r="K1131">
        <v>14.1</v>
      </c>
      <c r="L1131">
        <v>0</v>
      </c>
      <c r="M1131">
        <v>9.6</v>
      </c>
      <c r="N1131">
        <v>3.6</v>
      </c>
      <c r="O1131">
        <v>2.8</v>
      </c>
      <c r="P1131">
        <v>4.7</v>
      </c>
      <c r="Q1131">
        <v>6.4</v>
      </c>
      <c r="R1131" t="s">
        <v>22</v>
      </c>
      <c r="S1131">
        <v>30.2</v>
      </c>
      <c r="T1131">
        <v>19.3</v>
      </c>
      <c r="U1131">
        <v>21.5</v>
      </c>
      <c r="V1131">
        <v>9.4</v>
      </c>
      <c r="W1131">
        <v>3.4</v>
      </c>
      <c r="X1131">
        <v>5.2</v>
      </c>
      <c r="Z1131">
        <v>3.2</v>
      </c>
      <c r="AA1131">
        <v>8.9</v>
      </c>
      <c r="AB1131">
        <f t="shared" si="34"/>
        <v>138.9</v>
      </c>
      <c r="AC1131">
        <v>142.1</v>
      </c>
      <c r="AE1131">
        <f t="shared" si="35"/>
        <v>4</v>
      </c>
    </row>
    <row r="1132" spans="1:31" x14ac:dyDescent="0.25">
      <c r="A1132">
        <v>2022</v>
      </c>
      <c r="B1132" t="s">
        <v>220</v>
      </c>
      <c r="C1132" t="str">
        <f>IF(COUNTIF('Rookies 22-25'!$B$61:$B$125,E1132)&gt;0,"(R)","No")</f>
        <v>No</v>
      </c>
      <c r="D1132">
        <v>35</v>
      </c>
      <c r="E1132" t="s">
        <v>392</v>
      </c>
      <c r="F1132" t="s">
        <v>55</v>
      </c>
      <c r="G1132">
        <f>VLOOKUP(E1132,'22 Draft ADP'!$B$2:$D$510,3,FALSE)</f>
        <v>50</v>
      </c>
      <c r="H1132">
        <v>15</v>
      </c>
      <c r="I1132">
        <v>0</v>
      </c>
      <c r="J1132">
        <v>8.1999999999999993</v>
      </c>
      <c r="K1132">
        <v>10.1</v>
      </c>
      <c r="L1132">
        <v>1.3</v>
      </c>
      <c r="M1132">
        <v>3.3</v>
      </c>
      <c r="O1132" t="s">
        <v>22</v>
      </c>
      <c r="Q1132">
        <v>0.3</v>
      </c>
      <c r="R1132">
        <v>2.2000000000000002</v>
      </c>
      <c r="S1132">
        <v>6.1</v>
      </c>
      <c r="T1132">
        <v>3.7</v>
      </c>
      <c r="U1132">
        <v>19</v>
      </c>
      <c r="V1132">
        <v>9.3000000000000007</v>
      </c>
      <c r="W1132">
        <v>13</v>
      </c>
      <c r="X1132">
        <v>34.700000000000003</v>
      </c>
      <c r="Y1132">
        <v>14.3</v>
      </c>
      <c r="Z1132">
        <v>15.8</v>
      </c>
      <c r="AA1132">
        <v>9.4</v>
      </c>
      <c r="AB1132">
        <f t="shared" si="34"/>
        <v>125.50000000000001</v>
      </c>
      <c r="AC1132">
        <v>141.30000000000001</v>
      </c>
      <c r="AE1132">
        <f t="shared" si="35"/>
        <v>5</v>
      </c>
    </row>
    <row r="1133" spans="1:31" x14ac:dyDescent="0.25">
      <c r="A1133">
        <v>2022</v>
      </c>
      <c r="B1133" t="s">
        <v>220</v>
      </c>
      <c r="C1133" t="str">
        <f>IF(COUNTIF('Rookies 22-25'!$B$61:$B$125,E1133)&gt;0,"(R)","No")</f>
        <v>(R)</v>
      </c>
      <c r="D1133">
        <v>36</v>
      </c>
      <c r="E1133" t="s">
        <v>252</v>
      </c>
      <c r="F1133" t="s">
        <v>65</v>
      </c>
      <c r="G1133">
        <f>VLOOKUP(E1133,'22 Draft ADP'!$B$2:$D$510,3,FALSE)</f>
        <v>127</v>
      </c>
      <c r="H1133">
        <v>17</v>
      </c>
      <c r="I1133">
        <v>4.0999999999999996</v>
      </c>
      <c r="J1133">
        <v>0.1</v>
      </c>
      <c r="K1133">
        <v>0</v>
      </c>
      <c r="L1133">
        <v>14.6</v>
      </c>
      <c r="M1133">
        <v>7.2</v>
      </c>
      <c r="N1133">
        <v>5.3</v>
      </c>
      <c r="O1133">
        <v>4.2</v>
      </c>
      <c r="P1133">
        <v>7.3</v>
      </c>
      <c r="Q1133">
        <v>6.4</v>
      </c>
      <c r="R1133">
        <v>10.5</v>
      </c>
      <c r="S1133" t="s">
        <v>22</v>
      </c>
      <c r="T1133">
        <v>19.899999999999999</v>
      </c>
      <c r="U1133">
        <v>16.899999999999999</v>
      </c>
      <c r="V1133">
        <v>10.7</v>
      </c>
      <c r="W1133">
        <v>5.3</v>
      </c>
      <c r="X1133">
        <v>15.3</v>
      </c>
      <c r="Y1133">
        <v>9.8000000000000007</v>
      </c>
      <c r="Z1133">
        <v>1.5</v>
      </c>
      <c r="AA1133">
        <v>8.1999999999999993</v>
      </c>
      <c r="AB1133">
        <f t="shared" si="34"/>
        <v>137.6</v>
      </c>
      <c r="AC1133">
        <v>139.1</v>
      </c>
      <c r="AE1133">
        <f t="shared" si="35"/>
        <v>6</v>
      </c>
    </row>
    <row r="1134" spans="1:31" x14ac:dyDescent="0.25">
      <c r="A1134">
        <v>2022</v>
      </c>
      <c r="B1134" t="s">
        <v>220</v>
      </c>
      <c r="C1134" t="str">
        <f>IF(COUNTIF('Rookies 22-25'!$B$61:$B$125,E1134)&gt;0,"(R)","No")</f>
        <v>(R)</v>
      </c>
      <c r="D1134">
        <v>37</v>
      </c>
      <c r="E1134" t="s">
        <v>276</v>
      </c>
      <c r="F1134" t="s">
        <v>26</v>
      </c>
      <c r="G1134">
        <f>VLOOKUP(E1134,'22 Draft ADP'!$B$2:$D$510,3,FALSE)</f>
        <v>144</v>
      </c>
      <c r="H1134">
        <v>17</v>
      </c>
      <c r="I1134">
        <v>12.2</v>
      </c>
      <c r="J1134">
        <v>0.6</v>
      </c>
      <c r="K1134">
        <v>0.9</v>
      </c>
      <c r="L1134">
        <v>6.3</v>
      </c>
      <c r="M1134">
        <v>0</v>
      </c>
      <c r="N1134">
        <v>3.8</v>
      </c>
      <c r="O1134">
        <v>4.3</v>
      </c>
      <c r="P1134" t="s">
        <v>22</v>
      </c>
      <c r="Q1134">
        <v>1.9</v>
      </c>
      <c r="R1134">
        <v>6.2</v>
      </c>
      <c r="S1134">
        <v>10.7</v>
      </c>
      <c r="T1134">
        <v>15.6</v>
      </c>
      <c r="U1134">
        <v>16.2</v>
      </c>
      <c r="V1134">
        <v>12.3</v>
      </c>
      <c r="W1134">
        <v>8.6999999999999993</v>
      </c>
      <c r="X1134">
        <v>10</v>
      </c>
      <c r="Y1134">
        <v>12.9</v>
      </c>
      <c r="Z1134">
        <v>12.4</v>
      </c>
      <c r="AA1134">
        <v>7.9</v>
      </c>
      <c r="AB1134">
        <f t="shared" si="34"/>
        <v>122.6</v>
      </c>
      <c r="AC1134">
        <v>135</v>
      </c>
      <c r="AE1134">
        <f t="shared" si="35"/>
        <v>6</v>
      </c>
    </row>
    <row r="1135" spans="1:31" x14ac:dyDescent="0.25">
      <c r="A1135">
        <v>2022</v>
      </c>
      <c r="B1135" t="s">
        <v>220</v>
      </c>
      <c r="C1135" t="str">
        <f>IF(COUNTIF('Rookies 22-25'!$B$61:$B$125,E1135)&gt;0,"(R)","No")</f>
        <v>No</v>
      </c>
      <c r="D1135">
        <v>38</v>
      </c>
      <c r="E1135" t="s">
        <v>404</v>
      </c>
      <c r="F1135" t="s">
        <v>95</v>
      </c>
      <c r="G1135">
        <f>VLOOKUP(E1135,'22 Draft ADP'!$B$2:$D$510,3,FALSE)</f>
        <v>207</v>
      </c>
      <c r="H1135">
        <v>17</v>
      </c>
      <c r="I1135">
        <v>0.5</v>
      </c>
      <c r="J1135">
        <v>0.9</v>
      </c>
      <c r="K1135">
        <v>0</v>
      </c>
      <c r="L1135">
        <v>0.2</v>
      </c>
      <c r="M1135">
        <v>0.2</v>
      </c>
      <c r="N1135">
        <v>1.9</v>
      </c>
      <c r="O1135">
        <v>16.5</v>
      </c>
      <c r="P1135">
        <v>31.8</v>
      </c>
      <c r="Q1135">
        <v>4.0999999999999996</v>
      </c>
      <c r="R1135">
        <v>19</v>
      </c>
      <c r="S1135">
        <v>2.4</v>
      </c>
      <c r="T1135">
        <v>11.3</v>
      </c>
      <c r="U1135" t="s">
        <v>22</v>
      </c>
      <c r="V1135">
        <v>8.5</v>
      </c>
      <c r="W1135">
        <v>0.9</v>
      </c>
      <c r="X1135">
        <v>22.5</v>
      </c>
      <c r="Y1135">
        <v>3.5</v>
      </c>
      <c r="Z1135">
        <v>6.8</v>
      </c>
      <c r="AA1135">
        <v>7.7</v>
      </c>
      <c r="AB1135">
        <f t="shared" si="34"/>
        <v>124.2</v>
      </c>
      <c r="AC1135">
        <v>131</v>
      </c>
      <c r="AE1135">
        <f t="shared" si="35"/>
        <v>5</v>
      </c>
    </row>
    <row r="1136" spans="1:31" x14ac:dyDescent="0.25">
      <c r="A1136">
        <v>2022</v>
      </c>
      <c r="B1136" t="s">
        <v>220</v>
      </c>
      <c r="C1136" t="str">
        <f>IF(COUNTIF('Rookies 22-25'!$B$61:$B$125,E1136)&gt;0,"(R)","No")</f>
        <v>No</v>
      </c>
      <c r="D1136">
        <v>39</v>
      </c>
      <c r="E1136" t="s">
        <v>251</v>
      </c>
      <c r="F1136" t="s">
        <v>32</v>
      </c>
      <c r="G1136">
        <f>VLOOKUP(E1136,'22 Draft ADP'!$B$2:$D$510,3,FALSE)</f>
        <v>94</v>
      </c>
      <c r="H1136">
        <v>17</v>
      </c>
      <c r="I1136">
        <v>23</v>
      </c>
      <c r="J1136">
        <v>9.4</v>
      </c>
      <c r="K1136">
        <v>9.1</v>
      </c>
      <c r="L1136">
        <v>8.8000000000000007</v>
      </c>
      <c r="M1136">
        <v>14.7</v>
      </c>
      <c r="N1136">
        <v>1.2</v>
      </c>
      <c r="O1136">
        <v>7.8</v>
      </c>
      <c r="P1136">
        <v>11.2</v>
      </c>
      <c r="Q1136" t="s">
        <v>22</v>
      </c>
      <c r="R1136">
        <v>2.9</v>
      </c>
      <c r="S1136">
        <v>7.4</v>
      </c>
      <c r="T1136">
        <v>3.1</v>
      </c>
      <c r="U1136">
        <v>9.4</v>
      </c>
      <c r="V1136">
        <v>3.2</v>
      </c>
      <c r="W1136">
        <v>3.7</v>
      </c>
      <c r="X1136">
        <v>5.2</v>
      </c>
      <c r="Y1136">
        <v>0.9</v>
      </c>
      <c r="Z1136">
        <v>5.8</v>
      </c>
      <c r="AA1136">
        <v>7.5</v>
      </c>
      <c r="AB1136">
        <f t="shared" si="34"/>
        <v>121</v>
      </c>
      <c r="AC1136">
        <v>126.8</v>
      </c>
      <c r="AE1136">
        <f t="shared" si="35"/>
        <v>3</v>
      </c>
    </row>
    <row r="1137" spans="1:31" x14ac:dyDescent="0.25">
      <c r="A1137">
        <v>2022</v>
      </c>
      <c r="B1137" t="s">
        <v>220</v>
      </c>
      <c r="C1137" t="str">
        <f>IF(COUNTIF('Rookies 22-25'!$B$61:$B$125,E1137)&gt;0,"(R)","No")</f>
        <v>No</v>
      </c>
      <c r="D1137">
        <v>40</v>
      </c>
      <c r="E1137" t="s">
        <v>268</v>
      </c>
      <c r="F1137" t="s">
        <v>82</v>
      </c>
      <c r="G1137">
        <f>VLOOKUP(E1137,'22 Draft ADP'!$B$2:$D$510,3,FALSE)</f>
        <v>121</v>
      </c>
      <c r="H1137">
        <v>16</v>
      </c>
      <c r="I1137">
        <v>17</v>
      </c>
      <c r="J1137">
        <v>10</v>
      </c>
      <c r="K1137">
        <v>5.6</v>
      </c>
      <c r="L1137">
        <v>4.9000000000000004</v>
      </c>
      <c r="M1137">
        <v>17.3</v>
      </c>
      <c r="N1137">
        <v>5.7</v>
      </c>
      <c r="O1137">
        <v>9.4</v>
      </c>
      <c r="P1137">
        <v>10.1</v>
      </c>
      <c r="Q1137">
        <v>15.6</v>
      </c>
      <c r="R1137" t="s">
        <v>22</v>
      </c>
      <c r="S1137">
        <v>2.7</v>
      </c>
      <c r="T1137">
        <v>5.6</v>
      </c>
      <c r="V1137">
        <v>3</v>
      </c>
      <c r="W1137">
        <v>4.0999999999999996</v>
      </c>
      <c r="X1137">
        <v>10</v>
      </c>
      <c r="Y1137">
        <v>2.5</v>
      </c>
      <c r="Z1137">
        <v>2.5</v>
      </c>
      <c r="AA1137">
        <v>7.9</v>
      </c>
      <c r="AB1137">
        <f t="shared" si="34"/>
        <v>123.5</v>
      </c>
      <c r="AC1137">
        <v>126</v>
      </c>
      <c r="AE1137">
        <f t="shared" si="35"/>
        <v>4</v>
      </c>
    </row>
    <row r="1138" spans="1:31" x14ac:dyDescent="0.25">
      <c r="A1138">
        <v>2022</v>
      </c>
      <c r="B1138" t="s">
        <v>220</v>
      </c>
      <c r="C1138" t="str">
        <f>IF(COUNTIF('Rookies 22-25'!$B$61:$B$125,E1138)&gt;0,"(R)","No")</f>
        <v>No</v>
      </c>
      <c r="D1138">
        <v>41</v>
      </c>
      <c r="E1138" t="s">
        <v>405</v>
      </c>
      <c r="F1138" t="s">
        <v>45</v>
      </c>
      <c r="G1138">
        <f>VLOOKUP(E1138,'22 Draft ADP'!$B$2:$D$510,3,FALSE)</f>
        <v>148</v>
      </c>
      <c r="H1138">
        <v>13</v>
      </c>
      <c r="I1138">
        <v>11.3</v>
      </c>
      <c r="J1138">
        <v>5.0999999999999996</v>
      </c>
      <c r="K1138">
        <v>30.9</v>
      </c>
      <c r="L1138">
        <v>11.1</v>
      </c>
      <c r="M1138">
        <v>1.1000000000000001</v>
      </c>
      <c r="N1138">
        <v>7.4</v>
      </c>
      <c r="O1138">
        <v>15.7</v>
      </c>
      <c r="P1138">
        <v>15.9</v>
      </c>
      <c r="Q1138">
        <v>2.2999999999999998</v>
      </c>
      <c r="R1138">
        <v>5.7</v>
      </c>
      <c r="V1138" t="s">
        <v>22</v>
      </c>
      <c r="X1138">
        <v>2.2999999999999998</v>
      </c>
      <c r="Y1138">
        <v>3.1</v>
      </c>
      <c r="Z1138">
        <v>5.9</v>
      </c>
      <c r="AA1138">
        <v>9.1</v>
      </c>
      <c r="AB1138">
        <f t="shared" si="34"/>
        <v>111.89999999999999</v>
      </c>
      <c r="AC1138">
        <v>117.8</v>
      </c>
      <c r="AE1138">
        <f t="shared" si="35"/>
        <v>5</v>
      </c>
    </row>
    <row r="1139" spans="1:31" x14ac:dyDescent="0.25">
      <c r="A1139">
        <v>2022</v>
      </c>
      <c r="B1139" t="s">
        <v>220</v>
      </c>
      <c r="C1139" t="str">
        <f>IF(COUNTIF('Rookies 22-25'!$B$61:$B$125,E1139)&gt;0,"(R)","No")</f>
        <v>(R)</v>
      </c>
      <c r="D1139">
        <v>42</v>
      </c>
      <c r="E1139" t="s">
        <v>239</v>
      </c>
      <c r="F1139" t="s">
        <v>82</v>
      </c>
      <c r="G1139">
        <f>VLOOKUP(E1139,'22 Draft ADP'!$B$2:$D$510,3,FALSE)</f>
        <v>45</v>
      </c>
      <c r="H1139">
        <v>7</v>
      </c>
      <c r="I1139">
        <v>10.1</v>
      </c>
      <c r="J1139">
        <v>13</v>
      </c>
      <c r="K1139">
        <v>15.2</v>
      </c>
      <c r="L1139">
        <v>15.8</v>
      </c>
      <c r="M1139">
        <v>27.7</v>
      </c>
      <c r="N1139">
        <v>20.100000000000001</v>
      </c>
      <c r="O1139">
        <v>13.2</v>
      </c>
      <c r="R1139" t="s">
        <v>22</v>
      </c>
      <c r="AA1139">
        <v>16.399999999999999</v>
      </c>
      <c r="AB1139">
        <f t="shared" si="34"/>
        <v>115.1</v>
      </c>
      <c r="AC1139">
        <v>115.1</v>
      </c>
      <c r="AE1139">
        <f t="shared" si="35"/>
        <v>7</v>
      </c>
    </row>
    <row r="1140" spans="1:31" x14ac:dyDescent="0.25">
      <c r="A1140">
        <v>2022</v>
      </c>
      <c r="B1140" t="s">
        <v>220</v>
      </c>
      <c r="C1140" t="str">
        <f>IF(COUNTIF('Rookies 22-25'!$B$61:$B$125,E1140)&gt;0,"(R)","No")</f>
        <v>(R)</v>
      </c>
      <c r="D1140">
        <v>43</v>
      </c>
      <c r="E1140" t="s">
        <v>283</v>
      </c>
      <c r="F1140" t="s">
        <v>59</v>
      </c>
      <c r="G1140">
        <f>VLOOKUP(E1140,'22 Draft ADP'!$B$2:$D$510,3,FALSE)</f>
        <v>156</v>
      </c>
      <c r="H1140">
        <v>12</v>
      </c>
      <c r="M1140">
        <v>2.2000000000000002</v>
      </c>
      <c r="N1140">
        <v>12</v>
      </c>
      <c r="O1140">
        <v>10.6</v>
      </c>
      <c r="P1140">
        <v>2</v>
      </c>
      <c r="Q1140">
        <v>5.8</v>
      </c>
      <c r="R1140">
        <v>14.6</v>
      </c>
      <c r="S1140">
        <v>5.7</v>
      </c>
      <c r="T1140">
        <v>20.5</v>
      </c>
      <c r="U1140">
        <v>13.1</v>
      </c>
      <c r="V1140" t="s">
        <v>22</v>
      </c>
      <c r="W1140">
        <v>11.7</v>
      </c>
      <c r="X1140">
        <v>5.8</v>
      </c>
      <c r="Y1140">
        <v>8.6999999999999993</v>
      </c>
      <c r="AA1140">
        <v>9.4</v>
      </c>
      <c r="AB1140">
        <f t="shared" si="34"/>
        <v>112.7</v>
      </c>
      <c r="AC1140">
        <v>112.7</v>
      </c>
      <c r="AE1140">
        <f t="shared" si="35"/>
        <v>6</v>
      </c>
    </row>
    <row r="1141" spans="1:31" x14ac:dyDescent="0.25">
      <c r="A1141">
        <v>2022</v>
      </c>
      <c r="B1141" t="s">
        <v>220</v>
      </c>
      <c r="C1141" t="str">
        <f>IF(COUNTIF('Rookies 22-25'!$B$61:$B$125,E1141)&gt;0,"(R)","No")</f>
        <v>(R)</v>
      </c>
      <c r="D1141">
        <v>44</v>
      </c>
      <c r="E1141" t="s">
        <v>226</v>
      </c>
      <c r="F1141" t="s">
        <v>61</v>
      </c>
      <c r="G1141">
        <f>VLOOKUP(E1141,'22 Draft ADP'!$B$2:$D$510,3,FALSE)</f>
        <v>107</v>
      </c>
      <c r="H1141">
        <v>17</v>
      </c>
      <c r="I1141">
        <v>-1.8</v>
      </c>
      <c r="J1141">
        <v>5.3</v>
      </c>
      <c r="K1141">
        <v>8</v>
      </c>
      <c r="L1141">
        <v>0</v>
      </c>
      <c r="M1141">
        <v>9.1</v>
      </c>
      <c r="N1141">
        <v>0.8</v>
      </c>
      <c r="O1141" t="s">
        <v>22</v>
      </c>
      <c r="P1141">
        <v>8.6</v>
      </c>
      <c r="Q1141">
        <v>5.3</v>
      </c>
      <c r="R1141">
        <v>2.2000000000000002</v>
      </c>
      <c r="S1141">
        <v>8.6</v>
      </c>
      <c r="T1141">
        <v>3.8</v>
      </c>
      <c r="U1141">
        <v>16.5</v>
      </c>
      <c r="V1141">
        <v>2.5</v>
      </c>
      <c r="W1141">
        <v>11.9</v>
      </c>
      <c r="X1141">
        <v>17.8</v>
      </c>
      <c r="Y1141">
        <v>1.8</v>
      </c>
      <c r="Z1141">
        <v>7.1</v>
      </c>
      <c r="AA1141">
        <v>6.3</v>
      </c>
      <c r="AB1141">
        <f t="shared" si="34"/>
        <v>100.4</v>
      </c>
      <c r="AC1141">
        <v>107.5</v>
      </c>
      <c r="AE1141">
        <f t="shared" si="35"/>
        <v>3</v>
      </c>
    </row>
    <row r="1142" spans="1:31" x14ac:dyDescent="0.25">
      <c r="A1142">
        <v>2022</v>
      </c>
      <c r="B1142" t="s">
        <v>220</v>
      </c>
      <c r="C1142" t="str">
        <f>IF(COUNTIF('Rookies 22-25'!$B$61:$B$125,E1142)&gt;0,"(R)","No")</f>
        <v>No</v>
      </c>
      <c r="D1142">
        <v>45</v>
      </c>
      <c r="E1142" t="s">
        <v>1384</v>
      </c>
      <c r="F1142" t="s">
        <v>53</v>
      </c>
      <c r="G1142">
        <f>VLOOKUP(E1142,'22 Draft ADP'!$B$2:$D$510,3,FALSE)</f>
        <v>209</v>
      </c>
      <c r="H1142">
        <v>12</v>
      </c>
      <c r="I1142">
        <v>5.6</v>
      </c>
      <c r="J1142">
        <v>0.8</v>
      </c>
      <c r="M1142">
        <v>3.7</v>
      </c>
      <c r="N1142">
        <v>19.7</v>
      </c>
      <c r="O1142">
        <v>0.5</v>
      </c>
      <c r="P1142">
        <v>16.7</v>
      </c>
      <c r="Q1142">
        <v>24.9</v>
      </c>
      <c r="R1142" t="s">
        <v>22</v>
      </c>
      <c r="S1142">
        <v>7.3</v>
      </c>
      <c r="T1142">
        <v>0.2</v>
      </c>
      <c r="U1142">
        <v>6.6</v>
      </c>
      <c r="V1142">
        <v>2.2000000000000002</v>
      </c>
      <c r="Z1142">
        <v>15.9</v>
      </c>
      <c r="AA1142">
        <v>8.6999999999999993</v>
      </c>
      <c r="AB1142">
        <f t="shared" si="34"/>
        <v>88.199999999999989</v>
      </c>
      <c r="AC1142">
        <v>104.1</v>
      </c>
      <c r="AE1142">
        <f t="shared" si="35"/>
        <v>3</v>
      </c>
    </row>
    <row r="1143" spans="1:31" x14ac:dyDescent="0.25">
      <c r="A1143">
        <v>2022</v>
      </c>
      <c r="B1143" t="s">
        <v>220</v>
      </c>
      <c r="C1143" t="str">
        <f>IF(COUNTIF('Rookies 22-25'!$B$61:$B$125,E1143)&gt;0,"(R)","No")</f>
        <v>No</v>
      </c>
      <c r="D1143">
        <v>46</v>
      </c>
      <c r="E1143" t="s">
        <v>492</v>
      </c>
      <c r="F1143" t="s">
        <v>26</v>
      </c>
      <c r="G1143">
        <f>VLOOKUP(E1143,'22 Draft ADP'!$B$2:$D$510,3,FALSE)</f>
        <v>83</v>
      </c>
      <c r="H1143">
        <v>10</v>
      </c>
      <c r="I1143">
        <v>22.4</v>
      </c>
      <c r="J1143">
        <v>15.8</v>
      </c>
      <c r="K1143">
        <v>14.9</v>
      </c>
      <c r="L1143">
        <v>22.4</v>
      </c>
      <c r="M1143">
        <v>6.5</v>
      </c>
      <c r="N1143">
        <v>3.3</v>
      </c>
      <c r="O1143">
        <v>9.1999999999999993</v>
      </c>
      <c r="P1143" t="s">
        <v>22</v>
      </c>
      <c r="Q1143">
        <v>2.9</v>
      </c>
      <c r="R1143">
        <v>0</v>
      </c>
      <c r="S1143">
        <v>0.9</v>
      </c>
      <c r="AA1143">
        <v>9.8000000000000007</v>
      </c>
      <c r="AB1143">
        <f t="shared" si="34"/>
        <v>98.3</v>
      </c>
      <c r="AC1143">
        <v>98.3</v>
      </c>
      <c r="AE1143">
        <f t="shared" si="35"/>
        <v>4</v>
      </c>
    </row>
    <row r="1144" spans="1:31" x14ac:dyDescent="0.25">
      <c r="A1144">
        <v>2022</v>
      </c>
      <c r="B1144" t="s">
        <v>220</v>
      </c>
      <c r="C1144" t="str">
        <f>IF(COUNTIF('Rookies 22-25'!$B$61:$B$125,E1144)&gt;0,"(R)","No")</f>
        <v>(R)</v>
      </c>
      <c r="D1144">
        <v>47</v>
      </c>
      <c r="E1144" t="s">
        <v>237</v>
      </c>
      <c r="F1144" t="s">
        <v>71</v>
      </c>
      <c r="G1144">
        <f>VLOOKUP(E1144,'22 Draft ADP'!$B$2:$D$510,3,FALSE)</f>
        <v>247</v>
      </c>
      <c r="H1144">
        <v>16</v>
      </c>
      <c r="I1144">
        <v>0.7</v>
      </c>
      <c r="J1144">
        <v>2.5</v>
      </c>
      <c r="K1144">
        <v>4.3</v>
      </c>
      <c r="L1144">
        <v>3.2</v>
      </c>
      <c r="M1144">
        <v>10.3</v>
      </c>
      <c r="N1144">
        <v>0.2</v>
      </c>
      <c r="O1144">
        <v>4.4000000000000004</v>
      </c>
      <c r="P1144">
        <v>10.5</v>
      </c>
      <c r="Q1144" t="s">
        <v>22</v>
      </c>
      <c r="R1144">
        <v>10.7</v>
      </c>
      <c r="S1144">
        <v>1.9</v>
      </c>
      <c r="U1144">
        <v>3.9</v>
      </c>
      <c r="V1144">
        <v>4.7</v>
      </c>
      <c r="W1144">
        <v>11.9</v>
      </c>
      <c r="X1144">
        <v>4</v>
      </c>
      <c r="Y1144">
        <v>12.8</v>
      </c>
      <c r="Z1144">
        <v>7.3</v>
      </c>
      <c r="AA1144">
        <v>5.8</v>
      </c>
      <c r="AB1144">
        <f t="shared" si="34"/>
        <v>86</v>
      </c>
      <c r="AC1144">
        <v>93.3</v>
      </c>
      <c r="AE1144">
        <f t="shared" si="35"/>
        <v>5</v>
      </c>
    </row>
    <row r="1145" spans="1:31" x14ac:dyDescent="0.25">
      <c r="A1145">
        <v>2022</v>
      </c>
      <c r="B1145" t="s">
        <v>220</v>
      </c>
      <c r="C1145" t="str">
        <f>IF(COUNTIF('Rookies 22-25'!$B$61:$B$125,E1145)&gt;0,"(R)","No")</f>
        <v>No</v>
      </c>
      <c r="D1145">
        <v>48</v>
      </c>
      <c r="E1145" t="s">
        <v>664</v>
      </c>
      <c r="F1145" t="s">
        <v>510</v>
      </c>
      <c r="G1145">
        <f>VLOOKUP(E1145,'22 Draft ADP'!$B$2:$D$510,3,FALSE)</f>
        <v>93</v>
      </c>
      <c r="H1145">
        <v>11</v>
      </c>
      <c r="I1145">
        <v>7.8</v>
      </c>
      <c r="J1145">
        <v>16.7</v>
      </c>
      <c r="K1145">
        <v>12.6</v>
      </c>
      <c r="L1145">
        <v>15.4</v>
      </c>
      <c r="M1145">
        <v>2.2000000000000002</v>
      </c>
      <c r="O1145">
        <v>2</v>
      </c>
      <c r="P1145">
        <v>7.2</v>
      </c>
      <c r="R1145" t="s">
        <v>22</v>
      </c>
      <c r="S1145">
        <v>11.3</v>
      </c>
      <c r="T1145">
        <v>1.6</v>
      </c>
      <c r="Y1145">
        <v>7.9</v>
      </c>
      <c r="Z1145">
        <v>6.2</v>
      </c>
      <c r="AA1145">
        <v>8.3000000000000007</v>
      </c>
      <c r="AB1145">
        <f t="shared" si="34"/>
        <v>84.7</v>
      </c>
      <c r="AC1145">
        <v>90.9</v>
      </c>
      <c r="AE1145">
        <f t="shared" si="35"/>
        <v>4</v>
      </c>
    </row>
    <row r="1146" spans="1:31" x14ac:dyDescent="0.25">
      <c r="A1146">
        <v>2022</v>
      </c>
      <c r="B1146" t="s">
        <v>220</v>
      </c>
      <c r="C1146" t="str">
        <f>IF(COUNTIF('Rookies 22-25'!$B$61:$B$125,E1146)&gt;0,"(R)","No")</f>
        <v>No</v>
      </c>
      <c r="D1146">
        <v>49</v>
      </c>
      <c r="E1146" t="s">
        <v>1385</v>
      </c>
      <c r="F1146" t="s">
        <v>37</v>
      </c>
      <c r="G1146">
        <f>VLOOKUP(E1146,'22 Draft ADP'!$B$2:$D$510,3,FALSE)</f>
        <v>201</v>
      </c>
      <c r="H1146">
        <v>13</v>
      </c>
      <c r="I1146">
        <v>9.1</v>
      </c>
      <c r="J1146">
        <v>8.1</v>
      </c>
      <c r="K1146">
        <v>4.3</v>
      </c>
      <c r="L1146">
        <v>5.5</v>
      </c>
      <c r="M1146">
        <v>14.3</v>
      </c>
      <c r="N1146">
        <v>9.5</v>
      </c>
      <c r="O1146">
        <v>23.3</v>
      </c>
      <c r="P1146">
        <v>8.5</v>
      </c>
      <c r="Q1146">
        <v>3.7</v>
      </c>
      <c r="R1146">
        <v>0</v>
      </c>
      <c r="V1146">
        <v>0.1</v>
      </c>
      <c r="Y1146">
        <v>2.9</v>
      </c>
      <c r="Z1146">
        <v>0.3</v>
      </c>
      <c r="AA1146">
        <v>6.9</v>
      </c>
      <c r="AB1146">
        <f t="shared" si="34"/>
        <v>89.3</v>
      </c>
      <c r="AC1146">
        <v>89.6</v>
      </c>
      <c r="AE1146">
        <f t="shared" si="35"/>
        <v>2</v>
      </c>
    </row>
    <row r="1147" spans="1:31" x14ac:dyDescent="0.25">
      <c r="A1147">
        <v>2022</v>
      </c>
      <c r="B1147" t="s">
        <v>220</v>
      </c>
      <c r="C1147" t="str">
        <f>IF(COUNTIF('Rookies 22-25'!$B$61:$B$125,E1147)&gt;0,"(R)","No")</f>
        <v>No</v>
      </c>
      <c r="D1147">
        <v>50</v>
      </c>
      <c r="E1147" t="s">
        <v>864</v>
      </c>
      <c r="F1147" t="s">
        <v>82</v>
      </c>
      <c r="G1147">
        <f>VLOOKUP(E1147,'22 Draft ADP'!$B$2:$D$510,3,FALSE)</f>
        <v>128</v>
      </c>
      <c r="H1147">
        <v>11</v>
      </c>
      <c r="I1147">
        <v>19.899999999999999</v>
      </c>
      <c r="J1147">
        <v>15.8</v>
      </c>
      <c r="K1147">
        <v>20.6</v>
      </c>
      <c r="L1147">
        <v>2.9</v>
      </c>
      <c r="M1147">
        <v>5.9</v>
      </c>
      <c r="N1147">
        <v>6.5</v>
      </c>
      <c r="O1147">
        <v>0</v>
      </c>
      <c r="P1147">
        <v>1.7</v>
      </c>
      <c r="Q1147">
        <v>13.3</v>
      </c>
      <c r="R1147" t="s">
        <v>22</v>
      </c>
      <c r="S1147">
        <v>1</v>
      </c>
      <c r="U1147">
        <v>1</v>
      </c>
      <c r="AA1147">
        <v>8.1</v>
      </c>
      <c r="AB1147">
        <f t="shared" si="34"/>
        <v>88.6</v>
      </c>
      <c r="AC1147">
        <v>88.6</v>
      </c>
      <c r="AE1147">
        <f t="shared" si="35"/>
        <v>4</v>
      </c>
    </row>
    <row r="1148" spans="1:31" x14ac:dyDescent="0.25">
      <c r="A1148">
        <v>2022</v>
      </c>
      <c r="B1148" t="s">
        <v>220</v>
      </c>
      <c r="C1148" t="str">
        <f>IF(COUNTIF('Rookies 22-25'!$B$61:$B$125,E1148)&gt;0,"(R)","No")</f>
        <v>No</v>
      </c>
      <c r="D1148">
        <v>51</v>
      </c>
      <c r="E1148" t="s">
        <v>390</v>
      </c>
      <c r="F1148" t="s">
        <v>73</v>
      </c>
      <c r="G1148">
        <f>VLOOKUP(E1148,'22 Draft ADP'!$B$2:$D$510,3,FALSE)</f>
        <v>130</v>
      </c>
      <c r="H1148">
        <v>17</v>
      </c>
      <c r="I1148">
        <v>3.6</v>
      </c>
      <c r="J1148">
        <v>4.4000000000000004</v>
      </c>
      <c r="K1148">
        <v>11.4</v>
      </c>
      <c r="L1148">
        <v>8.8000000000000007</v>
      </c>
      <c r="M1148">
        <v>7</v>
      </c>
      <c r="N1148">
        <v>0.3</v>
      </c>
      <c r="O1148" t="s">
        <v>22</v>
      </c>
      <c r="P1148">
        <v>10</v>
      </c>
      <c r="Q1148">
        <v>1.1000000000000001</v>
      </c>
      <c r="R1148">
        <v>2.9</v>
      </c>
      <c r="S1148">
        <v>1.8</v>
      </c>
      <c r="T1148">
        <v>1.1000000000000001</v>
      </c>
      <c r="U1148">
        <v>9.8000000000000007</v>
      </c>
      <c r="V1148">
        <v>-0.1</v>
      </c>
      <c r="W1148">
        <v>0.1</v>
      </c>
      <c r="X1148">
        <v>1.7</v>
      </c>
      <c r="Y1148">
        <v>5.5</v>
      </c>
      <c r="Z1148">
        <v>19</v>
      </c>
      <c r="AA1148">
        <v>5.2</v>
      </c>
      <c r="AB1148">
        <f t="shared" si="34"/>
        <v>69.400000000000006</v>
      </c>
      <c r="AC1148">
        <v>88.4</v>
      </c>
      <c r="AE1148">
        <f t="shared" si="35"/>
        <v>1</v>
      </c>
    </row>
    <row r="1149" spans="1:31" x14ac:dyDescent="0.25">
      <c r="A1149">
        <v>2022</v>
      </c>
      <c r="B1149" t="s">
        <v>220</v>
      </c>
      <c r="C1149" t="str">
        <f>IF(COUNTIF('Rookies 22-25'!$B$61:$B$125,E1149)&gt;0,"(R)","No")</f>
        <v>No</v>
      </c>
      <c r="D1149">
        <v>52</v>
      </c>
      <c r="E1149" t="s">
        <v>236</v>
      </c>
      <c r="F1149" t="s">
        <v>35</v>
      </c>
      <c r="G1149">
        <f>VLOOKUP(E1149,'22 Draft ADP'!$B$2:$D$510,3,FALSE)</f>
        <v>124</v>
      </c>
      <c r="H1149">
        <v>17</v>
      </c>
      <c r="I1149">
        <v>11.2</v>
      </c>
      <c r="J1149">
        <v>2.8</v>
      </c>
      <c r="K1149">
        <v>0.6</v>
      </c>
      <c r="L1149">
        <v>8.6999999999999993</v>
      </c>
      <c r="M1149">
        <v>2</v>
      </c>
      <c r="N1149">
        <v>2.5</v>
      </c>
      <c r="O1149" t="s">
        <v>22</v>
      </c>
      <c r="P1149">
        <v>2.1</v>
      </c>
      <c r="Q1149">
        <v>12.8</v>
      </c>
      <c r="R1149">
        <v>2.2000000000000002</v>
      </c>
      <c r="S1149">
        <v>0</v>
      </c>
      <c r="T1149">
        <v>11.6</v>
      </c>
      <c r="U1149">
        <v>8.3000000000000007</v>
      </c>
      <c r="V1149">
        <v>1</v>
      </c>
      <c r="W1149">
        <v>3.4</v>
      </c>
      <c r="X1149">
        <v>9.8000000000000007</v>
      </c>
      <c r="Y1149">
        <v>3.7</v>
      </c>
      <c r="Z1149">
        <v>5.2</v>
      </c>
      <c r="AA1149">
        <v>5.2</v>
      </c>
      <c r="AB1149">
        <f t="shared" si="34"/>
        <v>82.7</v>
      </c>
      <c r="AC1149">
        <v>87.9</v>
      </c>
      <c r="AE1149">
        <f t="shared" si="35"/>
        <v>3</v>
      </c>
    </row>
    <row r="1150" spans="1:31" x14ac:dyDescent="0.25">
      <c r="A1150">
        <v>2022</v>
      </c>
      <c r="B1150" t="s">
        <v>220</v>
      </c>
      <c r="C1150" t="str">
        <f>IF(COUNTIF('Rookies 22-25'!$B$61:$B$125,E1150)&gt;0,"(R)","No")</f>
        <v>No</v>
      </c>
      <c r="D1150">
        <v>53</v>
      </c>
      <c r="E1150" t="s">
        <v>258</v>
      </c>
      <c r="F1150" t="s">
        <v>95</v>
      </c>
      <c r="G1150">
        <f>VLOOKUP(E1150,'22 Draft ADP'!$B$2:$D$510,3,FALSE)</f>
        <v>236</v>
      </c>
      <c r="H1150">
        <v>14</v>
      </c>
      <c r="I1150">
        <v>0.3</v>
      </c>
      <c r="J1150">
        <v>-2</v>
      </c>
      <c r="K1150">
        <v>2.5</v>
      </c>
      <c r="L1150">
        <v>0</v>
      </c>
      <c r="N1150">
        <v>1.7</v>
      </c>
      <c r="O1150">
        <v>15.3</v>
      </c>
      <c r="R1150">
        <v>1.4</v>
      </c>
      <c r="S1150">
        <v>4.5</v>
      </c>
      <c r="T1150">
        <v>6.5</v>
      </c>
      <c r="U1150" t="s">
        <v>22</v>
      </c>
      <c r="V1150">
        <v>18.899999999999999</v>
      </c>
      <c r="W1150">
        <v>9.6999999999999993</v>
      </c>
      <c r="X1150">
        <v>12.5</v>
      </c>
      <c r="Y1150">
        <v>9.5</v>
      </c>
      <c r="Z1150">
        <v>6.9</v>
      </c>
      <c r="AA1150">
        <v>6.3</v>
      </c>
      <c r="AB1150">
        <f t="shared" si="34"/>
        <v>80.8</v>
      </c>
      <c r="AC1150">
        <v>87.7</v>
      </c>
      <c r="AE1150">
        <f t="shared" si="35"/>
        <v>3</v>
      </c>
    </row>
    <row r="1151" spans="1:31" x14ac:dyDescent="0.25">
      <c r="A1151">
        <v>2022</v>
      </c>
      <c r="B1151" t="s">
        <v>220</v>
      </c>
      <c r="C1151" t="str">
        <f>IF(COUNTIF('Rookies 22-25'!$B$61:$B$125,E1151)&gt;0,"(R)","No")</f>
        <v>No</v>
      </c>
      <c r="D1151">
        <v>54</v>
      </c>
      <c r="E1151" t="s">
        <v>1481</v>
      </c>
      <c r="F1151" t="s">
        <v>51</v>
      </c>
      <c r="G1151">
        <f>VLOOKUP(E1151,'22 Draft ADP'!$B$2:$D$510,3,FALSE)</f>
        <v>110</v>
      </c>
      <c r="H1151">
        <v>10</v>
      </c>
      <c r="I1151">
        <v>7.2</v>
      </c>
      <c r="J1151">
        <v>6.3</v>
      </c>
      <c r="K1151">
        <v>16.5</v>
      </c>
      <c r="L1151">
        <v>-1.2</v>
      </c>
      <c r="M1151">
        <v>13.3</v>
      </c>
      <c r="N1151">
        <v>0.8</v>
      </c>
      <c r="O1151">
        <v>7</v>
      </c>
      <c r="P1151">
        <v>14.2</v>
      </c>
      <c r="R1151">
        <v>11</v>
      </c>
      <c r="S1151">
        <v>12</v>
      </c>
      <c r="AA1151">
        <v>8.6999999999999993</v>
      </c>
      <c r="AB1151">
        <f t="shared" si="34"/>
        <v>87.1</v>
      </c>
      <c r="AC1151">
        <v>87.1</v>
      </c>
      <c r="AE1151">
        <f t="shared" si="35"/>
        <v>5</v>
      </c>
    </row>
    <row r="1152" spans="1:31" x14ac:dyDescent="0.25">
      <c r="A1152">
        <v>2022</v>
      </c>
      <c r="B1152" t="s">
        <v>220</v>
      </c>
      <c r="C1152" t="str">
        <f>IF(COUNTIF('Rookies 22-25'!$B$61:$B$125,E1152)&gt;0,"(R)","No")</f>
        <v>No</v>
      </c>
      <c r="D1152">
        <v>55</v>
      </c>
      <c r="E1152" t="s">
        <v>704</v>
      </c>
      <c r="F1152" t="s">
        <v>28</v>
      </c>
      <c r="G1152">
        <f>VLOOKUP(E1152,'22 Draft ADP'!$B$2:$D$510,3,FALSE)</f>
        <v>385</v>
      </c>
      <c r="H1152">
        <v>12</v>
      </c>
      <c r="J1152">
        <v>-0.3</v>
      </c>
      <c r="M1152">
        <v>13.1</v>
      </c>
      <c r="N1152">
        <v>28.1</v>
      </c>
      <c r="O1152">
        <v>0.3</v>
      </c>
      <c r="P1152">
        <v>-0.4</v>
      </c>
      <c r="Q1152">
        <v>5.6</v>
      </c>
      <c r="S1152">
        <v>5</v>
      </c>
      <c r="U1152">
        <v>0.6</v>
      </c>
      <c r="V1152" t="s">
        <v>22</v>
      </c>
      <c r="W1152">
        <v>10.6</v>
      </c>
      <c r="X1152">
        <v>3.9</v>
      </c>
      <c r="Y1152">
        <v>1</v>
      </c>
      <c r="Z1152">
        <v>17</v>
      </c>
      <c r="AA1152">
        <v>7</v>
      </c>
      <c r="AB1152">
        <f t="shared" si="34"/>
        <v>67.5</v>
      </c>
      <c r="AC1152">
        <v>84.5</v>
      </c>
      <c r="AE1152">
        <f t="shared" si="35"/>
        <v>3</v>
      </c>
    </row>
    <row r="1153" spans="1:31" x14ac:dyDescent="0.25">
      <c r="A1153">
        <v>2022</v>
      </c>
      <c r="B1153" t="s">
        <v>220</v>
      </c>
      <c r="C1153" t="str">
        <f>IF(COUNTIF('Rookies 22-25'!$B$61:$B$125,E1153)&gt;0,"(R)","No")</f>
        <v>No</v>
      </c>
      <c r="D1153">
        <v>56</v>
      </c>
      <c r="E1153" t="s">
        <v>1386</v>
      </c>
      <c r="F1153" t="s">
        <v>61</v>
      </c>
      <c r="G1153">
        <f>VLOOKUP(E1153,'22 Draft ADP'!$B$2:$D$510,3,FALSE)</f>
        <v>119</v>
      </c>
      <c r="H1153">
        <v>16</v>
      </c>
      <c r="I1153">
        <v>11.4</v>
      </c>
      <c r="J1153">
        <v>7.7</v>
      </c>
      <c r="K1153">
        <v>8</v>
      </c>
      <c r="L1153">
        <v>2.2999999999999998</v>
      </c>
      <c r="M1153">
        <v>1.8</v>
      </c>
      <c r="O1153">
        <v>9.3000000000000007</v>
      </c>
      <c r="P1153">
        <v>12.9</v>
      </c>
      <c r="Q1153">
        <v>0</v>
      </c>
      <c r="R1153">
        <v>1.9</v>
      </c>
      <c r="S1153">
        <v>-0.8</v>
      </c>
      <c r="T1153">
        <v>0.3</v>
      </c>
      <c r="U1153">
        <v>2.8</v>
      </c>
      <c r="V1153">
        <v>1.7</v>
      </c>
      <c r="W1153">
        <v>8</v>
      </c>
      <c r="X1153">
        <v>2.1</v>
      </c>
      <c r="Z1153">
        <v>12</v>
      </c>
      <c r="AA1153">
        <v>5.0999999999999996</v>
      </c>
      <c r="AB1153">
        <f t="shared" si="34"/>
        <v>69.400000000000006</v>
      </c>
      <c r="AC1153">
        <v>81.400000000000006</v>
      </c>
      <c r="AE1153">
        <f t="shared" si="35"/>
        <v>2</v>
      </c>
    </row>
    <row r="1154" spans="1:31" x14ac:dyDescent="0.25">
      <c r="A1154">
        <v>2022</v>
      </c>
      <c r="B1154" t="s">
        <v>220</v>
      </c>
      <c r="C1154" t="str">
        <f>IF(COUNTIF('Rookies 22-25'!$B$61:$B$125,E1154)&gt;0,"(R)","No")</f>
        <v>No</v>
      </c>
      <c r="D1154">
        <v>57</v>
      </c>
      <c r="E1154" t="s">
        <v>263</v>
      </c>
      <c r="F1154" t="s">
        <v>53</v>
      </c>
      <c r="G1154">
        <f>VLOOKUP(E1154,'22 Draft ADP'!$B$2:$D$510,3,FALSE)</f>
        <v>62</v>
      </c>
      <c r="H1154">
        <v>8</v>
      </c>
      <c r="K1154">
        <v>6</v>
      </c>
      <c r="L1154">
        <v>22.3</v>
      </c>
      <c r="M1154">
        <v>4.4000000000000004</v>
      </c>
      <c r="N1154">
        <v>1.5</v>
      </c>
      <c r="R1154" t="s">
        <v>22</v>
      </c>
      <c r="V1154">
        <v>18</v>
      </c>
      <c r="W1154">
        <v>13.8</v>
      </c>
      <c r="X1154">
        <v>5.9</v>
      </c>
      <c r="Y1154">
        <v>9.3000000000000007</v>
      </c>
      <c r="AA1154">
        <v>10.199999999999999</v>
      </c>
      <c r="AB1154">
        <f t="shared" si="34"/>
        <v>81.2</v>
      </c>
      <c r="AC1154">
        <v>81.2</v>
      </c>
      <c r="AE1154">
        <f t="shared" si="35"/>
        <v>3</v>
      </c>
    </row>
    <row r="1155" spans="1:31" x14ac:dyDescent="0.25">
      <c r="A1155">
        <v>2022</v>
      </c>
      <c r="B1155" t="s">
        <v>220</v>
      </c>
      <c r="C1155" t="str">
        <f>IF(COUNTIF('Rookies 22-25'!$B$61:$B$125,E1155)&gt;0,"(R)","No")</f>
        <v>No</v>
      </c>
      <c r="D1155">
        <v>58</v>
      </c>
      <c r="E1155" t="s">
        <v>1387</v>
      </c>
      <c r="F1155" t="s">
        <v>63</v>
      </c>
      <c r="G1155">
        <f>VLOOKUP(E1155,'22 Draft ADP'!$B$2:$D$510,3,FALSE)</f>
        <v>253</v>
      </c>
      <c r="H1155">
        <v>12</v>
      </c>
      <c r="I1155">
        <v>21.9</v>
      </c>
      <c r="K1155">
        <v>5.4</v>
      </c>
      <c r="L1155">
        <v>5.8</v>
      </c>
      <c r="M1155">
        <v>12.3</v>
      </c>
      <c r="N1155" t="s">
        <v>22</v>
      </c>
      <c r="O1155">
        <v>0.4</v>
      </c>
      <c r="P1155">
        <v>10.5</v>
      </c>
      <c r="Q1155">
        <v>1.8</v>
      </c>
      <c r="R1155">
        <v>1.8</v>
      </c>
      <c r="S1155">
        <v>8.8000000000000007</v>
      </c>
      <c r="T1155">
        <v>4.9000000000000004</v>
      </c>
      <c r="U1155">
        <v>3.6</v>
      </c>
      <c r="V1155">
        <v>0</v>
      </c>
      <c r="AA1155">
        <v>6.4</v>
      </c>
      <c r="AB1155">
        <f t="shared" ref="AB1155:AB1212" si="36">AC1155-Z1155</f>
        <v>77.2</v>
      </c>
      <c r="AC1155">
        <v>77.2</v>
      </c>
      <c r="AE1155">
        <f t="shared" ref="AE1155:AE1212" si="37">COUNTIF(I1155:Y1155,"&gt;10")</f>
        <v>3</v>
      </c>
    </row>
    <row r="1156" spans="1:31" x14ac:dyDescent="0.25">
      <c r="A1156">
        <v>2022</v>
      </c>
      <c r="B1156" t="s">
        <v>220</v>
      </c>
      <c r="C1156" t="str">
        <f>IF(COUNTIF('Rookies 22-25'!$B$61:$B$125,E1156)&gt;0,"(R)","No")</f>
        <v>No</v>
      </c>
      <c r="D1156">
        <v>59</v>
      </c>
      <c r="E1156" t="s">
        <v>501</v>
      </c>
      <c r="F1156" t="s">
        <v>78</v>
      </c>
      <c r="G1156">
        <f>VLOOKUP(E1156,'22 Draft ADP'!$B$2:$D$510,3,FALSE)</f>
        <v>73</v>
      </c>
      <c r="H1156">
        <v>13</v>
      </c>
      <c r="I1156">
        <v>10.5</v>
      </c>
      <c r="J1156">
        <v>5.0999999999999996</v>
      </c>
      <c r="K1156">
        <v>15.7</v>
      </c>
      <c r="L1156">
        <v>10</v>
      </c>
      <c r="M1156">
        <v>0.1</v>
      </c>
      <c r="N1156">
        <v>5.0999999999999996</v>
      </c>
      <c r="O1156">
        <v>1.7</v>
      </c>
      <c r="P1156">
        <v>1.4</v>
      </c>
      <c r="Q1156" t="s">
        <v>22</v>
      </c>
      <c r="R1156">
        <v>1.9</v>
      </c>
      <c r="S1156">
        <v>0.6</v>
      </c>
      <c r="X1156">
        <v>7.3</v>
      </c>
      <c r="Y1156">
        <v>10.3</v>
      </c>
      <c r="Z1156">
        <v>4.5</v>
      </c>
      <c r="AA1156">
        <v>5.7</v>
      </c>
      <c r="AB1156">
        <f t="shared" si="36"/>
        <v>69.7</v>
      </c>
      <c r="AC1156">
        <v>74.2</v>
      </c>
      <c r="AE1156">
        <f t="shared" si="37"/>
        <v>3</v>
      </c>
    </row>
    <row r="1157" spans="1:31" x14ac:dyDescent="0.25">
      <c r="A1157">
        <v>2022</v>
      </c>
      <c r="B1157" t="s">
        <v>220</v>
      </c>
      <c r="C1157" t="str">
        <f>IF(COUNTIF('Rookies 22-25'!$B$61:$B$125,E1157)&gt;0,"(R)","No")</f>
        <v>No</v>
      </c>
      <c r="D1157">
        <v>60</v>
      </c>
      <c r="E1157" t="s">
        <v>1483</v>
      </c>
      <c r="F1157" t="s">
        <v>67</v>
      </c>
      <c r="G1157">
        <f>VLOOKUP(E1157,'22 Draft ADP'!$B$2:$D$510,3,FALSE)</f>
        <v>117</v>
      </c>
      <c r="H1157">
        <v>10</v>
      </c>
      <c r="I1157">
        <v>12.3</v>
      </c>
      <c r="J1157">
        <v>10.7</v>
      </c>
      <c r="K1157">
        <v>1.7</v>
      </c>
      <c r="L1157">
        <v>6.9</v>
      </c>
      <c r="M1157">
        <v>7</v>
      </c>
      <c r="N1157">
        <v>13.2</v>
      </c>
      <c r="P1157">
        <v>5</v>
      </c>
      <c r="Q1157">
        <v>5.6</v>
      </c>
      <c r="R1157">
        <v>10.199999999999999</v>
      </c>
      <c r="S1157">
        <v>0.9</v>
      </c>
      <c r="AA1157">
        <v>7.4</v>
      </c>
      <c r="AB1157">
        <f t="shared" si="36"/>
        <v>73.5</v>
      </c>
      <c r="AC1157">
        <v>73.5</v>
      </c>
      <c r="AE1157">
        <f t="shared" si="37"/>
        <v>4</v>
      </c>
    </row>
    <row r="1158" spans="1:31" x14ac:dyDescent="0.25">
      <c r="A1158">
        <v>2022</v>
      </c>
      <c r="B1158" t="s">
        <v>220</v>
      </c>
      <c r="C1158" t="str">
        <f>IF(COUNTIF('Rookies 22-25'!$B$61:$B$125,E1158)&gt;0,"(R)","No")</f>
        <v>No</v>
      </c>
      <c r="D1158">
        <v>61</v>
      </c>
      <c r="E1158" t="s">
        <v>1388</v>
      </c>
      <c r="F1158" t="s">
        <v>41</v>
      </c>
      <c r="G1158">
        <f>VLOOKUP(E1158,'22 Draft ADP'!$B$2:$D$510,3,FALSE)</f>
        <v>231</v>
      </c>
      <c r="H1158">
        <v>15</v>
      </c>
      <c r="I1158">
        <v>12</v>
      </c>
      <c r="J1158">
        <v>2.9</v>
      </c>
      <c r="K1158">
        <v>7</v>
      </c>
      <c r="L1158">
        <v>14.9</v>
      </c>
      <c r="M1158">
        <v>4.8</v>
      </c>
      <c r="N1158" t="s">
        <v>22</v>
      </c>
      <c r="O1158">
        <v>6.9</v>
      </c>
      <c r="P1158">
        <v>1.2</v>
      </c>
      <c r="Q1158">
        <v>2.5</v>
      </c>
      <c r="R1158">
        <v>5</v>
      </c>
      <c r="T1158">
        <v>1.5</v>
      </c>
      <c r="V1158">
        <v>1.2</v>
      </c>
      <c r="W1158">
        <v>3.7</v>
      </c>
      <c r="X1158">
        <v>2.7</v>
      </c>
      <c r="Y1158">
        <v>3.9</v>
      </c>
      <c r="Z1158">
        <v>1.1000000000000001</v>
      </c>
      <c r="AA1158">
        <v>4.8</v>
      </c>
      <c r="AB1158">
        <f t="shared" si="36"/>
        <v>70.2</v>
      </c>
      <c r="AC1158">
        <v>71.3</v>
      </c>
      <c r="AE1158">
        <f t="shared" si="37"/>
        <v>2</v>
      </c>
    </row>
    <row r="1159" spans="1:31" x14ac:dyDescent="0.25">
      <c r="A1159">
        <v>2022</v>
      </c>
      <c r="B1159" t="s">
        <v>220</v>
      </c>
      <c r="C1159" t="str">
        <f>IF(COUNTIF('Rookies 22-25'!$B$61:$B$125,E1159)&gt;0,"(R)","No")</f>
        <v>No</v>
      </c>
      <c r="D1159">
        <v>62</v>
      </c>
      <c r="E1159" t="s">
        <v>408</v>
      </c>
      <c r="F1159" t="s">
        <v>67</v>
      </c>
      <c r="G1159">
        <v>305</v>
      </c>
      <c r="H1159">
        <v>14</v>
      </c>
      <c r="K1159">
        <v>0</v>
      </c>
      <c r="L1159">
        <v>4.2</v>
      </c>
      <c r="M1159">
        <v>0.6</v>
      </c>
      <c r="N1159">
        <v>12.2</v>
      </c>
      <c r="O1159">
        <v>0.6</v>
      </c>
      <c r="P1159">
        <v>4</v>
      </c>
      <c r="Q1159">
        <v>2.1</v>
      </c>
      <c r="R1159">
        <v>1.3</v>
      </c>
      <c r="S1159" t="s">
        <v>22</v>
      </c>
      <c r="T1159">
        <v>20.5</v>
      </c>
      <c r="V1159">
        <v>1.3</v>
      </c>
      <c r="W1159">
        <v>2.5</v>
      </c>
      <c r="X1159">
        <v>3.1</v>
      </c>
      <c r="Y1159">
        <v>17.600000000000001</v>
      </c>
      <c r="Z1159">
        <v>0.5</v>
      </c>
      <c r="AA1159">
        <v>5</v>
      </c>
      <c r="AB1159">
        <f t="shared" si="36"/>
        <v>70</v>
      </c>
      <c r="AC1159">
        <v>70.5</v>
      </c>
      <c r="AE1159">
        <f t="shared" si="37"/>
        <v>3</v>
      </c>
    </row>
    <row r="1160" spans="1:31" x14ac:dyDescent="0.25">
      <c r="A1160">
        <v>2022</v>
      </c>
      <c r="B1160" t="s">
        <v>220</v>
      </c>
      <c r="C1160" t="str">
        <f>IF(COUNTIF('Rookies 22-25'!$B$61:$B$125,E1160)&gt;0,"(R)","No")</f>
        <v>No</v>
      </c>
      <c r="D1160">
        <v>63</v>
      </c>
      <c r="E1160" t="s">
        <v>493</v>
      </c>
      <c r="F1160" t="s">
        <v>51</v>
      </c>
      <c r="G1160">
        <f>VLOOKUP(E1160,'22 Draft ADP'!$B$2:$D$510,3,FALSE)</f>
        <v>276</v>
      </c>
      <c r="H1160">
        <v>12</v>
      </c>
      <c r="I1160">
        <v>5.5</v>
      </c>
      <c r="J1160">
        <v>3.5</v>
      </c>
      <c r="K1160">
        <v>2.2999999999999998</v>
      </c>
      <c r="L1160">
        <v>1.5</v>
      </c>
      <c r="M1160">
        <v>16.2</v>
      </c>
      <c r="P1160" t="s">
        <v>22</v>
      </c>
      <c r="T1160">
        <v>4</v>
      </c>
      <c r="U1160">
        <v>3</v>
      </c>
      <c r="V1160">
        <v>4.5</v>
      </c>
      <c r="W1160">
        <v>10.1</v>
      </c>
      <c r="X1160">
        <v>5.2</v>
      </c>
      <c r="Y1160">
        <v>5.6</v>
      </c>
      <c r="Z1160">
        <v>3.4</v>
      </c>
      <c r="AA1160">
        <v>5.4</v>
      </c>
      <c r="AB1160">
        <f t="shared" si="36"/>
        <v>61.4</v>
      </c>
      <c r="AC1160">
        <v>64.8</v>
      </c>
      <c r="AE1160">
        <f t="shared" si="37"/>
        <v>2</v>
      </c>
    </row>
    <row r="1161" spans="1:31" x14ac:dyDescent="0.25">
      <c r="A1161">
        <v>2022</v>
      </c>
      <c r="B1161" t="s">
        <v>220</v>
      </c>
      <c r="C1161" t="str">
        <f>IF(COUNTIF('Rookies 22-25'!$B$61:$B$125,E1161)&gt;0,"(R)","No")</f>
        <v>No</v>
      </c>
      <c r="D1161">
        <v>64</v>
      </c>
      <c r="E1161" t="s">
        <v>393</v>
      </c>
      <c r="F1161" t="s">
        <v>28</v>
      </c>
      <c r="G1161">
        <f>VLOOKUP(E1161,'22 Draft ADP'!$B$2:$D$510,3,FALSE)</f>
        <v>239</v>
      </c>
      <c r="H1161">
        <v>13</v>
      </c>
      <c r="I1161">
        <v>7.6</v>
      </c>
      <c r="J1161">
        <v>1.7</v>
      </c>
      <c r="K1161">
        <v>6.2</v>
      </c>
      <c r="L1161">
        <v>0.6</v>
      </c>
      <c r="M1161">
        <v>0.7</v>
      </c>
      <c r="R1161">
        <v>0.4</v>
      </c>
      <c r="S1161">
        <v>0.7</v>
      </c>
      <c r="T1161">
        <v>0.2</v>
      </c>
      <c r="U1161">
        <v>1.8</v>
      </c>
      <c r="V1161" t="s">
        <v>22</v>
      </c>
      <c r="W1161">
        <v>8.1</v>
      </c>
      <c r="X1161">
        <v>8</v>
      </c>
      <c r="Y1161">
        <v>7.4</v>
      </c>
      <c r="Z1161">
        <v>21.1</v>
      </c>
      <c r="AA1161">
        <v>5</v>
      </c>
      <c r="AB1161">
        <f t="shared" si="36"/>
        <v>43.4</v>
      </c>
      <c r="AC1161">
        <v>64.5</v>
      </c>
      <c r="AE1161">
        <f t="shared" si="37"/>
        <v>0</v>
      </c>
    </row>
    <row r="1162" spans="1:31" x14ac:dyDescent="0.25">
      <c r="A1162">
        <v>2022</v>
      </c>
      <c r="B1162" t="s">
        <v>220</v>
      </c>
      <c r="C1162" t="str">
        <f>IF(COUNTIF('Rookies 22-25'!$B$61:$B$125,E1162)&gt;0,"(R)","No")</f>
        <v>No</v>
      </c>
      <c r="D1162">
        <v>65</v>
      </c>
      <c r="E1162" t="s">
        <v>495</v>
      </c>
      <c r="F1162" t="s">
        <v>57</v>
      </c>
      <c r="G1162">
        <f>VLOOKUP(E1162,'22 Draft ADP'!$B$2:$D$510,3,FALSE)</f>
        <v>306</v>
      </c>
      <c r="H1162">
        <v>17</v>
      </c>
      <c r="I1162">
        <v>2.4</v>
      </c>
      <c r="J1162">
        <v>-0.4</v>
      </c>
      <c r="K1162">
        <v>0.3</v>
      </c>
      <c r="L1162">
        <v>1.8</v>
      </c>
      <c r="M1162">
        <v>4.7</v>
      </c>
      <c r="N1162">
        <v>3.1</v>
      </c>
      <c r="O1162">
        <v>4.3</v>
      </c>
      <c r="P1162">
        <v>2.5</v>
      </c>
      <c r="Q1162" t="s">
        <v>22</v>
      </c>
      <c r="R1162">
        <v>2</v>
      </c>
      <c r="S1162">
        <v>9.9</v>
      </c>
      <c r="T1162">
        <v>2.5</v>
      </c>
      <c r="U1162">
        <v>1.4</v>
      </c>
      <c r="V1162">
        <v>3.5</v>
      </c>
      <c r="W1162">
        <v>2.2000000000000002</v>
      </c>
      <c r="X1162">
        <v>0.9</v>
      </c>
      <c r="Y1162">
        <v>7.7</v>
      </c>
      <c r="Z1162">
        <v>11</v>
      </c>
      <c r="AA1162">
        <v>3.5</v>
      </c>
      <c r="AB1162">
        <f t="shared" si="36"/>
        <v>48.8</v>
      </c>
      <c r="AC1162">
        <v>59.8</v>
      </c>
      <c r="AE1162">
        <f t="shared" si="37"/>
        <v>0</v>
      </c>
    </row>
    <row r="1163" spans="1:31" x14ac:dyDescent="0.25">
      <c r="A1163">
        <v>2022</v>
      </c>
      <c r="B1163" t="s">
        <v>220</v>
      </c>
      <c r="C1163" t="str">
        <f>IF(COUNTIF('Rookies 22-25'!$B$61:$B$125,E1163)&gt;0,"(R)","No")</f>
        <v>No</v>
      </c>
      <c r="D1163">
        <v>66</v>
      </c>
      <c r="E1163" t="s">
        <v>395</v>
      </c>
      <c r="F1163" t="s">
        <v>53</v>
      </c>
      <c r="G1163">
        <f>VLOOKUP(E1163,'22 Draft ADP'!$B$2:$D$510,3,FALSE)</f>
        <v>230</v>
      </c>
      <c r="H1163">
        <v>9</v>
      </c>
      <c r="O1163">
        <v>18.600000000000001</v>
      </c>
      <c r="P1163">
        <v>6.5</v>
      </c>
      <c r="R1163" t="s">
        <v>22</v>
      </c>
      <c r="T1163">
        <v>9.1999999999999993</v>
      </c>
      <c r="U1163">
        <v>1.2</v>
      </c>
      <c r="V1163">
        <v>6.6</v>
      </c>
      <c r="W1163">
        <v>5.5</v>
      </c>
      <c r="X1163">
        <v>9.9</v>
      </c>
      <c r="Y1163">
        <v>0.2</v>
      </c>
      <c r="Z1163">
        <v>1.6</v>
      </c>
      <c r="AA1163">
        <v>6.6</v>
      </c>
      <c r="AB1163">
        <f t="shared" si="36"/>
        <v>57.699999999999996</v>
      </c>
      <c r="AC1163">
        <v>59.3</v>
      </c>
      <c r="AE1163">
        <f t="shared" si="37"/>
        <v>1</v>
      </c>
    </row>
    <row r="1164" spans="1:31" x14ac:dyDescent="0.25">
      <c r="A1164">
        <v>2022</v>
      </c>
      <c r="B1164" t="s">
        <v>220</v>
      </c>
      <c r="C1164" t="str">
        <f>IF(COUNTIF('Rookies 22-25'!$B$61:$B$125,E1164)&gt;0,"(R)","No")</f>
        <v>No</v>
      </c>
      <c r="D1164">
        <v>67</v>
      </c>
      <c r="E1164" t="s">
        <v>270</v>
      </c>
      <c r="F1164" t="s">
        <v>82</v>
      </c>
      <c r="G1164">
        <v>306</v>
      </c>
      <c r="H1164">
        <v>7</v>
      </c>
      <c r="R1164" t="s">
        <v>22</v>
      </c>
      <c r="T1164">
        <v>13.3</v>
      </c>
      <c r="U1164">
        <v>16.8</v>
      </c>
      <c r="V1164">
        <v>15.7</v>
      </c>
      <c r="W1164">
        <v>2.2999999999999998</v>
      </c>
      <c r="X1164">
        <v>2.2999999999999998</v>
      </c>
      <c r="Y1164">
        <v>6.4</v>
      </c>
      <c r="Z1164">
        <v>2.2000000000000002</v>
      </c>
      <c r="AA1164">
        <v>8.4</v>
      </c>
      <c r="AB1164">
        <f t="shared" si="36"/>
        <v>56.8</v>
      </c>
      <c r="AC1164">
        <v>59</v>
      </c>
      <c r="AE1164">
        <f t="shared" si="37"/>
        <v>3</v>
      </c>
    </row>
    <row r="1165" spans="1:31" x14ac:dyDescent="0.25">
      <c r="A1165">
        <v>2022</v>
      </c>
      <c r="B1165" t="s">
        <v>220</v>
      </c>
      <c r="C1165" t="str">
        <f>IF(COUNTIF('Rookies 22-25'!$B$61:$B$125,E1165)&gt;0,"(R)","No")</f>
        <v>No</v>
      </c>
      <c r="D1165">
        <v>68</v>
      </c>
      <c r="E1165" t="s">
        <v>1389</v>
      </c>
      <c r="F1165" t="s">
        <v>59</v>
      </c>
      <c r="G1165">
        <f>VLOOKUP(E1165,'22 Draft ADP'!$B$2:$D$510,3,FALSE)</f>
        <v>151</v>
      </c>
      <c r="H1165">
        <v>9</v>
      </c>
      <c r="I1165">
        <v>7.8</v>
      </c>
      <c r="J1165">
        <v>13.3</v>
      </c>
      <c r="K1165">
        <v>10</v>
      </c>
      <c r="L1165">
        <v>8.6</v>
      </c>
      <c r="M1165">
        <v>8.6999999999999993</v>
      </c>
      <c r="N1165">
        <v>2</v>
      </c>
      <c r="O1165">
        <v>0.4</v>
      </c>
      <c r="P1165">
        <v>5</v>
      </c>
      <c r="V1165" t="s">
        <v>22</v>
      </c>
      <c r="W1165">
        <v>0</v>
      </c>
      <c r="AA1165">
        <v>6.2</v>
      </c>
      <c r="AB1165">
        <f t="shared" si="36"/>
        <v>55.8</v>
      </c>
      <c r="AC1165">
        <v>55.8</v>
      </c>
      <c r="AE1165">
        <f t="shared" si="37"/>
        <v>1</v>
      </c>
    </row>
    <row r="1166" spans="1:31" x14ac:dyDescent="0.25">
      <c r="A1166">
        <v>2022</v>
      </c>
      <c r="B1166" t="s">
        <v>220</v>
      </c>
      <c r="C1166" t="str">
        <f>IF(COUNTIF('Rookies 22-25'!$B$61:$B$125,E1166)&gt;0,"(R)","No")</f>
        <v>No</v>
      </c>
      <c r="D1166">
        <v>69</v>
      </c>
      <c r="E1166" t="s">
        <v>296</v>
      </c>
      <c r="F1166" t="s">
        <v>43</v>
      </c>
      <c r="G1166">
        <f>VLOOKUP(E1166,'22 Draft ADP'!$B$2:$D$510,3,FALSE)</f>
        <v>234</v>
      </c>
      <c r="H1166">
        <v>16</v>
      </c>
      <c r="I1166">
        <v>0</v>
      </c>
      <c r="J1166">
        <v>3.3</v>
      </c>
      <c r="K1166">
        <v>0</v>
      </c>
      <c r="L1166">
        <v>0</v>
      </c>
      <c r="M1166">
        <v>0</v>
      </c>
      <c r="N1166" t="s">
        <v>22</v>
      </c>
      <c r="O1166">
        <v>2.7</v>
      </c>
      <c r="P1166">
        <v>6.8</v>
      </c>
      <c r="Q1166">
        <v>1.8</v>
      </c>
      <c r="R1166">
        <v>7.3</v>
      </c>
      <c r="S1166">
        <v>3.5</v>
      </c>
      <c r="T1166">
        <v>14.5</v>
      </c>
      <c r="U1166">
        <v>0.4</v>
      </c>
      <c r="V1166">
        <v>3.7</v>
      </c>
      <c r="W1166">
        <v>3.4</v>
      </c>
      <c r="X1166">
        <v>4.7</v>
      </c>
      <c r="Z1166">
        <v>2</v>
      </c>
      <c r="AA1166">
        <v>3.4</v>
      </c>
      <c r="AB1166">
        <f t="shared" si="36"/>
        <v>52.1</v>
      </c>
      <c r="AC1166">
        <v>54.1</v>
      </c>
      <c r="AE1166">
        <f t="shared" si="37"/>
        <v>1</v>
      </c>
    </row>
    <row r="1167" spans="1:31" x14ac:dyDescent="0.25">
      <c r="A1167">
        <v>2022</v>
      </c>
      <c r="B1167" t="s">
        <v>220</v>
      </c>
      <c r="C1167" t="str">
        <f>IF(COUNTIF('Rookies 22-25'!$B$61:$B$125,E1167)&gt;0,"(R)","No")</f>
        <v>No</v>
      </c>
      <c r="D1167">
        <v>70</v>
      </c>
      <c r="E1167" t="s">
        <v>286</v>
      </c>
      <c r="F1167" t="s">
        <v>47</v>
      </c>
      <c r="G1167">
        <f>VLOOKUP(E1167,'22 Draft ADP'!$B$2:$D$510,3,FALSE)</f>
        <v>460</v>
      </c>
      <c r="H1167">
        <v>13</v>
      </c>
      <c r="I1167">
        <v>0</v>
      </c>
      <c r="J1167">
        <v>6.1</v>
      </c>
      <c r="K1167">
        <v>3.4</v>
      </c>
      <c r="L1167">
        <v>5.4</v>
      </c>
      <c r="M1167">
        <v>4.7</v>
      </c>
      <c r="N1167">
        <v>7.3</v>
      </c>
      <c r="O1167">
        <v>6.4</v>
      </c>
      <c r="Q1167" t="s">
        <v>22</v>
      </c>
      <c r="S1167">
        <v>0.4</v>
      </c>
      <c r="T1167">
        <v>2.2000000000000002</v>
      </c>
      <c r="U1167">
        <v>10.199999999999999</v>
      </c>
      <c r="V1167">
        <v>2.7</v>
      </c>
      <c r="Y1167">
        <v>0.9</v>
      </c>
      <c r="Z1167">
        <v>3.9</v>
      </c>
      <c r="AA1167">
        <v>4.0999999999999996</v>
      </c>
      <c r="AB1167">
        <f t="shared" si="36"/>
        <v>49.7</v>
      </c>
      <c r="AC1167">
        <v>53.6</v>
      </c>
      <c r="AE1167">
        <f t="shared" si="37"/>
        <v>1</v>
      </c>
    </row>
    <row r="1168" spans="1:31" x14ac:dyDescent="0.25">
      <c r="A1168">
        <v>2022</v>
      </c>
      <c r="B1168" t="s">
        <v>220</v>
      </c>
      <c r="C1168" t="str">
        <f>IF(COUNTIF('Rookies 22-25'!$B$61:$B$125,E1168)&gt;0,"(R)","No")</f>
        <v>No</v>
      </c>
      <c r="D1168">
        <v>71</v>
      </c>
      <c r="E1168" t="s">
        <v>655</v>
      </c>
      <c r="F1168" t="s">
        <v>49</v>
      </c>
      <c r="G1168">
        <f>VLOOKUP(E1168,'22 Draft ADP'!$B$2:$D$510,3,FALSE)</f>
        <v>91</v>
      </c>
      <c r="H1168">
        <v>5</v>
      </c>
      <c r="I1168">
        <v>8.6999999999999993</v>
      </c>
      <c r="J1168">
        <v>1.5</v>
      </c>
      <c r="K1168">
        <v>7.9</v>
      </c>
      <c r="L1168">
        <v>28.7</v>
      </c>
      <c r="M1168">
        <v>5.4</v>
      </c>
      <c r="S1168" t="s">
        <v>22</v>
      </c>
      <c r="AA1168">
        <v>10.4</v>
      </c>
      <c r="AB1168">
        <f t="shared" si="36"/>
        <v>52.2</v>
      </c>
      <c r="AC1168">
        <v>52.2</v>
      </c>
      <c r="AE1168">
        <f t="shared" si="37"/>
        <v>1</v>
      </c>
    </row>
    <row r="1169" spans="1:31" x14ac:dyDescent="0.25">
      <c r="A1169">
        <v>2022</v>
      </c>
      <c r="B1169" t="s">
        <v>220</v>
      </c>
      <c r="C1169" t="str">
        <f>IF(COUNTIF('Rookies 22-25'!$B$61:$B$125,E1169)&gt;0,"(R)","No")</f>
        <v>No</v>
      </c>
      <c r="D1169">
        <v>72</v>
      </c>
      <c r="E1169" t="s">
        <v>1390</v>
      </c>
      <c r="F1169" t="s">
        <v>75</v>
      </c>
      <c r="G1169">
        <f>VLOOKUP(E1169,'22 Draft ADP'!$B$2:$D$510,3,FALSE)</f>
        <v>358</v>
      </c>
      <c r="H1169">
        <v>15</v>
      </c>
      <c r="J1169">
        <v>0</v>
      </c>
      <c r="K1169">
        <v>0</v>
      </c>
      <c r="L1169">
        <v>8.6999999999999993</v>
      </c>
      <c r="M1169">
        <v>1.4</v>
      </c>
      <c r="N1169" t="s">
        <v>22</v>
      </c>
      <c r="O1169">
        <v>0.2</v>
      </c>
      <c r="P1169">
        <v>0</v>
      </c>
      <c r="Q1169">
        <v>2.7</v>
      </c>
      <c r="R1169">
        <v>4.8</v>
      </c>
      <c r="S1169">
        <v>8.6999999999999993</v>
      </c>
      <c r="T1169">
        <v>2.9</v>
      </c>
      <c r="U1169">
        <v>5.3</v>
      </c>
      <c r="V1169">
        <v>10.1</v>
      </c>
      <c r="W1169">
        <v>4.0999999999999996</v>
      </c>
      <c r="X1169">
        <v>-0.1</v>
      </c>
      <c r="Z1169">
        <v>2.2999999999999998</v>
      </c>
      <c r="AA1169">
        <v>3.4</v>
      </c>
      <c r="AB1169">
        <f t="shared" si="36"/>
        <v>48.800000000000004</v>
      </c>
      <c r="AC1169">
        <v>51.1</v>
      </c>
      <c r="AE1169">
        <f t="shared" si="37"/>
        <v>1</v>
      </c>
    </row>
    <row r="1170" spans="1:31" x14ac:dyDescent="0.25">
      <c r="A1170">
        <v>2022</v>
      </c>
      <c r="B1170" t="s">
        <v>220</v>
      </c>
      <c r="C1170" t="str">
        <f>IF(COUNTIF('Rookies 22-25'!$B$61:$B$125,E1170)&gt;0,"(R)","No")</f>
        <v>No</v>
      </c>
      <c r="D1170">
        <v>73</v>
      </c>
      <c r="E1170" t="s">
        <v>1489</v>
      </c>
      <c r="F1170" t="s">
        <v>37</v>
      </c>
      <c r="G1170">
        <f>VLOOKUP(E1170,'22 Draft ADP'!$B$2:$D$510,3,FALSE)</f>
        <v>199</v>
      </c>
      <c r="H1170">
        <v>10</v>
      </c>
      <c r="I1170">
        <v>1.3</v>
      </c>
      <c r="J1170">
        <v>6.1</v>
      </c>
      <c r="K1170">
        <v>7.8</v>
      </c>
      <c r="L1170">
        <v>7.3</v>
      </c>
      <c r="M1170">
        <v>3.6</v>
      </c>
      <c r="N1170">
        <v>6.7</v>
      </c>
      <c r="O1170">
        <v>5.2</v>
      </c>
      <c r="P1170">
        <v>1.2</v>
      </c>
      <c r="T1170">
        <v>1</v>
      </c>
      <c r="U1170">
        <v>9.9</v>
      </c>
      <c r="V1170" t="s">
        <v>22</v>
      </c>
      <c r="AA1170">
        <v>5</v>
      </c>
      <c r="AB1170">
        <f t="shared" si="36"/>
        <v>50.1</v>
      </c>
      <c r="AC1170">
        <v>50.1</v>
      </c>
      <c r="AE1170">
        <f t="shared" si="37"/>
        <v>0</v>
      </c>
    </row>
    <row r="1171" spans="1:31" x14ac:dyDescent="0.25">
      <c r="A1171">
        <v>2022</v>
      </c>
      <c r="B1171" t="s">
        <v>220</v>
      </c>
      <c r="C1171" t="str">
        <f>IF(COUNTIF('Rookies 22-25'!$B$61:$B$125,E1171)&gt;0,"(R)","No")</f>
        <v>No</v>
      </c>
      <c r="D1171">
        <v>74</v>
      </c>
      <c r="E1171" t="s">
        <v>309</v>
      </c>
      <c r="F1171" t="s">
        <v>41</v>
      </c>
      <c r="G1171">
        <f>VLOOKUP(E1171,'22 Draft ADP'!$B$2:$D$510,3,FALSE)</f>
        <v>482</v>
      </c>
      <c r="H1171">
        <v>15</v>
      </c>
      <c r="J1171">
        <v>0</v>
      </c>
      <c r="L1171">
        <v>0</v>
      </c>
      <c r="M1171">
        <v>0</v>
      </c>
      <c r="N1171" t="s">
        <v>22</v>
      </c>
      <c r="O1171">
        <v>11.2</v>
      </c>
      <c r="P1171">
        <v>1</v>
      </c>
      <c r="Q1171">
        <v>0</v>
      </c>
      <c r="R1171">
        <v>2.2999999999999998</v>
      </c>
      <c r="S1171">
        <v>1.5</v>
      </c>
      <c r="T1171">
        <v>9</v>
      </c>
      <c r="U1171">
        <v>4.0999999999999996</v>
      </c>
      <c r="V1171">
        <v>2.1</v>
      </c>
      <c r="W1171">
        <v>1.4</v>
      </c>
      <c r="X1171">
        <v>2.8</v>
      </c>
      <c r="Y1171">
        <v>4.5</v>
      </c>
      <c r="Z1171">
        <v>8.8000000000000007</v>
      </c>
      <c r="AA1171">
        <v>3.2</v>
      </c>
      <c r="AB1171">
        <f t="shared" si="36"/>
        <v>39.900000000000006</v>
      </c>
      <c r="AC1171">
        <v>48.7</v>
      </c>
      <c r="AE1171">
        <f t="shared" si="37"/>
        <v>1</v>
      </c>
    </row>
    <row r="1172" spans="1:31" x14ac:dyDescent="0.25">
      <c r="A1172">
        <v>2022</v>
      </c>
      <c r="B1172" t="s">
        <v>220</v>
      </c>
      <c r="C1172" t="str">
        <f>IF(COUNTIF('Rookies 22-25'!$B$61:$B$125,E1172)&gt;0,"(R)","No")</f>
        <v>No</v>
      </c>
      <c r="D1172">
        <v>75</v>
      </c>
      <c r="E1172" t="s">
        <v>1391</v>
      </c>
      <c r="F1172" t="s">
        <v>49</v>
      </c>
      <c r="G1172">
        <f>VLOOKUP(E1172,'22 Draft ADP'!$B$2:$D$510,3,FALSE)</f>
        <v>328</v>
      </c>
      <c r="H1172">
        <v>15</v>
      </c>
      <c r="I1172">
        <v>0</v>
      </c>
      <c r="J1172">
        <v>-1</v>
      </c>
      <c r="K1172">
        <v>5.8</v>
      </c>
      <c r="L1172">
        <v>0</v>
      </c>
      <c r="M1172">
        <v>2</v>
      </c>
      <c r="N1172">
        <v>0.1</v>
      </c>
      <c r="O1172">
        <v>6.1</v>
      </c>
      <c r="P1172">
        <v>0</v>
      </c>
      <c r="Q1172">
        <v>0.4</v>
      </c>
      <c r="R1172">
        <v>0</v>
      </c>
      <c r="S1172" t="s">
        <v>22</v>
      </c>
      <c r="T1172">
        <v>3.5</v>
      </c>
      <c r="U1172">
        <v>3.7</v>
      </c>
      <c r="X1172">
        <v>10.199999999999999</v>
      </c>
      <c r="Y1172">
        <v>12.8</v>
      </c>
      <c r="Z1172">
        <v>3.6</v>
      </c>
      <c r="AA1172">
        <v>3.1</v>
      </c>
      <c r="AB1172">
        <f t="shared" si="36"/>
        <v>43.6</v>
      </c>
      <c r="AC1172">
        <v>47.2</v>
      </c>
      <c r="AE1172">
        <f t="shared" si="37"/>
        <v>2</v>
      </c>
    </row>
    <row r="1173" spans="1:31" x14ac:dyDescent="0.25">
      <c r="A1173">
        <v>2022</v>
      </c>
      <c r="B1173" t="s">
        <v>220</v>
      </c>
      <c r="C1173" t="str">
        <f>IF(COUNTIF('Rookies 22-25'!$B$61:$B$125,E1173)&gt;0,"(R)","No")</f>
        <v>No</v>
      </c>
      <c r="D1173">
        <v>76</v>
      </c>
      <c r="E1173" t="s">
        <v>1392</v>
      </c>
      <c r="F1173" t="s">
        <v>35</v>
      </c>
      <c r="G1173">
        <f>VLOOKUP(E1173,'22 Draft ADP'!$B$2:$D$510,3,FALSE)</f>
        <v>245</v>
      </c>
      <c r="H1173">
        <v>15</v>
      </c>
      <c r="I1173">
        <v>7</v>
      </c>
      <c r="J1173">
        <v>3.1</v>
      </c>
      <c r="K1173">
        <v>0</v>
      </c>
      <c r="N1173">
        <v>1.6</v>
      </c>
      <c r="O1173" t="s">
        <v>22</v>
      </c>
      <c r="P1173">
        <v>2.1</v>
      </c>
      <c r="Q1173">
        <v>0.5</v>
      </c>
      <c r="R1173">
        <v>0.5</v>
      </c>
      <c r="S1173">
        <v>3.2</v>
      </c>
      <c r="T1173">
        <v>2.4</v>
      </c>
      <c r="U1173">
        <v>3.1</v>
      </c>
      <c r="V1173">
        <v>10.7</v>
      </c>
      <c r="W1173">
        <v>0</v>
      </c>
      <c r="X1173">
        <v>0</v>
      </c>
      <c r="Y1173">
        <v>0.6</v>
      </c>
      <c r="Z1173">
        <v>11.4</v>
      </c>
      <c r="AA1173">
        <v>3.1</v>
      </c>
      <c r="AB1173">
        <f t="shared" si="36"/>
        <v>34.800000000000004</v>
      </c>
      <c r="AC1173">
        <v>46.2</v>
      </c>
      <c r="AE1173">
        <f t="shared" si="37"/>
        <v>1</v>
      </c>
    </row>
    <row r="1174" spans="1:31" x14ac:dyDescent="0.25">
      <c r="A1174">
        <v>2022</v>
      </c>
      <c r="B1174" t="s">
        <v>220</v>
      </c>
      <c r="C1174" t="str">
        <f>IF(COUNTIF('Rookies 22-25'!$B$61:$B$125,E1174)&gt;0,"(R)","No")</f>
        <v>No</v>
      </c>
      <c r="D1174">
        <v>77</v>
      </c>
      <c r="E1174" t="s">
        <v>1121</v>
      </c>
      <c r="F1174" t="s">
        <v>24</v>
      </c>
      <c r="G1174">
        <v>306</v>
      </c>
      <c r="H1174">
        <v>12</v>
      </c>
      <c r="J1174">
        <v>0.3</v>
      </c>
      <c r="L1174">
        <v>11.6</v>
      </c>
      <c r="M1174">
        <v>3.4</v>
      </c>
      <c r="N1174">
        <v>5.9</v>
      </c>
      <c r="O1174">
        <v>2.2000000000000002</v>
      </c>
      <c r="P1174">
        <v>9.1</v>
      </c>
      <c r="Q1174">
        <v>3.4</v>
      </c>
      <c r="R1174">
        <v>3.2</v>
      </c>
      <c r="S1174">
        <v>1.6</v>
      </c>
      <c r="T1174">
        <v>2.2999999999999998</v>
      </c>
      <c r="U1174">
        <v>1.7</v>
      </c>
      <c r="V1174" t="s">
        <v>22</v>
      </c>
      <c r="W1174">
        <v>0.2</v>
      </c>
      <c r="AA1174">
        <v>3.7</v>
      </c>
      <c r="AB1174">
        <f t="shared" si="36"/>
        <v>44.9</v>
      </c>
      <c r="AC1174">
        <v>44.9</v>
      </c>
      <c r="AE1174">
        <f t="shared" si="37"/>
        <v>1</v>
      </c>
    </row>
    <row r="1175" spans="1:31" x14ac:dyDescent="0.25">
      <c r="A1175">
        <v>2022</v>
      </c>
      <c r="B1175" t="s">
        <v>220</v>
      </c>
      <c r="C1175" t="str">
        <f>IF(COUNTIF('Rookies 22-25'!$B$61:$B$125,E1175)&gt;0,"(R)","No")</f>
        <v>No</v>
      </c>
      <c r="D1175">
        <v>78</v>
      </c>
      <c r="E1175" t="s">
        <v>494</v>
      </c>
      <c r="F1175" t="s">
        <v>47</v>
      </c>
      <c r="G1175">
        <f>VLOOKUP(E1175,'22 Draft ADP'!$B$2:$D$510,3,FALSE)</f>
        <v>65</v>
      </c>
      <c r="H1175">
        <v>5</v>
      </c>
      <c r="I1175">
        <v>4.0999999999999996</v>
      </c>
      <c r="Q1175" t="s">
        <v>22</v>
      </c>
      <c r="R1175">
        <v>9.8000000000000007</v>
      </c>
      <c r="S1175">
        <v>5.9</v>
      </c>
      <c r="T1175">
        <v>6.3</v>
      </c>
      <c r="Z1175">
        <v>17.5</v>
      </c>
      <c r="AA1175">
        <v>8.6999999999999993</v>
      </c>
      <c r="AB1175">
        <f t="shared" si="36"/>
        <v>26.1</v>
      </c>
      <c r="AC1175">
        <v>43.6</v>
      </c>
      <c r="AE1175">
        <f t="shared" si="37"/>
        <v>0</v>
      </c>
    </row>
    <row r="1176" spans="1:31" x14ac:dyDescent="0.25">
      <c r="A1176">
        <v>2022</v>
      </c>
      <c r="B1176" t="s">
        <v>331</v>
      </c>
      <c r="C1176" t="str">
        <f>IF(COUNTIF('Rookies 22-25'!$B$61:$B$125,E1176)&gt;0,"(R)","No")</f>
        <v>No</v>
      </c>
      <c r="D1176">
        <v>1</v>
      </c>
      <c r="E1176" t="s">
        <v>1478</v>
      </c>
      <c r="F1176" t="s">
        <v>26</v>
      </c>
      <c r="G1176">
        <f>VLOOKUP(E1176,'22 Draft ADP'!$B$2:$D$510,3,FALSE)</f>
        <v>39</v>
      </c>
      <c r="H1176">
        <v>17</v>
      </c>
      <c r="I1176">
        <v>34.9</v>
      </c>
      <c r="J1176">
        <v>17.3</v>
      </c>
      <c r="K1176">
        <v>18.100000000000001</v>
      </c>
      <c r="L1176">
        <v>24.4</v>
      </c>
      <c r="M1176">
        <v>30.5</v>
      </c>
      <c r="N1176">
        <v>21.6</v>
      </c>
      <c r="O1176">
        <v>27.9</v>
      </c>
      <c r="P1176" t="s">
        <v>22</v>
      </c>
      <c r="Q1176">
        <v>35.1</v>
      </c>
      <c r="R1176">
        <v>32.1</v>
      </c>
      <c r="S1176">
        <v>27.5</v>
      </c>
      <c r="T1176">
        <v>19.399999999999999</v>
      </c>
      <c r="U1176">
        <v>19.8</v>
      </c>
      <c r="V1176">
        <v>22.8</v>
      </c>
      <c r="W1176">
        <v>32.700000000000003</v>
      </c>
      <c r="X1176">
        <v>23.8</v>
      </c>
      <c r="Y1176">
        <v>25.5</v>
      </c>
      <c r="Z1176">
        <v>15</v>
      </c>
      <c r="AA1176">
        <v>25.2</v>
      </c>
      <c r="AB1176">
        <f t="shared" si="36"/>
        <v>413.4</v>
      </c>
      <c r="AC1176">
        <v>428.4</v>
      </c>
      <c r="AE1176">
        <f t="shared" si="37"/>
        <v>16</v>
      </c>
    </row>
    <row r="1177" spans="1:31" x14ac:dyDescent="0.25">
      <c r="A1177">
        <v>2022</v>
      </c>
      <c r="B1177" t="s">
        <v>331</v>
      </c>
      <c r="C1177" t="str">
        <f>IF(COUNTIF('Rookies 22-25'!$B$61:$B$125,E1177)&gt;0,"(R)","No")</f>
        <v>No</v>
      </c>
      <c r="D1177">
        <v>2</v>
      </c>
      <c r="E1177" t="s">
        <v>332</v>
      </c>
      <c r="F1177" t="s">
        <v>61</v>
      </c>
      <c r="G1177">
        <f>VLOOKUP(E1177,'22 Draft ADP'!$B$2:$D$510,3,FALSE)</f>
        <v>24</v>
      </c>
      <c r="H1177">
        <v>17</v>
      </c>
      <c r="I1177">
        <v>33.5</v>
      </c>
      <c r="J1177">
        <v>29.7</v>
      </c>
      <c r="K1177">
        <v>26.7</v>
      </c>
      <c r="L1177">
        <v>24.5</v>
      </c>
      <c r="M1177">
        <v>36.200000000000003</v>
      </c>
      <c r="N1177">
        <v>26.4</v>
      </c>
      <c r="O1177" t="s">
        <v>22</v>
      </c>
      <c r="P1177">
        <v>19.600000000000001</v>
      </c>
      <c r="Q1177">
        <v>26.8</v>
      </c>
      <c r="R1177">
        <v>21.6</v>
      </c>
      <c r="S1177">
        <v>12.6</v>
      </c>
      <c r="T1177">
        <v>30.9</v>
      </c>
      <c r="U1177">
        <v>16.899999999999999</v>
      </c>
      <c r="V1177">
        <v>20.6</v>
      </c>
      <c r="W1177">
        <v>35.9</v>
      </c>
      <c r="X1177">
        <v>25</v>
      </c>
      <c r="Y1177">
        <v>2.7</v>
      </c>
      <c r="Z1177">
        <v>22.8</v>
      </c>
      <c r="AA1177">
        <v>24.2</v>
      </c>
      <c r="AB1177">
        <f t="shared" si="36"/>
        <v>389.4</v>
      </c>
      <c r="AC1177">
        <v>412.2</v>
      </c>
      <c r="AE1177">
        <f t="shared" si="37"/>
        <v>15</v>
      </c>
    </row>
    <row r="1178" spans="1:31" x14ac:dyDescent="0.25">
      <c r="A1178">
        <v>2022</v>
      </c>
      <c r="B1178" t="s">
        <v>331</v>
      </c>
      <c r="C1178" t="str">
        <f>IF(COUNTIF('Rookies 22-25'!$B$61:$B$125,E1178)&gt;0,"(R)","No")</f>
        <v>No</v>
      </c>
      <c r="D1178">
        <v>3</v>
      </c>
      <c r="E1178" t="s">
        <v>340</v>
      </c>
      <c r="F1178" t="s">
        <v>35</v>
      </c>
      <c r="G1178">
        <f>VLOOKUP(E1178,'22 Draft ADP'!$B$2:$D$510,3,FALSE)</f>
        <v>52</v>
      </c>
      <c r="H1178">
        <v>15</v>
      </c>
      <c r="I1178">
        <v>24.7</v>
      </c>
      <c r="J1178">
        <v>34</v>
      </c>
      <c r="K1178">
        <v>27.6</v>
      </c>
      <c r="L1178">
        <v>17</v>
      </c>
      <c r="M1178">
        <v>27.7</v>
      </c>
      <c r="N1178">
        <v>16.899999999999999</v>
      </c>
      <c r="O1178" t="s">
        <v>22</v>
      </c>
      <c r="P1178">
        <v>28.4</v>
      </c>
      <c r="Q1178">
        <v>20</v>
      </c>
      <c r="R1178">
        <v>22.8</v>
      </c>
      <c r="S1178">
        <v>24.2</v>
      </c>
      <c r="T1178">
        <v>29.8</v>
      </c>
      <c r="U1178">
        <v>34.4</v>
      </c>
      <c r="V1178">
        <v>30.4</v>
      </c>
      <c r="W1178">
        <v>36.700000000000003</v>
      </c>
      <c r="Z1178">
        <v>9.5</v>
      </c>
      <c r="AA1178">
        <v>25.6</v>
      </c>
      <c r="AB1178">
        <f t="shared" si="36"/>
        <v>374.5</v>
      </c>
      <c r="AC1178">
        <v>384</v>
      </c>
      <c r="AE1178">
        <f t="shared" si="37"/>
        <v>14</v>
      </c>
    </row>
    <row r="1179" spans="1:31" x14ac:dyDescent="0.25">
      <c r="A1179">
        <v>2022</v>
      </c>
      <c r="B1179" t="s">
        <v>331</v>
      </c>
      <c r="C1179" t="str">
        <f>IF(COUNTIF('Rookies 22-25'!$B$61:$B$125,E1179)&gt;0,"(R)","No")</f>
        <v>No</v>
      </c>
      <c r="D1179">
        <v>4</v>
      </c>
      <c r="E1179" t="s">
        <v>360</v>
      </c>
      <c r="F1179" t="s">
        <v>89</v>
      </c>
      <c r="G1179">
        <f>VLOOKUP(E1179,'22 Draft ADP'!$B$2:$D$510,3,FALSE)</f>
        <v>63</v>
      </c>
      <c r="H1179">
        <v>17</v>
      </c>
      <c r="I1179">
        <v>22.2</v>
      </c>
      <c r="J1179">
        <v>16.600000000000001</v>
      </c>
      <c r="K1179">
        <v>23</v>
      </c>
      <c r="L1179">
        <v>20.100000000000001</v>
      </c>
      <c r="M1179">
        <v>18.3</v>
      </c>
      <c r="N1179">
        <v>32.5</v>
      </c>
      <c r="O1179">
        <v>39.200000000000003</v>
      </c>
      <c r="P1179">
        <v>14.5</v>
      </c>
      <c r="Q1179">
        <v>19.100000000000001</v>
      </c>
      <c r="R1179" t="s">
        <v>22</v>
      </c>
      <c r="S1179">
        <v>28.7</v>
      </c>
      <c r="T1179">
        <v>18</v>
      </c>
      <c r="U1179">
        <v>30</v>
      </c>
      <c r="V1179">
        <v>17.600000000000001</v>
      </c>
      <c r="W1179">
        <v>25.8</v>
      </c>
      <c r="X1179">
        <v>25.5</v>
      </c>
      <c r="Y1179">
        <v>6.3</v>
      </c>
      <c r="Z1179">
        <v>11.6</v>
      </c>
      <c r="AA1179">
        <v>21.7</v>
      </c>
      <c r="AB1179">
        <f t="shared" si="36"/>
        <v>357.4</v>
      </c>
      <c r="AC1179">
        <v>369</v>
      </c>
      <c r="AE1179">
        <f t="shared" si="37"/>
        <v>15</v>
      </c>
    </row>
    <row r="1180" spans="1:31" x14ac:dyDescent="0.25">
      <c r="A1180">
        <v>2022</v>
      </c>
      <c r="B1180" t="s">
        <v>331</v>
      </c>
      <c r="C1180" t="str">
        <f>IF(COUNTIF('Rookies 22-25'!$B$61:$B$125,E1180)&gt;0,"(R)","No")</f>
        <v>No</v>
      </c>
      <c r="D1180">
        <v>5</v>
      </c>
      <c r="E1180" t="s">
        <v>354</v>
      </c>
      <c r="F1180" t="s">
        <v>49</v>
      </c>
      <c r="G1180">
        <f>VLOOKUP(E1180,'22 Draft ADP'!$B$2:$D$510,3,FALSE)</f>
        <v>272</v>
      </c>
      <c r="H1180">
        <v>17</v>
      </c>
      <c r="I1180">
        <v>17.2</v>
      </c>
      <c r="J1180">
        <v>7.1</v>
      </c>
      <c r="K1180">
        <v>19.899999999999999</v>
      </c>
      <c r="L1180">
        <v>31.7</v>
      </c>
      <c r="M1180">
        <v>24</v>
      </c>
      <c r="N1180">
        <v>12.7</v>
      </c>
      <c r="O1180">
        <v>14.1</v>
      </c>
      <c r="P1180">
        <v>19.100000000000001</v>
      </c>
      <c r="Q1180">
        <v>21.8</v>
      </c>
      <c r="R1180">
        <v>19.2</v>
      </c>
      <c r="S1180" t="s">
        <v>22</v>
      </c>
      <c r="T1180">
        <v>20.3</v>
      </c>
      <c r="U1180">
        <v>24</v>
      </c>
      <c r="V1180">
        <v>22.6</v>
      </c>
      <c r="W1180">
        <v>15.3</v>
      </c>
      <c r="X1180">
        <v>13.2</v>
      </c>
      <c r="Y1180">
        <v>17.100000000000001</v>
      </c>
      <c r="Z1180">
        <v>15.6</v>
      </c>
      <c r="AA1180">
        <v>18.5</v>
      </c>
      <c r="AB1180">
        <f t="shared" si="36"/>
        <v>299.29999999999995</v>
      </c>
      <c r="AC1180">
        <v>314.89999999999998</v>
      </c>
      <c r="AE1180">
        <f t="shared" si="37"/>
        <v>15</v>
      </c>
    </row>
    <row r="1181" spans="1:31" x14ac:dyDescent="0.25">
      <c r="A1181">
        <v>2022</v>
      </c>
      <c r="B1181" t="s">
        <v>331</v>
      </c>
      <c r="C1181" t="str">
        <f>IF(COUNTIF('Rookies 22-25'!$B$61:$B$125,E1181)&gt;0,"(R)","No")</f>
        <v>No</v>
      </c>
      <c r="D1181">
        <v>6</v>
      </c>
      <c r="E1181" t="s">
        <v>359</v>
      </c>
      <c r="F1181" t="s">
        <v>45</v>
      </c>
      <c r="G1181">
        <f>VLOOKUP(E1181,'22 Draft ADP'!$B$2:$D$510,3,FALSE)</f>
        <v>118</v>
      </c>
      <c r="H1181">
        <v>15</v>
      </c>
      <c r="I1181">
        <v>14.6</v>
      </c>
      <c r="J1181">
        <v>9.8000000000000007</v>
      </c>
      <c r="K1181">
        <v>6.9</v>
      </c>
      <c r="L1181">
        <v>10.199999999999999</v>
      </c>
      <c r="M1181">
        <v>17</v>
      </c>
      <c r="N1181">
        <v>19.399999999999999</v>
      </c>
      <c r="O1181">
        <v>24.4</v>
      </c>
      <c r="P1181">
        <v>26</v>
      </c>
      <c r="Q1181">
        <v>42.7</v>
      </c>
      <c r="R1181">
        <v>40.4</v>
      </c>
      <c r="S1181">
        <v>23.6</v>
      </c>
      <c r="U1181">
        <v>21.3</v>
      </c>
      <c r="V1181" t="s">
        <v>22</v>
      </c>
      <c r="W1181">
        <v>23.6</v>
      </c>
      <c r="X1181">
        <v>9.9</v>
      </c>
      <c r="Y1181">
        <v>17.2</v>
      </c>
      <c r="AA1181">
        <v>20.5</v>
      </c>
      <c r="AB1181">
        <f t="shared" si="36"/>
        <v>307</v>
      </c>
      <c r="AC1181">
        <v>307</v>
      </c>
      <c r="AE1181">
        <f t="shared" si="37"/>
        <v>12</v>
      </c>
    </row>
    <row r="1182" spans="1:31" x14ac:dyDescent="0.25">
      <c r="A1182">
        <v>2022</v>
      </c>
      <c r="B1182" t="s">
        <v>331</v>
      </c>
      <c r="C1182" t="str">
        <f>IF(COUNTIF('Rookies 22-25'!$B$61:$B$125,E1182)&gt;0,"(R)","No")</f>
        <v>No</v>
      </c>
      <c r="D1182">
        <v>7</v>
      </c>
      <c r="E1182" t="s">
        <v>366</v>
      </c>
      <c r="F1182" t="s">
        <v>73</v>
      </c>
      <c r="G1182">
        <f>VLOOKUP(E1182,'22 Draft ADP'!$B$2:$D$510,3,FALSE)</f>
        <v>105</v>
      </c>
      <c r="H1182">
        <v>17</v>
      </c>
      <c r="I1182">
        <v>19.100000000000001</v>
      </c>
      <c r="J1182">
        <v>11.8</v>
      </c>
      <c r="K1182">
        <v>18.3</v>
      </c>
      <c r="L1182">
        <v>13.9</v>
      </c>
      <c r="M1182">
        <v>23.2</v>
      </c>
      <c r="N1182">
        <v>16.5</v>
      </c>
      <c r="O1182" t="s">
        <v>22</v>
      </c>
      <c r="P1182">
        <v>23.5</v>
      </c>
      <c r="Q1182">
        <v>17.399999999999999</v>
      </c>
      <c r="R1182">
        <v>17.5</v>
      </c>
      <c r="S1182">
        <v>2.2000000000000002</v>
      </c>
      <c r="T1182">
        <v>22.9</v>
      </c>
      <c r="U1182">
        <v>11.8</v>
      </c>
      <c r="V1182">
        <v>25</v>
      </c>
      <c r="W1182">
        <v>34.4</v>
      </c>
      <c r="X1182">
        <v>24.2</v>
      </c>
      <c r="Y1182">
        <v>10.9</v>
      </c>
      <c r="Z1182">
        <v>13</v>
      </c>
      <c r="AA1182">
        <v>18</v>
      </c>
      <c r="AB1182">
        <f t="shared" si="36"/>
        <v>292.60000000000002</v>
      </c>
      <c r="AC1182">
        <v>305.60000000000002</v>
      </c>
      <c r="AE1182">
        <f t="shared" si="37"/>
        <v>15</v>
      </c>
    </row>
    <row r="1183" spans="1:31" x14ac:dyDescent="0.25">
      <c r="A1183">
        <v>2022</v>
      </c>
      <c r="B1183" t="s">
        <v>331</v>
      </c>
      <c r="C1183" t="str">
        <f>IF(COUNTIF('Rookies 22-25'!$B$61:$B$125,E1183)&gt;0,"(R)","No")</f>
        <v>No</v>
      </c>
      <c r="D1183">
        <v>8</v>
      </c>
      <c r="E1183" t="s">
        <v>335</v>
      </c>
      <c r="F1183" t="s">
        <v>67</v>
      </c>
      <c r="G1183">
        <f>VLOOKUP(E1183,'22 Draft ADP'!$B$2:$D$510,3,FALSE)</f>
        <v>123</v>
      </c>
      <c r="H1183">
        <v>17</v>
      </c>
      <c r="I1183">
        <v>14.4</v>
      </c>
      <c r="J1183">
        <v>18.5</v>
      </c>
      <c r="K1183">
        <v>25.2</v>
      </c>
      <c r="L1183">
        <v>6.7</v>
      </c>
      <c r="M1183">
        <v>12.3</v>
      </c>
      <c r="N1183">
        <v>24.9</v>
      </c>
      <c r="O1183">
        <v>18.7</v>
      </c>
      <c r="P1183">
        <v>8.8000000000000007</v>
      </c>
      <c r="Q1183">
        <v>16.7</v>
      </c>
      <c r="R1183">
        <v>21</v>
      </c>
      <c r="S1183" t="s">
        <v>22</v>
      </c>
      <c r="T1183">
        <v>24.9</v>
      </c>
      <c r="U1183">
        <v>16.399999999999999</v>
      </c>
      <c r="V1183">
        <v>33.4</v>
      </c>
      <c r="W1183">
        <v>27.8</v>
      </c>
      <c r="X1183">
        <v>18.3</v>
      </c>
      <c r="Y1183">
        <v>5.5</v>
      </c>
      <c r="Z1183">
        <v>10.199999999999999</v>
      </c>
      <c r="AA1183">
        <v>17.899999999999999</v>
      </c>
      <c r="AB1183">
        <f t="shared" si="36"/>
        <v>293.40000000000003</v>
      </c>
      <c r="AC1183">
        <v>303.60000000000002</v>
      </c>
      <c r="AE1183">
        <f t="shared" si="37"/>
        <v>13</v>
      </c>
    </row>
    <row r="1184" spans="1:31" x14ac:dyDescent="0.25">
      <c r="A1184">
        <v>2022</v>
      </c>
      <c r="B1184" t="s">
        <v>331</v>
      </c>
      <c r="C1184" t="str">
        <f>IF(COUNTIF('Rookies 22-25'!$B$61:$B$125,E1184)&gt;0,"(R)","No")</f>
        <v>No</v>
      </c>
      <c r="D1184">
        <v>9</v>
      </c>
      <c r="E1184" t="s">
        <v>348</v>
      </c>
      <c r="F1184" t="s">
        <v>57</v>
      </c>
      <c r="G1184">
        <f>VLOOKUP(E1184,'22 Draft ADP'!$B$2:$D$510,3,FALSE)</f>
        <v>152</v>
      </c>
      <c r="H1184">
        <v>16</v>
      </c>
      <c r="I1184">
        <v>17</v>
      </c>
      <c r="J1184">
        <v>13.1</v>
      </c>
      <c r="K1184">
        <v>14.7</v>
      </c>
      <c r="L1184">
        <v>21.6</v>
      </c>
      <c r="M1184">
        <v>12.4</v>
      </c>
      <c r="N1184">
        <v>13.5</v>
      </c>
      <c r="O1184">
        <v>28.8</v>
      </c>
      <c r="P1184">
        <v>9</v>
      </c>
      <c r="Q1184" t="s">
        <v>22</v>
      </c>
      <c r="R1184">
        <v>18.3</v>
      </c>
      <c r="S1184">
        <v>26.6</v>
      </c>
      <c r="T1184">
        <v>14.5</v>
      </c>
      <c r="U1184">
        <v>17.100000000000001</v>
      </c>
      <c r="V1184">
        <v>19.399999999999999</v>
      </c>
      <c r="W1184">
        <v>9.9</v>
      </c>
      <c r="X1184">
        <v>21.8</v>
      </c>
      <c r="Y1184">
        <v>36.200000000000003</v>
      </c>
      <c r="AA1184">
        <v>18.399999999999999</v>
      </c>
      <c r="AB1184">
        <f t="shared" si="36"/>
        <v>294</v>
      </c>
      <c r="AC1184">
        <v>294</v>
      </c>
      <c r="AE1184">
        <f t="shared" si="37"/>
        <v>14</v>
      </c>
    </row>
    <row r="1185" spans="1:31" x14ac:dyDescent="0.25">
      <c r="A1185">
        <v>2022</v>
      </c>
      <c r="B1185" t="s">
        <v>331</v>
      </c>
      <c r="C1185" t="str">
        <f>IF(COUNTIF('Rookies 22-25'!$B$61:$B$125,E1185)&gt;0,"(R)","No")</f>
        <v>No</v>
      </c>
      <c r="D1185">
        <v>10</v>
      </c>
      <c r="E1185" t="s">
        <v>339</v>
      </c>
      <c r="F1185" t="s">
        <v>75</v>
      </c>
      <c r="G1185">
        <f>VLOOKUP(E1185,'22 Draft ADP'!$B$2:$D$510,3,FALSE)</f>
        <v>158</v>
      </c>
      <c r="H1185">
        <v>17</v>
      </c>
      <c r="I1185">
        <v>16.5</v>
      </c>
      <c r="J1185">
        <v>26</v>
      </c>
      <c r="K1185">
        <v>14.9</v>
      </c>
      <c r="L1185">
        <v>34.200000000000003</v>
      </c>
      <c r="M1185">
        <v>6.9</v>
      </c>
      <c r="N1185" t="s">
        <v>22</v>
      </c>
      <c r="O1185">
        <v>3.5</v>
      </c>
      <c r="P1185">
        <v>17.600000000000001</v>
      </c>
      <c r="Q1185">
        <v>12.4</v>
      </c>
      <c r="R1185">
        <v>14.8</v>
      </c>
      <c r="S1185">
        <v>6.5</v>
      </c>
      <c r="T1185">
        <v>17.600000000000001</v>
      </c>
      <c r="U1185">
        <v>21.6</v>
      </c>
      <c r="V1185">
        <v>26.1</v>
      </c>
      <c r="W1185">
        <v>14.1</v>
      </c>
      <c r="X1185">
        <v>25.7</v>
      </c>
      <c r="Y1185">
        <v>22.4</v>
      </c>
      <c r="Z1185">
        <v>9.5</v>
      </c>
      <c r="AA1185">
        <v>17.100000000000001</v>
      </c>
      <c r="AB1185">
        <f t="shared" si="36"/>
        <v>280.8</v>
      </c>
      <c r="AC1185">
        <v>290.3</v>
      </c>
      <c r="AE1185">
        <f t="shared" si="37"/>
        <v>13</v>
      </c>
    </row>
    <row r="1186" spans="1:31" x14ac:dyDescent="0.25">
      <c r="A1186">
        <v>2022</v>
      </c>
      <c r="B1186" t="s">
        <v>331</v>
      </c>
      <c r="C1186" t="str">
        <f>IF(COUNTIF('Rookies 22-25'!$B$61:$B$125,E1186)&gt;0,"(R)","No")</f>
        <v>No</v>
      </c>
      <c r="D1186">
        <v>11</v>
      </c>
      <c r="E1186" t="s">
        <v>341</v>
      </c>
      <c r="F1186" t="s">
        <v>51</v>
      </c>
      <c r="G1186">
        <f>VLOOKUP(E1186,'22 Draft ADP'!$B$2:$D$510,3,FALSE)</f>
        <v>36</v>
      </c>
      <c r="H1186">
        <v>17</v>
      </c>
      <c r="I1186">
        <v>23.3</v>
      </c>
      <c r="J1186">
        <v>24.5</v>
      </c>
      <c r="K1186">
        <v>13.6</v>
      </c>
      <c r="L1186">
        <v>21.1</v>
      </c>
      <c r="M1186">
        <v>14.4</v>
      </c>
      <c r="N1186">
        <v>9.4</v>
      </c>
      <c r="O1186">
        <v>18.100000000000001</v>
      </c>
      <c r="P1186" t="s">
        <v>22</v>
      </c>
      <c r="Q1186">
        <v>13.1</v>
      </c>
      <c r="R1186">
        <v>13</v>
      </c>
      <c r="S1186">
        <v>19.7</v>
      </c>
      <c r="T1186">
        <v>28.8</v>
      </c>
      <c r="U1186">
        <v>18.100000000000001</v>
      </c>
      <c r="V1186">
        <v>19.5</v>
      </c>
      <c r="W1186">
        <v>10.7</v>
      </c>
      <c r="X1186">
        <v>6.5</v>
      </c>
      <c r="Y1186">
        <v>16.7</v>
      </c>
      <c r="Z1186">
        <v>18.8</v>
      </c>
      <c r="AA1186">
        <v>17</v>
      </c>
      <c r="AB1186">
        <f t="shared" si="36"/>
        <v>270.5</v>
      </c>
      <c r="AC1186">
        <v>289.3</v>
      </c>
      <c r="AE1186">
        <f t="shared" si="37"/>
        <v>14</v>
      </c>
    </row>
    <row r="1187" spans="1:31" x14ac:dyDescent="0.25">
      <c r="A1187">
        <v>2022</v>
      </c>
      <c r="B1187" t="s">
        <v>331</v>
      </c>
      <c r="C1187" t="str">
        <f>IF(COUNTIF('Rookies 22-25'!$B$61:$B$125,E1187)&gt;0,"(R)","No")</f>
        <v>No</v>
      </c>
      <c r="D1187">
        <v>12</v>
      </c>
      <c r="E1187" t="s">
        <v>898</v>
      </c>
      <c r="F1187" t="s">
        <v>65</v>
      </c>
      <c r="G1187">
        <f>VLOOKUP(E1187,'22 Draft ADP'!$B$2:$D$510,3,FALSE)</f>
        <v>74</v>
      </c>
      <c r="H1187">
        <v>17</v>
      </c>
      <c r="I1187">
        <v>11.4</v>
      </c>
      <c r="J1187">
        <v>9.4</v>
      </c>
      <c r="K1187">
        <v>14.7</v>
      </c>
      <c r="L1187">
        <v>25.4</v>
      </c>
      <c r="M1187">
        <v>19.7</v>
      </c>
      <c r="N1187">
        <v>13.7</v>
      </c>
      <c r="O1187">
        <v>11.7</v>
      </c>
      <c r="P1187">
        <v>17.100000000000001</v>
      </c>
      <c r="Q1187">
        <v>15.2</v>
      </c>
      <c r="R1187">
        <v>17</v>
      </c>
      <c r="S1187" t="s">
        <v>22</v>
      </c>
      <c r="T1187">
        <v>18</v>
      </c>
      <c r="U1187">
        <v>18.100000000000001</v>
      </c>
      <c r="V1187">
        <v>12.1</v>
      </c>
      <c r="W1187">
        <v>18.600000000000001</v>
      </c>
      <c r="X1187">
        <v>13.3</v>
      </c>
      <c r="Y1187">
        <v>37.700000000000003</v>
      </c>
      <c r="Z1187">
        <v>7.4</v>
      </c>
      <c r="AA1187">
        <v>16.5</v>
      </c>
      <c r="AB1187">
        <f t="shared" si="36"/>
        <v>273.3</v>
      </c>
      <c r="AC1187">
        <v>280.7</v>
      </c>
      <c r="AE1187">
        <f t="shared" si="37"/>
        <v>15</v>
      </c>
    </row>
    <row r="1188" spans="1:31" x14ac:dyDescent="0.25">
      <c r="A1188">
        <v>2022</v>
      </c>
      <c r="B1188" t="s">
        <v>331</v>
      </c>
      <c r="C1188" t="str">
        <f>IF(COUNTIF('Rookies 22-25'!$B$61:$B$125,E1188)&gt;0,"(R)","No")</f>
        <v>No</v>
      </c>
      <c r="D1188">
        <v>13</v>
      </c>
      <c r="E1188" t="s">
        <v>349</v>
      </c>
      <c r="F1188" t="s">
        <v>69</v>
      </c>
      <c r="G1188">
        <f>VLOOKUP(E1188,'22 Draft ADP'!$B$2:$D$510,3,FALSE)</f>
        <v>98</v>
      </c>
      <c r="H1188">
        <v>17</v>
      </c>
      <c r="I1188">
        <v>4.7</v>
      </c>
      <c r="J1188">
        <v>16.399999999999999</v>
      </c>
      <c r="K1188">
        <v>17.100000000000001</v>
      </c>
      <c r="L1188">
        <v>17.100000000000001</v>
      </c>
      <c r="M1188">
        <v>16.899999999999999</v>
      </c>
      <c r="N1188">
        <v>11.8</v>
      </c>
      <c r="O1188">
        <v>15.8</v>
      </c>
      <c r="P1188">
        <v>16.2</v>
      </c>
      <c r="Q1188">
        <v>16.600000000000001</v>
      </c>
      <c r="R1188">
        <v>19.399999999999999</v>
      </c>
      <c r="S1188">
        <v>19.100000000000001</v>
      </c>
      <c r="T1188">
        <v>11.5</v>
      </c>
      <c r="U1188">
        <v>13.7</v>
      </c>
      <c r="V1188" t="s">
        <v>22</v>
      </c>
      <c r="W1188">
        <v>11.9</v>
      </c>
      <c r="X1188">
        <v>14.3</v>
      </c>
      <c r="Y1188">
        <v>16.600000000000001</v>
      </c>
      <c r="Z1188">
        <v>12.2</v>
      </c>
      <c r="AA1188">
        <v>14.8</v>
      </c>
      <c r="AB1188">
        <f t="shared" si="36"/>
        <v>239</v>
      </c>
      <c r="AC1188">
        <v>251.2</v>
      </c>
      <c r="AE1188">
        <f t="shared" si="37"/>
        <v>15</v>
      </c>
    </row>
    <row r="1189" spans="1:31" x14ac:dyDescent="0.25">
      <c r="A1189">
        <v>2022</v>
      </c>
      <c r="B1189" t="s">
        <v>331</v>
      </c>
      <c r="C1189" t="str">
        <f>IF(COUNTIF('Rookies 22-25'!$B$61:$B$125,E1189)&gt;0,"(R)","No")</f>
        <v>No</v>
      </c>
      <c r="D1189">
        <v>14</v>
      </c>
      <c r="E1189" t="s">
        <v>351</v>
      </c>
      <c r="F1189" t="s">
        <v>53</v>
      </c>
      <c r="G1189">
        <f>VLOOKUP(E1189,'22 Draft ADP'!$B$2:$D$510,3,FALSE)</f>
        <v>43</v>
      </c>
      <c r="H1189">
        <v>12</v>
      </c>
      <c r="I1189">
        <v>21.2</v>
      </c>
      <c r="J1189">
        <v>42.6</v>
      </c>
      <c r="K1189">
        <v>40.4</v>
      </c>
      <c r="L1189">
        <v>15.1</v>
      </c>
      <c r="M1189">
        <v>15.8</v>
      </c>
      <c r="N1189">
        <v>17.100000000000001</v>
      </c>
      <c r="O1189">
        <v>10.7</v>
      </c>
      <c r="P1189">
        <v>21.8</v>
      </c>
      <c r="Q1189">
        <v>17.5</v>
      </c>
      <c r="R1189" t="s">
        <v>22</v>
      </c>
      <c r="S1189">
        <v>16.5</v>
      </c>
      <c r="T1189">
        <v>23.1</v>
      </c>
      <c r="U1189">
        <v>1.3</v>
      </c>
      <c r="AA1189">
        <v>20.3</v>
      </c>
      <c r="AB1189">
        <f t="shared" si="36"/>
        <v>243.1</v>
      </c>
      <c r="AC1189">
        <v>243.1</v>
      </c>
      <c r="AE1189">
        <f t="shared" si="37"/>
        <v>11</v>
      </c>
    </row>
    <row r="1190" spans="1:31" x14ac:dyDescent="0.25">
      <c r="A1190">
        <v>2022</v>
      </c>
      <c r="B1190" t="s">
        <v>331</v>
      </c>
      <c r="C1190" t="str">
        <f>IF(COUNTIF('Rookies 22-25'!$B$61:$B$125,E1190)&gt;0,"(R)","No")</f>
        <v>No</v>
      </c>
      <c r="D1190">
        <v>15</v>
      </c>
      <c r="E1190" t="s">
        <v>356</v>
      </c>
      <c r="F1190" t="s">
        <v>84</v>
      </c>
      <c r="G1190">
        <f>VLOOKUP(E1190,'22 Draft ADP'!$B$2:$D$510,3,FALSE)</f>
        <v>120</v>
      </c>
      <c r="H1190">
        <v>13</v>
      </c>
      <c r="I1190">
        <v>14.8</v>
      </c>
      <c r="J1190">
        <v>40.9</v>
      </c>
      <c r="K1190">
        <v>11.4</v>
      </c>
      <c r="L1190">
        <v>3.4</v>
      </c>
      <c r="O1190">
        <v>15.9</v>
      </c>
      <c r="P1190">
        <v>29.2</v>
      </c>
      <c r="Q1190">
        <v>24.1</v>
      </c>
      <c r="R1190">
        <v>23.4</v>
      </c>
      <c r="S1190" t="s">
        <v>22</v>
      </c>
      <c r="T1190">
        <v>16</v>
      </c>
      <c r="U1190">
        <v>15.8</v>
      </c>
      <c r="V1190">
        <v>12.6</v>
      </c>
      <c r="W1190">
        <v>18.100000000000001</v>
      </c>
      <c r="X1190">
        <v>13.4</v>
      </c>
      <c r="AA1190">
        <v>18.399999999999999</v>
      </c>
      <c r="AB1190">
        <f t="shared" si="36"/>
        <v>238.9</v>
      </c>
      <c r="AC1190">
        <v>238.9</v>
      </c>
      <c r="AE1190">
        <f t="shared" si="37"/>
        <v>12</v>
      </c>
    </row>
    <row r="1191" spans="1:31" x14ac:dyDescent="0.25">
      <c r="A1191">
        <v>2022</v>
      </c>
      <c r="B1191" t="s">
        <v>331</v>
      </c>
      <c r="C1191" t="str">
        <f>IF(COUNTIF('Rookies 22-25'!$B$61:$B$125,E1191)&gt;0,"(R)","No")</f>
        <v>No</v>
      </c>
      <c r="D1191">
        <v>16</v>
      </c>
      <c r="E1191" t="s">
        <v>375</v>
      </c>
      <c r="F1191" t="s">
        <v>78</v>
      </c>
      <c r="G1191">
        <f>VLOOKUP(E1191,'22 Draft ADP'!$B$2:$D$510,3,FALSE)</f>
        <v>72</v>
      </c>
      <c r="H1191">
        <v>15</v>
      </c>
      <c r="I1191">
        <v>17.8</v>
      </c>
      <c r="J1191">
        <v>12.1</v>
      </c>
      <c r="K1191">
        <v>9.1</v>
      </c>
      <c r="L1191">
        <v>26.5</v>
      </c>
      <c r="M1191">
        <v>11.2</v>
      </c>
      <c r="N1191">
        <v>13.8</v>
      </c>
      <c r="P1191">
        <v>14.8</v>
      </c>
      <c r="Q1191" t="s">
        <v>22</v>
      </c>
      <c r="R1191">
        <v>15.2</v>
      </c>
      <c r="S1191">
        <v>10.7</v>
      </c>
      <c r="T1191">
        <v>8.5</v>
      </c>
      <c r="U1191">
        <v>9.6999999999999993</v>
      </c>
      <c r="V1191">
        <v>26.6</v>
      </c>
      <c r="X1191">
        <v>11.3</v>
      </c>
      <c r="Y1191">
        <v>24.6</v>
      </c>
      <c r="Z1191">
        <v>24.1</v>
      </c>
      <c r="AA1191">
        <v>15.7</v>
      </c>
      <c r="AB1191">
        <f t="shared" si="36"/>
        <v>211.70000000000002</v>
      </c>
      <c r="AC1191">
        <v>235.8</v>
      </c>
      <c r="AE1191">
        <f t="shared" si="37"/>
        <v>11</v>
      </c>
    </row>
    <row r="1192" spans="1:31" x14ac:dyDescent="0.25">
      <c r="A1192">
        <v>2022</v>
      </c>
      <c r="B1192" t="s">
        <v>331</v>
      </c>
      <c r="C1192" t="str">
        <f>IF(COUNTIF('Rookies 22-25'!$B$61:$B$125,E1192)&gt;0,"(R)","No")</f>
        <v>No</v>
      </c>
      <c r="D1192">
        <v>17</v>
      </c>
      <c r="E1192" t="s">
        <v>378</v>
      </c>
      <c r="F1192" t="s">
        <v>43</v>
      </c>
      <c r="G1192">
        <f>VLOOKUP(E1192,'22 Draft ADP'!$B$2:$D$510,3,FALSE)</f>
        <v>99</v>
      </c>
      <c r="H1192">
        <v>15</v>
      </c>
      <c r="I1192">
        <v>16.8</v>
      </c>
      <c r="J1192">
        <v>19</v>
      </c>
      <c r="K1192">
        <v>20.8</v>
      </c>
      <c r="L1192">
        <v>11.5</v>
      </c>
      <c r="M1192">
        <v>17.899999999999999</v>
      </c>
      <c r="N1192" t="s">
        <v>22</v>
      </c>
      <c r="O1192">
        <v>13.5</v>
      </c>
      <c r="P1192">
        <v>2.9</v>
      </c>
      <c r="Q1192">
        <v>18.399999999999999</v>
      </c>
      <c r="R1192">
        <v>17.899999999999999</v>
      </c>
      <c r="S1192">
        <v>20.3</v>
      </c>
      <c r="T1192">
        <v>22.8</v>
      </c>
      <c r="U1192">
        <v>17</v>
      </c>
      <c r="V1192">
        <v>4.5999999999999996</v>
      </c>
      <c r="W1192">
        <v>20.2</v>
      </c>
      <c r="X1192">
        <v>9.4</v>
      </c>
      <c r="AA1192">
        <v>15.5</v>
      </c>
      <c r="AB1192">
        <f t="shared" si="36"/>
        <v>233.1</v>
      </c>
      <c r="AC1192">
        <v>233.1</v>
      </c>
      <c r="AE1192">
        <f t="shared" si="37"/>
        <v>12</v>
      </c>
    </row>
    <row r="1193" spans="1:31" x14ac:dyDescent="0.25">
      <c r="A1193">
        <v>2022</v>
      </c>
      <c r="B1193" t="s">
        <v>331</v>
      </c>
      <c r="C1193" t="str">
        <f>IF(COUNTIF('Rookies 22-25'!$B$61:$B$125,E1193)&gt;0,"(R)","No")</f>
        <v>No</v>
      </c>
      <c r="D1193">
        <v>18</v>
      </c>
      <c r="E1193" t="s">
        <v>336</v>
      </c>
      <c r="F1193" t="s">
        <v>30</v>
      </c>
      <c r="G1193">
        <f>VLOOKUP(E1193,'22 Draft ADP'!$B$2:$D$510,3,FALSE)</f>
        <v>84</v>
      </c>
      <c r="H1193">
        <v>12</v>
      </c>
      <c r="I1193">
        <v>5.5</v>
      </c>
      <c r="O1193">
        <v>12.3</v>
      </c>
      <c r="P1193">
        <v>26.4</v>
      </c>
      <c r="Q1193" t="s">
        <v>22</v>
      </c>
      <c r="R1193">
        <v>21.2</v>
      </c>
      <c r="S1193">
        <v>20.6</v>
      </c>
      <c r="T1193">
        <v>16.8</v>
      </c>
      <c r="U1193">
        <v>17.8</v>
      </c>
      <c r="V1193">
        <v>15.7</v>
      </c>
      <c r="W1193">
        <v>22.2</v>
      </c>
      <c r="X1193">
        <v>29</v>
      </c>
      <c r="Y1193">
        <v>16.399999999999999</v>
      </c>
      <c r="Z1193">
        <v>9.6999999999999993</v>
      </c>
      <c r="AA1193">
        <v>17.8</v>
      </c>
      <c r="AB1193">
        <f t="shared" si="36"/>
        <v>203.9</v>
      </c>
      <c r="AC1193">
        <v>213.6</v>
      </c>
      <c r="AE1193">
        <f t="shared" si="37"/>
        <v>10</v>
      </c>
    </row>
    <row r="1194" spans="1:31" x14ac:dyDescent="0.25">
      <c r="A1194">
        <v>2022</v>
      </c>
      <c r="B1194" t="s">
        <v>331</v>
      </c>
      <c r="C1194" t="str">
        <f>IF(COUNTIF('Rookies 22-25'!$B$61:$B$125,E1194)&gt;0,"(R)","No")</f>
        <v>No</v>
      </c>
      <c r="D1194">
        <v>19</v>
      </c>
      <c r="E1194" t="s">
        <v>369</v>
      </c>
      <c r="F1194" t="s">
        <v>21</v>
      </c>
      <c r="G1194">
        <f>VLOOKUP(E1194,'22 Draft ADP'!$B$2:$D$510,3,FALSE)</f>
        <v>59</v>
      </c>
      <c r="H1194">
        <v>11</v>
      </c>
      <c r="I1194">
        <v>20.6</v>
      </c>
      <c r="J1194">
        <v>26.9</v>
      </c>
      <c r="K1194">
        <v>13.4</v>
      </c>
      <c r="L1194">
        <v>23.9</v>
      </c>
      <c r="M1194">
        <v>17.2</v>
      </c>
      <c r="N1194">
        <v>15.9</v>
      </c>
      <c r="O1194">
        <v>17.2</v>
      </c>
      <c r="P1194">
        <v>26.6</v>
      </c>
      <c r="Q1194">
        <v>19</v>
      </c>
      <c r="T1194">
        <v>26.2</v>
      </c>
      <c r="U1194" t="s">
        <v>22</v>
      </c>
      <c r="V1194">
        <v>0.7</v>
      </c>
      <c r="AA1194">
        <v>18.899999999999999</v>
      </c>
      <c r="AB1194">
        <f t="shared" si="36"/>
        <v>207.5</v>
      </c>
      <c r="AC1194">
        <v>207.5</v>
      </c>
      <c r="AE1194">
        <f t="shared" si="37"/>
        <v>10</v>
      </c>
    </row>
    <row r="1195" spans="1:31" x14ac:dyDescent="0.25">
      <c r="A1195">
        <v>2022</v>
      </c>
      <c r="B1195" t="s">
        <v>331</v>
      </c>
      <c r="C1195" t="str">
        <f>IF(COUNTIF('Rookies 22-25'!$B$61:$B$125,E1195)&gt;0,"(R)","No")</f>
        <v>No</v>
      </c>
      <c r="D1195">
        <v>20</v>
      </c>
      <c r="E1195" t="s">
        <v>363</v>
      </c>
      <c r="F1195" t="s">
        <v>24</v>
      </c>
      <c r="G1195">
        <f>VLOOKUP(E1195,'22 Draft ADP'!$B$2:$D$510,3,FALSE)</f>
        <v>192</v>
      </c>
      <c r="H1195">
        <v>13</v>
      </c>
      <c r="I1195">
        <v>19.8</v>
      </c>
      <c r="J1195">
        <v>15.4</v>
      </c>
      <c r="K1195">
        <v>16.600000000000001</v>
      </c>
      <c r="L1195">
        <v>4.9000000000000004</v>
      </c>
      <c r="M1195">
        <v>18</v>
      </c>
      <c r="N1195">
        <v>24.2</v>
      </c>
      <c r="O1195">
        <v>12.1</v>
      </c>
      <c r="P1195">
        <v>24.4</v>
      </c>
      <c r="Q1195">
        <v>7.6</v>
      </c>
      <c r="R1195">
        <v>18.7</v>
      </c>
      <c r="S1195">
        <v>17.7</v>
      </c>
      <c r="T1195">
        <v>14.9</v>
      </c>
      <c r="U1195">
        <v>11.4</v>
      </c>
      <c r="V1195" t="s">
        <v>22</v>
      </c>
      <c r="AA1195">
        <v>15.8</v>
      </c>
      <c r="AB1195">
        <f t="shared" si="36"/>
        <v>205.6</v>
      </c>
      <c r="AC1195">
        <v>205.6</v>
      </c>
      <c r="AE1195">
        <f t="shared" si="37"/>
        <v>11</v>
      </c>
    </row>
    <row r="1196" spans="1:31" x14ac:dyDescent="0.25">
      <c r="A1196">
        <v>2022</v>
      </c>
      <c r="B1196" t="s">
        <v>331</v>
      </c>
      <c r="C1196" t="str">
        <f>IF(COUNTIF('Rookies 22-25'!$B$61:$B$125,E1196)&gt;0,"(R)","No")</f>
        <v>No</v>
      </c>
      <c r="D1196">
        <v>21</v>
      </c>
      <c r="E1196" t="s">
        <v>372</v>
      </c>
      <c r="F1196" t="s">
        <v>41</v>
      </c>
      <c r="G1196">
        <f>VLOOKUP(E1196,'22 Draft ADP'!$B$2:$D$510,3,FALSE)</f>
        <v>177</v>
      </c>
      <c r="H1196">
        <v>15</v>
      </c>
      <c r="I1196">
        <v>15.5</v>
      </c>
      <c r="J1196">
        <v>7.2</v>
      </c>
      <c r="K1196">
        <v>11.8</v>
      </c>
      <c r="L1196">
        <v>15.8</v>
      </c>
      <c r="M1196">
        <v>5.8</v>
      </c>
      <c r="N1196" t="s">
        <v>22</v>
      </c>
      <c r="O1196">
        <v>19.100000000000001</v>
      </c>
      <c r="P1196">
        <v>9.9</v>
      </c>
      <c r="Q1196">
        <v>14</v>
      </c>
      <c r="R1196">
        <v>15.8</v>
      </c>
      <c r="S1196">
        <v>11.8</v>
      </c>
      <c r="V1196">
        <v>6.2</v>
      </c>
      <c r="W1196">
        <v>18.899999999999999</v>
      </c>
      <c r="X1196">
        <v>10.9</v>
      </c>
      <c r="Y1196">
        <v>9.3000000000000007</v>
      </c>
      <c r="Z1196">
        <v>24.5</v>
      </c>
      <c r="AA1196">
        <v>13.1</v>
      </c>
      <c r="AB1196">
        <f t="shared" si="36"/>
        <v>172</v>
      </c>
      <c r="AC1196">
        <v>196.5</v>
      </c>
      <c r="AE1196">
        <f t="shared" si="37"/>
        <v>9</v>
      </c>
    </row>
    <row r="1197" spans="1:31" x14ac:dyDescent="0.25">
      <c r="A1197">
        <v>2022</v>
      </c>
      <c r="B1197" t="s">
        <v>331</v>
      </c>
      <c r="C1197" t="str">
        <f>IF(COUNTIF('Rookies 22-25'!$B$61:$B$125,E1197)&gt;0,"(R)","No")</f>
        <v>No</v>
      </c>
      <c r="D1197">
        <v>22</v>
      </c>
      <c r="E1197" t="s">
        <v>387</v>
      </c>
      <c r="F1197" t="s">
        <v>37</v>
      </c>
      <c r="G1197">
        <f>VLOOKUP(E1197,'22 Draft ADP'!$B$2:$D$510,3,FALSE)</f>
        <v>420</v>
      </c>
      <c r="H1197">
        <v>14</v>
      </c>
      <c r="L1197">
        <v>13.7</v>
      </c>
      <c r="M1197">
        <v>10.9</v>
      </c>
      <c r="N1197">
        <v>10.5</v>
      </c>
      <c r="O1197">
        <v>29.5</v>
      </c>
      <c r="P1197">
        <v>17.2</v>
      </c>
      <c r="Q1197">
        <v>11.9</v>
      </c>
      <c r="R1197">
        <v>9.1</v>
      </c>
      <c r="S1197">
        <v>22.2</v>
      </c>
      <c r="T1197">
        <v>10.3</v>
      </c>
      <c r="U1197">
        <v>13.3</v>
      </c>
      <c r="V1197" t="s">
        <v>22</v>
      </c>
      <c r="W1197">
        <v>14.1</v>
      </c>
      <c r="X1197">
        <v>2.6</v>
      </c>
      <c r="Y1197">
        <v>7</v>
      </c>
      <c r="Z1197">
        <v>11</v>
      </c>
      <c r="AA1197">
        <v>13.1</v>
      </c>
      <c r="AB1197">
        <f t="shared" si="36"/>
        <v>172.2</v>
      </c>
      <c r="AC1197">
        <v>183.2</v>
      </c>
      <c r="AE1197">
        <f t="shared" si="37"/>
        <v>10</v>
      </c>
    </row>
    <row r="1198" spans="1:31" x14ac:dyDescent="0.25">
      <c r="A1198">
        <v>2022</v>
      </c>
      <c r="B1198" t="s">
        <v>331</v>
      </c>
      <c r="C1198" t="str">
        <f>IF(COUNTIF('Rookies 22-25'!$B$61:$B$125,E1198)&gt;0,"(R)","No")</f>
        <v>No</v>
      </c>
      <c r="D1198">
        <v>23</v>
      </c>
      <c r="E1198" t="s">
        <v>362</v>
      </c>
      <c r="F1198" t="s">
        <v>510</v>
      </c>
      <c r="G1198">
        <f>VLOOKUP(E1198,'22 Draft ADP'!$B$2:$D$510,3,FALSE)</f>
        <v>164</v>
      </c>
      <c r="H1198">
        <v>14</v>
      </c>
      <c r="I1198">
        <v>9.5</v>
      </c>
      <c r="J1198">
        <v>13.7</v>
      </c>
      <c r="K1198">
        <v>18.899999999999999</v>
      </c>
      <c r="O1198">
        <v>1.9</v>
      </c>
      <c r="P1198">
        <v>12.7</v>
      </c>
      <c r="Q1198">
        <v>9.6999999999999993</v>
      </c>
      <c r="R1198" t="s">
        <v>22</v>
      </c>
      <c r="S1198">
        <v>10.1</v>
      </c>
      <c r="T1198">
        <v>23.3</v>
      </c>
      <c r="U1198">
        <v>12.5</v>
      </c>
      <c r="V1198">
        <v>8.3000000000000007</v>
      </c>
      <c r="W1198">
        <v>7.5</v>
      </c>
      <c r="X1198">
        <v>17.5</v>
      </c>
      <c r="Y1198">
        <v>16.3</v>
      </c>
      <c r="Z1198">
        <v>19.2</v>
      </c>
      <c r="AA1198">
        <v>12.9</v>
      </c>
      <c r="AB1198">
        <f t="shared" si="36"/>
        <v>161.9</v>
      </c>
      <c r="AC1198">
        <v>181.1</v>
      </c>
      <c r="AE1198">
        <f t="shared" si="37"/>
        <v>8</v>
      </c>
    </row>
    <row r="1199" spans="1:31" x14ac:dyDescent="0.25">
      <c r="A1199">
        <v>2022</v>
      </c>
      <c r="B1199" t="s">
        <v>331</v>
      </c>
      <c r="C1199" t="str">
        <f>IF(COUNTIF('Rookies 22-25'!$B$61:$B$125,E1199)&gt;0,"(R)","No")</f>
        <v>No</v>
      </c>
      <c r="D1199">
        <v>24</v>
      </c>
      <c r="E1199" t="s">
        <v>347</v>
      </c>
      <c r="F1199" t="s">
        <v>32</v>
      </c>
      <c r="G1199">
        <f>VLOOKUP(E1199,'22 Draft ADP'!$B$2:$D$510,3,FALSE)</f>
        <v>274</v>
      </c>
      <c r="H1199">
        <v>14</v>
      </c>
      <c r="I1199">
        <v>10.9</v>
      </c>
      <c r="J1199">
        <v>16.5</v>
      </c>
      <c r="K1199">
        <v>17.899999999999999</v>
      </c>
      <c r="L1199">
        <v>16</v>
      </c>
      <c r="M1199">
        <v>15.4</v>
      </c>
      <c r="N1199">
        <v>10.6</v>
      </c>
      <c r="O1199">
        <v>10.1</v>
      </c>
      <c r="P1199">
        <v>20.3</v>
      </c>
      <c r="Q1199" t="s">
        <v>22</v>
      </c>
      <c r="R1199">
        <v>16.5</v>
      </c>
      <c r="S1199">
        <v>25.9</v>
      </c>
      <c r="T1199">
        <v>14.1</v>
      </c>
      <c r="V1199">
        <v>0</v>
      </c>
      <c r="W1199">
        <v>0.3</v>
      </c>
      <c r="Y1199">
        <v>0.2</v>
      </c>
      <c r="AA1199">
        <v>12.5</v>
      </c>
      <c r="AB1199">
        <f t="shared" si="36"/>
        <v>174.6</v>
      </c>
      <c r="AC1199">
        <v>174.6</v>
      </c>
      <c r="AE1199">
        <f t="shared" si="37"/>
        <v>11</v>
      </c>
    </row>
    <row r="1200" spans="1:31" x14ac:dyDescent="0.25">
      <c r="A1200">
        <v>2022</v>
      </c>
      <c r="B1200" t="s">
        <v>331</v>
      </c>
      <c r="C1200" t="str">
        <f>IF(COUNTIF('Rookies 22-25'!$B$61:$B$125,E1200)&gt;0,"(R)","No")</f>
        <v>No</v>
      </c>
      <c r="D1200">
        <v>25</v>
      </c>
      <c r="E1200" t="s">
        <v>516</v>
      </c>
      <c r="F1200" t="s">
        <v>47</v>
      </c>
      <c r="G1200">
        <f>VLOOKUP(E1200,'22 Draft ADP'!$B$2:$D$510,3,FALSE)</f>
        <v>284</v>
      </c>
      <c r="H1200">
        <v>11</v>
      </c>
      <c r="J1200">
        <v>16.7</v>
      </c>
      <c r="K1200">
        <v>9.4</v>
      </c>
      <c r="L1200">
        <v>13.9</v>
      </c>
      <c r="M1200">
        <v>18</v>
      </c>
      <c r="N1200">
        <v>18.899999999999999</v>
      </c>
      <c r="O1200">
        <v>17.3</v>
      </c>
      <c r="P1200">
        <v>17.7</v>
      </c>
      <c r="Q1200" t="s">
        <v>22</v>
      </c>
      <c r="R1200">
        <v>15.9</v>
      </c>
      <c r="S1200">
        <v>25.4</v>
      </c>
      <c r="T1200">
        <v>13.3</v>
      </c>
      <c r="U1200">
        <v>2.2000000000000002</v>
      </c>
      <c r="AA1200">
        <v>15.3</v>
      </c>
      <c r="AB1200">
        <f t="shared" si="36"/>
        <v>168.8</v>
      </c>
      <c r="AC1200">
        <v>168.8</v>
      </c>
      <c r="AE1200">
        <f t="shared" si="37"/>
        <v>9</v>
      </c>
    </row>
    <row r="1201" spans="1:31" x14ac:dyDescent="0.25">
      <c r="A1201">
        <v>2022</v>
      </c>
      <c r="B1201" t="s">
        <v>331</v>
      </c>
      <c r="C1201" t="str">
        <f>IF(COUNTIF('Rookies 22-25'!$B$61:$B$125,E1201)&gt;0,"(R)","No")</f>
        <v>No</v>
      </c>
      <c r="D1201">
        <v>26</v>
      </c>
      <c r="E1201" t="s">
        <v>1393</v>
      </c>
      <c r="F1201" t="s">
        <v>28</v>
      </c>
      <c r="G1201">
        <f>VLOOKUP(E1201,'22 Draft ADP'!$B$2:$D$510,3,FALSE)</f>
        <v>134</v>
      </c>
      <c r="H1201">
        <v>12</v>
      </c>
      <c r="I1201">
        <v>16.3</v>
      </c>
      <c r="J1201">
        <v>4.8</v>
      </c>
      <c r="K1201">
        <v>15.3</v>
      </c>
      <c r="L1201">
        <v>18.8</v>
      </c>
      <c r="M1201">
        <v>8.1</v>
      </c>
      <c r="N1201">
        <v>27.2</v>
      </c>
      <c r="O1201">
        <v>11.9</v>
      </c>
      <c r="R1201">
        <v>22.7</v>
      </c>
      <c r="S1201">
        <v>8.6</v>
      </c>
      <c r="T1201">
        <v>11.2</v>
      </c>
      <c r="U1201">
        <v>12.1</v>
      </c>
      <c r="V1201" t="s">
        <v>22</v>
      </c>
      <c r="W1201">
        <v>11.3</v>
      </c>
      <c r="AA1201">
        <v>14</v>
      </c>
      <c r="AB1201">
        <f t="shared" si="36"/>
        <v>168.3</v>
      </c>
      <c r="AC1201">
        <v>168.3</v>
      </c>
      <c r="AE1201">
        <f t="shared" si="37"/>
        <v>9</v>
      </c>
    </row>
    <row r="1202" spans="1:31" x14ac:dyDescent="0.25">
      <c r="A1202">
        <v>2022</v>
      </c>
      <c r="B1202" t="s">
        <v>331</v>
      </c>
      <c r="C1202" t="str">
        <f>IF(COUNTIF('Rookies 22-25'!$B$61:$B$125,E1202)&gt;0,"(R)","No")</f>
        <v>No</v>
      </c>
      <c r="D1202">
        <v>27</v>
      </c>
      <c r="E1202" t="s">
        <v>513</v>
      </c>
      <c r="F1202" t="s">
        <v>63</v>
      </c>
      <c r="G1202">
        <f>VLOOKUP(E1202,'22 Draft ADP'!$B$2:$D$510,3,FALSE)</f>
        <v>163</v>
      </c>
      <c r="H1202">
        <v>12</v>
      </c>
      <c r="I1202">
        <v>19.3</v>
      </c>
      <c r="J1202">
        <v>2.9</v>
      </c>
      <c r="K1202">
        <v>19.8</v>
      </c>
      <c r="L1202">
        <v>14.4</v>
      </c>
      <c r="M1202">
        <v>11.5</v>
      </c>
      <c r="N1202" t="s">
        <v>22</v>
      </c>
      <c r="O1202">
        <v>3.9</v>
      </c>
      <c r="R1202">
        <v>19.399999999999999</v>
      </c>
      <c r="S1202">
        <v>20</v>
      </c>
      <c r="T1202">
        <v>12.5</v>
      </c>
      <c r="U1202">
        <v>13</v>
      </c>
      <c r="V1202">
        <v>18.8</v>
      </c>
      <c r="W1202">
        <v>11.7</v>
      </c>
      <c r="AA1202">
        <v>13.9</v>
      </c>
      <c r="AB1202">
        <f t="shared" si="36"/>
        <v>167.2</v>
      </c>
      <c r="AC1202">
        <v>167.2</v>
      </c>
      <c r="AE1202">
        <f t="shared" si="37"/>
        <v>10</v>
      </c>
    </row>
    <row r="1203" spans="1:31" x14ac:dyDescent="0.25">
      <c r="A1203">
        <v>2022</v>
      </c>
      <c r="B1203" t="s">
        <v>331</v>
      </c>
      <c r="C1203" t="str">
        <f>IF(COUNTIF('Rookies 22-25'!$B$61:$B$125,E1203)&gt;0,"(R)","No")</f>
        <v>(R)</v>
      </c>
      <c r="D1203">
        <v>28</v>
      </c>
      <c r="E1203" t="s">
        <v>511</v>
      </c>
      <c r="F1203" t="s">
        <v>71</v>
      </c>
      <c r="G1203">
        <f>VLOOKUP(E1203,'22 Draft ADP'!$B$2:$D$510,3,FALSE)</f>
        <v>219</v>
      </c>
      <c r="H1203">
        <v>13</v>
      </c>
      <c r="L1203">
        <v>15.3</v>
      </c>
      <c r="M1203">
        <v>13.1</v>
      </c>
      <c r="N1203">
        <v>8.3000000000000007</v>
      </c>
      <c r="O1203">
        <v>13.3</v>
      </c>
      <c r="P1203">
        <v>8.3000000000000007</v>
      </c>
      <c r="Q1203" t="s">
        <v>22</v>
      </c>
      <c r="R1203">
        <v>19.100000000000001</v>
      </c>
      <c r="S1203">
        <v>16</v>
      </c>
      <c r="T1203">
        <v>12.2</v>
      </c>
      <c r="U1203">
        <v>13.3</v>
      </c>
      <c r="V1203">
        <v>1.6</v>
      </c>
      <c r="X1203">
        <v>13.7</v>
      </c>
      <c r="Y1203">
        <v>10.9</v>
      </c>
      <c r="Z1203">
        <v>13.9</v>
      </c>
      <c r="AA1203">
        <v>12.2</v>
      </c>
      <c r="AB1203">
        <f t="shared" si="36"/>
        <v>145</v>
      </c>
      <c r="AC1203">
        <v>158.9</v>
      </c>
      <c r="AE1203">
        <f t="shared" si="37"/>
        <v>9</v>
      </c>
    </row>
    <row r="1204" spans="1:31" x14ac:dyDescent="0.25">
      <c r="A1204">
        <v>2022</v>
      </c>
      <c r="B1204" t="s">
        <v>331</v>
      </c>
      <c r="C1204" t="str">
        <f>IF(COUNTIF('Rookies 22-25'!$B$61:$B$125,E1204)&gt;0,"(R)","No")</f>
        <v>No</v>
      </c>
      <c r="D1204">
        <v>29</v>
      </c>
      <c r="E1204" t="s">
        <v>343</v>
      </c>
      <c r="F1204" t="s">
        <v>55</v>
      </c>
      <c r="G1204">
        <f>VLOOKUP(E1204,'22 Draft ADP'!$B$2:$D$510,3,FALSE)</f>
        <v>170</v>
      </c>
      <c r="H1204">
        <v>12</v>
      </c>
      <c r="I1204">
        <v>19</v>
      </c>
      <c r="J1204">
        <v>13.3</v>
      </c>
      <c r="K1204">
        <v>10.7</v>
      </c>
      <c r="L1204">
        <v>7.9</v>
      </c>
      <c r="M1204">
        <v>7.6</v>
      </c>
      <c r="O1204" t="s">
        <v>22</v>
      </c>
      <c r="Q1204">
        <v>14.2</v>
      </c>
      <c r="S1204">
        <v>7</v>
      </c>
      <c r="V1204">
        <v>14.2</v>
      </c>
      <c r="W1204">
        <v>7.5</v>
      </c>
      <c r="X1204">
        <v>17.399999999999999</v>
      </c>
      <c r="Y1204">
        <v>4.0999999999999996</v>
      </c>
      <c r="Z1204">
        <v>6.5</v>
      </c>
      <c r="AA1204">
        <v>10.8</v>
      </c>
      <c r="AB1204">
        <f t="shared" si="36"/>
        <v>122.9</v>
      </c>
      <c r="AC1204">
        <v>129.4</v>
      </c>
      <c r="AE1204">
        <f t="shared" si="37"/>
        <v>6</v>
      </c>
    </row>
    <row r="1205" spans="1:31" x14ac:dyDescent="0.25">
      <c r="A1205">
        <v>2022</v>
      </c>
      <c r="B1205" t="s">
        <v>331</v>
      </c>
      <c r="C1205" t="str">
        <f>IF(COUNTIF('Rookies 22-25'!$B$61:$B$125,E1205)&gt;0,"(R)","No")</f>
        <v>No</v>
      </c>
      <c r="D1205">
        <v>30</v>
      </c>
      <c r="E1205" t="s">
        <v>517</v>
      </c>
      <c r="F1205" t="s">
        <v>59</v>
      </c>
      <c r="G1205">
        <v>305</v>
      </c>
      <c r="H1205">
        <v>9</v>
      </c>
      <c r="O1205">
        <v>15.4</v>
      </c>
      <c r="P1205">
        <v>23.1</v>
      </c>
      <c r="Q1205">
        <v>14.7</v>
      </c>
      <c r="R1205">
        <v>6.4</v>
      </c>
      <c r="S1205">
        <v>7.8</v>
      </c>
      <c r="T1205">
        <v>12.4</v>
      </c>
      <c r="U1205">
        <v>17.600000000000001</v>
      </c>
      <c r="V1205" t="s">
        <v>22</v>
      </c>
      <c r="W1205">
        <v>13.3</v>
      </c>
      <c r="X1205">
        <v>11.2</v>
      </c>
      <c r="AA1205">
        <v>13.6</v>
      </c>
      <c r="AB1205">
        <f t="shared" si="36"/>
        <v>122</v>
      </c>
      <c r="AC1205">
        <v>122</v>
      </c>
      <c r="AE1205">
        <f t="shared" si="37"/>
        <v>7</v>
      </c>
    </row>
    <row r="1206" spans="1:31" x14ac:dyDescent="0.25">
      <c r="A1206">
        <v>2022</v>
      </c>
      <c r="B1206" t="s">
        <v>331</v>
      </c>
      <c r="C1206" t="str">
        <f>IF(COUNTIF('Rookies 22-25'!$B$61:$B$125,E1206)&gt;0,"(R)","No")</f>
        <v>No</v>
      </c>
      <c r="D1206">
        <v>31</v>
      </c>
      <c r="E1206" t="s">
        <v>370</v>
      </c>
      <c r="F1206" t="s">
        <v>59</v>
      </c>
      <c r="G1206">
        <f>VLOOKUP(E1206,'22 Draft ADP'!$B$2:$D$510,3,FALSE)</f>
        <v>182</v>
      </c>
      <c r="H1206">
        <v>8</v>
      </c>
      <c r="I1206">
        <v>29.7</v>
      </c>
      <c r="J1206">
        <v>28.8</v>
      </c>
      <c r="K1206">
        <v>8.6</v>
      </c>
      <c r="L1206">
        <v>9.3000000000000007</v>
      </c>
      <c r="M1206">
        <v>22.9</v>
      </c>
      <c r="N1206">
        <v>4.2</v>
      </c>
      <c r="V1206" t="s">
        <v>22</v>
      </c>
      <c r="X1206">
        <v>8.9</v>
      </c>
      <c r="Y1206">
        <v>9.4</v>
      </c>
      <c r="AA1206">
        <v>15.2</v>
      </c>
      <c r="AB1206">
        <f t="shared" si="36"/>
        <v>121.8</v>
      </c>
      <c r="AC1206">
        <v>121.8</v>
      </c>
      <c r="AE1206">
        <f t="shared" si="37"/>
        <v>3</v>
      </c>
    </row>
    <row r="1207" spans="1:31" x14ac:dyDescent="0.25">
      <c r="A1207">
        <v>2022</v>
      </c>
      <c r="B1207" t="s">
        <v>331</v>
      </c>
      <c r="C1207" t="str">
        <f>IF(COUNTIF('Rookies 22-25'!$B$61:$B$125,E1207)&gt;0,"(R)","No")</f>
        <v>No</v>
      </c>
      <c r="D1207">
        <v>32</v>
      </c>
      <c r="E1207" t="s">
        <v>334</v>
      </c>
      <c r="F1207" t="s">
        <v>55</v>
      </c>
      <c r="G1207">
        <f>VLOOKUP(E1207,'22 Draft ADP'!$B$2:$D$510,3,FALSE)</f>
        <v>95</v>
      </c>
      <c r="H1207">
        <v>9</v>
      </c>
      <c r="I1207">
        <v>10.8</v>
      </c>
      <c r="J1207">
        <v>20.9</v>
      </c>
      <c r="K1207">
        <v>10.199999999999999</v>
      </c>
      <c r="L1207">
        <v>7.8</v>
      </c>
      <c r="M1207">
        <v>11.3</v>
      </c>
      <c r="N1207">
        <v>12.8</v>
      </c>
      <c r="O1207" t="s">
        <v>22</v>
      </c>
      <c r="P1207">
        <v>17.399999999999999</v>
      </c>
      <c r="Q1207">
        <v>10.5</v>
      </c>
      <c r="S1207">
        <v>14.8</v>
      </c>
      <c r="AA1207">
        <v>12.9</v>
      </c>
      <c r="AB1207">
        <f t="shared" si="36"/>
        <v>116.4</v>
      </c>
      <c r="AC1207">
        <v>116.4</v>
      </c>
      <c r="AE1207">
        <f t="shared" si="37"/>
        <v>8</v>
      </c>
    </row>
    <row r="1208" spans="1:31" x14ac:dyDescent="0.25">
      <c r="A1208">
        <v>2022</v>
      </c>
      <c r="B1208" t="s">
        <v>331</v>
      </c>
      <c r="C1208" t="str">
        <f>IF(COUNTIF('Rookies 22-25'!$B$61:$B$125,E1208)&gt;0,"(R)","No")</f>
        <v>No</v>
      </c>
      <c r="D1208">
        <v>33</v>
      </c>
      <c r="E1208" t="s">
        <v>355</v>
      </c>
      <c r="F1208" t="s">
        <v>47</v>
      </c>
      <c r="G1208">
        <v>309</v>
      </c>
      <c r="H1208">
        <v>9</v>
      </c>
      <c r="M1208">
        <v>-0.1</v>
      </c>
      <c r="O1208">
        <v>1.7</v>
      </c>
      <c r="Q1208" t="s">
        <v>22</v>
      </c>
      <c r="S1208">
        <v>0.3</v>
      </c>
      <c r="U1208">
        <v>15.3</v>
      </c>
      <c r="V1208">
        <v>21.7</v>
      </c>
      <c r="W1208">
        <v>16.5</v>
      </c>
      <c r="X1208">
        <v>17</v>
      </c>
      <c r="Y1208">
        <v>18.100000000000001</v>
      </c>
      <c r="Z1208">
        <v>19.8</v>
      </c>
      <c r="AA1208">
        <v>12.3</v>
      </c>
      <c r="AB1208">
        <f t="shared" si="36"/>
        <v>90.5</v>
      </c>
      <c r="AC1208">
        <v>110.3</v>
      </c>
      <c r="AE1208">
        <f t="shared" si="37"/>
        <v>5</v>
      </c>
    </row>
    <row r="1209" spans="1:31" x14ac:dyDescent="0.25">
      <c r="A1209">
        <v>2022</v>
      </c>
      <c r="B1209" t="s">
        <v>331</v>
      </c>
      <c r="C1209" t="str">
        <f>IF(COUNTIF('Rookies 22-25'!$B$61:$B$125,E1209)&gt;0,"(R)","No")</f>
        <v>No</v>
      </c>
      <c r="D1209">
        <v>34</v>
      </c>
      <c r="E1209" t="s">
        <v>509</v>
      </c>
      <c r="F1209" t="s">
        <v>82</v>
      </c>
      <c r="G1209">
        <f>VLOOKUP(E1209,'22 Draft ADP'!$B$2:$D$510,3,FALSE)</f>
        <v>189</v>
      </c>
      <c r="H1209">
        <v>9</v>
      </c>
      <c r="L1209">
        <v>19.8</v>
      </c>
      <c r="M1209">
        <v>14.6</v>
      </c>
      <c r="N1209">
        <v>4.5</v>
      </c>
      <c r="O1209">
        <v>7.2</v>
      </c>
      <c r="P1209">
        <v>19.399999999999999</v>
      </c>
      <c r="Q1209">
        <v>10.6</v>
      </c>
      <c r="R1209" t="s">
        <v>22</v>
      </c>
      <c r="S1209">
        <v>5.7</v>
      </c>
      <c r="W1209">
        <v>20.399999999999999</v>
      </c>
      <c r="X1209">
        <v>2.8</v>
      </c>
      <c r="AA1209">
        <v>11.7</v>
      </c>
      <c r="AB1209">
        <f t="shared" si="36"/>
        <v>104.9</v>
      </c>
      <c r="AC1209">
        <v>104.9</v>
      </c>
      <c r="AE1209">
        <f t="shared" si="37"/>
        <v>5</v>
      </c>
    </row>
    <row r="1210" spans="1:31" x14ac:dyDescent="0.25">
      <c r="A1210">
        <v>2022</v>
      </c>
      <c r="B1210" t="s">
        <v>331</v>
      </c>
      <c r="C1210" t="str">
        <f>IF(COUNTIF('Rookies 22-25'!$B$61:$B$125,E1210)&gt;0,"(R)","No")</f>
        <v>No</v>
      </c>
      <c r="D1210">
        <v>35</v>
      </c>
      <c r="E1210" t="s">
        <v>386</v>
      </c>
      <c r="F1210" t="s">
        <v>32</v>
      </c>
      <c r="G1210">
        <f>VLOOKUP(E1210,'22 Draft ADP'!$B$2:$D$510,3,FALSE)</f>
        <v>191</v>
      </c>
      <c r="H1210">
        <v>6</v>
      </c>
      <c r="Q1210" t="s">
        <v>22</v>
      </c>
      <c r="U1210">
        <v>6.3</v>
      </c>
      <c r="V1210">
        <v>17.3</v>
      </c>
      <c r="W1210">
        <v>12.6</v>
      </c>
      <c r="X1210">
        <v>12.8</v>
      </c>
      <c r="Y1210">
        <v>21.9</v>
      </c>
      <c r="Z1210">
        <v>19.600000000000001</v>
      </c>
      <c r="AA1210">
        <v>15.1</v>
      </c>
      <c r="AB1210">
        <f t="shared" si="36"/>
        <v>71</v>
      </c>
      <c r="AC1210">
        <v>90.6</v>
      </c>
      <c r="AE1210">
        <f t="shared" si="37"/>
        <v>4</v>
      </c>
    </row>
    <row r="1211" spans="1:31" x14ac:dyDescent="0.25">
      <c r="A1211">
        <v>2022</v>
      </c>
      <c r="B1211" t="s">
        <v>331</v>
      </c>
      <c r="C1211" t="str">
        <f>IF(COUNTIF('Rookies 22-25'!$B$61:$B$125,E1211)&gt;0,"(R)","No")</f>
        <v>No</v>
      </c>
      <c r="D1211">
        <v>36</v>
      </c>
      <c r="E1211" t="s">
        <v>344</v>
      </c>
      <c r="F1211" t="s">
        <v>95</v>
      </c>
      <c r="G1211">
        <f>VLOOKUP(E1211,'22 Draft ADP'!$B$2:$D$510,3,FALSE)</f>
        <v>434</v>
      </c>
      <c r="H1211">
        <v>6</v>
      </c>
      <c r="T1211">
        <v>16.899999999999999</v>
      </c>
      <c r="U1211" t="s">
        <v>22</v>
      </c>
      <c r="V1211">
        <v>11.8</v>
      </c>
      <c r="W1211">
        <v>13.2</v>
      </c>
      <c r="X1211">
        <v>21.9</v>
      </c>
      <c r="Y1211">
        <v>22.6</v>
      </c>
      <c r="Z1211">
        <v>2.9</v>
      </c>
      <c r="AA1211">
        <v>14.9</v>
      </c>
      <c r="AB1211">
        <f t="shared" si="36"/>
        <v>86.399999999999991</v>
      </c>
      <c r="AC1211">
        <v>89.3</v>
      </c>
      <c r="AE1211">
        <f t="shared" si="37"/>
        <v>5</v>
      </c>
    </row>
    <row r="1212" spans="1:31" x14ac:dyDescent="0.25">
      <c r="A1212">
        <v>2022</v>
      </c>
      <c r="B1212" t="s">
        <v>331</v>
      </c>
      <c r="C1212" t="str">
        <f>IF(COUNTIF('Rookies 22-25'!$B$61:$B$125,E1212)&gt;0,"(R)","No")</f>
        <v>No</v>
      </c>
      <c r="D1212">
        <v>37</v>
      </c>
      <c r="E1212" t="s">
        <v>1272</v>
      </c>
      <c r="F1212" t="s">
        <v>71</v>
      </c>
      <c r="G1212">
        <f>VLOOKUP(E1212,'22 Draft ADP'!$B$2:$D$510,3,FALSE)</f>
        <v>218</v>
      </c>
      <c r="H1212">
        <v>7</v>
      </c>
      <c r="I1212">
        <v>12.7</v>
      </c>
      <c r="J1212">
        <v>12.4</v>
      </c>
      <c r="K1212">
        <v>15</v>
      </c>
      <c r="L1212">
        <v>2.5</v>
      </c>
      <c r="N1212">
        <v>10.3</v>
      </c>
      <c r="Q1212" t="s">
        <v>22</v>
      </c>
      <c r="V1212">
        <v>12</v>
      </c>
      <c r="W1212">
        <v>14.1</v>
      </c>
      <c r="AA1212">
        <v>11.3</v>
      </c>
      <c r="AB1212">
        <f t="shared" si="36"/>
        <v>78.900000000000006</v>
      </c>
      <c r="AC1212">
        <v>78.900000000000006</v>
      </c>
      <c r="AE1212">
        <f t="shared" si="37"/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4246F-072B-4946-84B1-DA1D0965B0A1}">
  <dimension ref="A2:J6"/>
  <sheetViews>
    <sheetView tabSelected="1" workbookViewId="0">
      <selection activeCell="I4" sqref="I4"/>
    </sheetView>
  </sheetViews>
  <sheetFormatPr defaultRowHeight="15" x14ac:dyDescent="0.25"/>
  <sheetData>
    <row r="2" spans="1:10" x14ac:dyDescent="0.25">
      <c r="A2" t="s">
        <v>523</v>
      </c>
      <c r="B2" t="s">
        <v>1568</v>
      </c>
      <c r="C2" s="1" t="s">
        <v>1569</v>
      </c>
      <c r="D2" s="1" t="s">
        <v>1570</v>
      </c>
      <c r="E2" t="s">
        <v>1571</v>
      </c>
      <c r="F2" t="s">
        <v>1565</v>
      </c>
      <c r="G2" t="s">
        <v>1566</v>
      </c>
      <c r="H2" t="s">
        <v>1567</v>
      </c>
      <c r="I2" t="s">
        <v>1572</v>
      </c>
      <c r="J2" t="s">
        <v>1574</v>
      </c>
    </row>
    <row r="3" spans="1:10" x14ac:dyDescent="0.25">
      <c r="A3" t="s">
        <v>331</v>
      </c>
      <c r="B3">
        <v>22.896078431372551</v>
      </c>
      <c r="C3">
        <v>20.79</v>
      </c>
      <c r="D3">
        <v>18.613333333333333</v>
      </c>
      <c r="E3">
        <v>17.27333333333333</v>
      </c>
      <c r="F3">
        <v>15.256666666666668</v>
      </c>
      <c r="G3">
        <v>13.49</v>
      </c>
      <c r="H3">
        <v>11.5</v>
      </c>
      <c r="I3" t="s">
        <v>1573</v>
      </c>
      <c r="J3" t="s">
        <v>1573</v>
      </c>
    </row>
    <row r="4" spans="1:10" x14ac:dyDescent="0.25">
      <c r="A4" t="s">
        <v>220</v>
      </c>
      <c r="B4">
        <v>21.44</v>
      </c>
      <c r="C4">
        <v>18.61</v>
      </c>
      <c r="D4">
        <v>16.606666666666666</v>
      </c>
      <c r="E4">
        <v>15.213333333333333</v>
      </c>
      <c r="F4">
        <v>13.063333333333333</v>
      </c>
      <c r="G4">
        <v>11.12</v>
      </c>
      <c r="H4">
        <v>7.72</v>
      </c>
      <c r="I4">
        <v>5.4</v>
      </c>
      <c r="J4">
        <v>4.16</v>
      </c>
    </row>
    <row r="5" spans="1:10" x14ac:dyDescent="0.25">
      <c r="A5" t="s">
        <v>99</v>
      </c>
      <c r="B5">
        <v>21.91</v>
      </c>
      <c r="C5">
        <v>17.829999999999998</v>
      </c>
      <c r="D5">
        <v>16.2</v>
      </c>
      <c r="E5">
        <v>15.14</v>
      </c>
      <c r="F5">
        <v>13.8</v>
      </c>
      <c r="G5">
        <v>12.58</v>
      </c>
      <c r="H5">
        <v>10.38</v>
      </c>
      <c r="I5">
        <v>8.7899999999999991</v>
      </c>
      <c r="J5">
        <v>6.67</v>
      </c>
    </row>
    <row r="6" spans="1:10" x14ac:dyDescent="0.25">
      <c r="A6" t="s">
        <v>19</v>
      </c>
      <c r="B6">
        <v>14.79</v>
      </c>
      <c r="C6">
        <v>12.2</v>
      </c>
      <c r="D6">
        <v>10.8</v>
      </c>
      <c r="E6">
        <v>10.33</v>
      </c>
      <c r="F6">
        <v>7.8</v>
      </c>
      <c r="G6">
        <v>6.91</v>
      </c>
      <c r="H6">
        <v>4.41</v>
      </c>
      <c r="I6" t="s">
        <v>1573</v>
      </c>
      <c r="J6" t="s">
        <v>1573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6B8FA-5B9E-4650-B61C-ED09549A4530}">
  <dimension ref="A1:F349"/>
  <sheetViews>
    <sheetView topLeftCell="A98" workbookViewId="0">
      <selection activeCell="E197" sqref="E126:E197"/>
    </sheetView>
  </sheetViews>
  <sheetFormatPr defaultRowHeight="15" x14ac:dyDescent="0.25"/>
  <sheetData>
    <row r="1" spans="1:6" x14ac:dyDescent="0.25">
      <c r="A1" t="s">
        <v>521</v>
      </c>
      <c r="B1" t="s">
        <v>522</v>
      </c>
      <c r="C1" t="s">
        <v>523</v>
      </c>
      <c r="D1" t="s">
        <v>6</v>
      </c>
      <c r="E1" t="s">
        <v>0</v>
      </c>
    </row>
    <row r="2" spans="1:6" x14ac:dyDescent="0.25">
      <c r="A2">
        <v>1</v>
      </c>
      <c r="B2" t="s">
        <v>222</v>
      </c>
      <c r="C2" t="s">
        <v>524</v>
      </c>
      <c r="D2">
        <v>1</v>
      </c>
      <c r="E2">
        <v>2023</v>
      </c>
      <c r="F2" t="str" cm="1">
        <f t="array" ref="F2">_xlfn.LET(_xlpm.x,TRIM(B2),_xlpm.base,IFERROR(_xlfn.TEXTBEFORE(_xlpm.x,"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Bijan Robinson</v>
      </c>
    </row>
    <row r="3" spans="1:6" x14ac:dyDescent="0.25">
      <c r="A3">
        <v>2</v>
      </c>
      <c r="B3" t="s">
        <v>223</v>
      </c>
      <c r="C3" t="s">
        <v>531</v>
      </c>
      <c r="D3">
        <v>2</v>
      </c>
      <c r="E3">
        <v>2023</v>
      </c>
      <c r="F3" t="str" cm="1">
        <f t="array" ref="F3">_xlfn.LET(_xlpm.x,TRIM(B3),_xlpm.base,IFERROR(_xlfn.TEXTBEFORE(_xlpm.x,"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Jahmyr Gibbs</v>
      </c>
    </row>
    <row r="4" spans="1:6" x14ac:dyDescent="0.25">
      <c r="A4">
        <v>3</v>
      </c>
      <c r="B4" t="s">
        <v>101</v>
      </c>
      <c r="C4" t="s">
        <v>525</v>
      </c>
      <c r="D4">
        <v>3</v>
      </c>
      <c r="E4">
        <v>2023</v>
      </c>
      <c r="F4" t="str" cm="1">
        <f t="array" ref="F4">_xlfn.LET(_xlpm.x,TRIM(B4),_xlpm.base,IFERROR(_xlfn.TEXTBEFORE(_xlpm.x,"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Jaxon Smith-Njigba</v>
      </c>
    </row>
    <row r="5" spans="1:6" x14ac:dyDescent="0.25">
      <c r="A5">
        <v>4</v>
      </c>
      <c r="B5" t="s">
        <v>144</v>
      </c>
      <c r="C5" t="s">
        <v>527</v>
      </c>
      <c r="D5">
        <v>4.5</v>
      </c>
      <c r="E5">
        <v>2023</v>
      </c>
      <c r="F5" t="str" cm="1">
        <f t="array" ref="F5">_xlfn.LET(_xlpm.x,TRIM(B5),_xlpm.base,IFERROR(_xlfn.TEXTBEFORE(_xlpm.x,"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Jordan Addison</v>
      </c>
    </row>
    <row r="6" spans="1:6" x14ac:dyDescent="0.25">
      <c r="A6">
        <v>5</v>
      </c>
      <c r="B6" t="s">
        <v>377</v>
      </c>
      <c r="C6" t="s">
        <v>532</v>
      </c>
      <c r="D6">
        <v>6</v>
      </c>
      <c r="E6">
        <v>2023</v>
      </c>
      <c r="F6" t="str" cm="1">
        <f t="array" ref="F6">_xlfn.LET(_xlpm.x,TRIM(B6),_xlpm.base,IFERROR(_xlfn.TEXTBEFORE(_xlpm.x,"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Anthony Richardson Sr.</v>
      </c>
    </row>
    <row r="7" spans="1:6" x14ac:dyDescent="0.25">
      <c r="A7">
        <v>6</v>
      </c>
      <c r="B7" t="s">
        <v>133</v>
      </c>
      <c r="C7" t="s">
        <v>528</v>
      </c>
      <c r="D7">
        <v>6</v>
      </c>
      <c r="E7">
        <v>2023</v>
      </c>
      <c r="F7" t="str" cm="1">
        <f t="array" ref="F7">_xlfn.LET(_xlpm.x,TRIM(B7),_xlpm.base,IFERROR(_xlfn.TEXTBEFORE(_xlpm.x,"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Quentin Johnston</v>
      </c>
    </row>
    <row r="8" spans="1:6" x14ac:dyDescent="0.25">
      <c r="A8">
        <v>7</v>
      </c>
      <c r="B8" t="s">
        <v>106</v>
      </c>
      <c r="C8" t="s">
        <v>529</v>
      </c>
      <c r="D8">
        <v>7.5</v>
      </c>
      <c r="E8">
        <v>2023</v>
      </c>
      <c r="F8" t="str" cm="1">
        <f t="array" ref="F8">_xlfn.LET(_xlpm.x,TRIM(B8),_xlpm.base,IFERROR(_xlfn.TEXTBEFORE(_xlpm.x,"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Zay Flowers</v>
      </c>
    </row>
    <row r="9" spans="1:6" x14ac:dyDescent="0.25">
      <c r="A9">
        <v>8</v>
      </c>
      <c r="B9" t="s">
        <v>60</v>
      </c>
      <c r="C9" t="s">
        <v>526</v>
      </c>
      <c r="D9">
        <v>8.5</v>
      </c>
      <c r="E9">
        <v>2023</v>
      </c>
      <c r="F9" t="str" cm="1">
        <f t="array" ref="F9">_xlfn.LET(_xlpm.x,TRIM(B9),_xlpm.base,IFERROR(_xlfn.TEXTBEFORE(_xlpm.x,"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Dalton Kincaid</v>
      </c>
    </row>
    <row r="10" spans="1:6" x14ac:dyDescent="0.25">
      <c r="A10">
        <v>9</v>
      </c>
      <c r="B10" t="s">
        <v>244</v>
      </c>
      <c r="C10" t="s">
        <v>540</v>
      </c>
      <c r="D10">
        <v>9</v>
      </c>
      <c r="E10">
        <v>2023</v>
      </c>
      <c r="F10" t="str" cm="1">
        <f t="array" ref="F10">_xlfn.LET(_xlpm.x,TRIM(B10),_xlpm.base,IFERROR(_xlfn.TEXTBEFORE(_xlpm.x,"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Zach Charbonnet</v>
      </c>
    </row>
    <row r="11" spans="1:6" x14ac:dyDescent="0.25">
      <c r="A11">
        <v>10</v>
      </c>
      <c r="B11" t="s">
        <v>225</v>
      </c>
      <c r="C11" t="s">
        <v>544</v>
      </c>
      <c r="D11">
        <v>11</v>
      </c>
      <c r="E11">
        <v>2023</v>
      </c>
      <c r="F11" t="str" cm="1">
        <f t="array" ref="F11">_xlfn.LET(_xlpm.x,TRIM(B11),_xlpm.base,IFERROR(_xlfn.TEXTBEFORE(_xlpm.x,"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De'Von Acha</v>
      </c>
    </row>
    <row r="12" spans="1:6" x14ac:dyDescent="0.25">
      <c r="A12">
        <v>11</v>
      </c>
      <c r="B12" t="s">
        <v>350</v>
      </c>
      <c r="C12" t="s">
        <v>533</v>
      </c>
      <c r="D12">
        <v>12</v>
      </c>
      <c r="E12">
        <v>2023</v>
      </c>
      <c r="F12" t="str" cm="1">
        <f t="array" ref="F12">_xlfn.LET(_xlpm.x,TRIM(B12),_xlpm.base,IFERROR(_xlfn.TEXTBEFORE(_xlpm.x,"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Bryce Young</v>
      </c>
    </row>
    <row r="13" spans="1:6" x14ac:dyDescent="0.25">
      <c r="A13">
        <v>12</v>
      </c>
      <c r="B13" t="s">
        <v>300</v>
      </c>
      <c r="C13" t="s">
        <v>545</v>
      </c>
      <c r="D13">
        <v>12</v>
      </c>
      <c r="E13">
        <v>2023</v>
      </c>
      <c r="F13" t="str" cm="1">
        <f t="array" ref="F13">_xlfn.LET(_xlpm.x,TRIM(B13),_xlpm.base,IFERROR(_xlfn.TEXTBEFORE(_xlpm.x,"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Kendre Miller</v>
      </c>
    </row>
    <row r="14" spans="1:6" x14ac:dyDescent="0.25">
      <c r="A14">
        <v>13</v>
      </c>
      <c r="B14" t="s">
        <v>467</v>
      </c>
      <c r="C14" t="s">
        <v>530</v>
      </c>
      <c r="D14">
        <v>13.5</v>
      </c>
      <c r="E14">
        <v>2023</v>
      </c>
      <c r="F14" t="str" cm="1">
        <f t="array" ref="F14">_xlfn.LET(_xlpm.x,TRIM(B14),_xlpm.base,IFERROR(_xlfn.TEXTBEFORE(_xlpm.x,"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Jonathan Mingo</v>
      </c>
    </row>
    <row r="15" spans="1:6" x14ac:dyDescent="0.25">
      <c r="A15">
        <v>14</v>
      </c>
      <c r="B15" t="s">
        <v>90</v>
      </c>
      <c r="C15" t="s">
        <v>542</v>
      </c>
      <c r="D15">
        <v>13.5</v>
      </c>
      <c r="E15">
        <v>2023</v>
      </c>
      <c r="F15" t="str" cm="1">
        <f t="array" ref="F15">_xlfn.LET(_xlpm.x,TRIM(B15),_xlpm.base,IFERROR(_xlfn.TEXTBEFORE(_xlpm.x,"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Michael Mayer</v>
      </c>
    </row>
    <row r="16" spans="1:6" x14ac:dyDescent="0.25">
      <c r="A16">
        <v>15</v>
      </c>
      <c r="B16" t="s">
        <v>139</v>
      </c>
      <c r="C16" t="s">
        <v>535</v>
      </c>
      <c r="D16">
        <v>16.5</v>
      </c>
      <c r="E16">
        <v>2023</v>
      </c>
      <c r="F16" t="str" cm="1">
        <f t="array" ref="F16">_xlfn.LET(_xlpm.x,TRIM(B16),_xlpm.base,IFERROR(_xlfn.TEXTBEFORE(_xlpm.x,"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Rashee Rice</v>
      </c>
    </row>
    <row r="17" spans="1:6" x14ac:dyDescent="0.25">
      <c r="A17">
        <v>16</v>
      </c>
      <c r="B17" t="s">
        <v>143</v>
      </c>
      <c r="C17" t="s">
        <v>536</v>
      </c>
      <c r="D17">
        <v>18</v>
      </c>
      <c r="E17">
        <v>2023</v>
      </c>
      <c r="F17" t="str" cm="1">
        <f t="array" ref="F17">_xlfn.LET(_xlpm.x,TRIM(B17),_xlpm.base,IFERROR(_xlfn.TEXTBEFORE(_xlpm.x,"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Josh Downs</v>
      </c>
    </row>
    <row r="18" spans="1:6" x14ac:dyDescent="0.25">
      <c r="A18">
        <v>17</v>
      </c>
      <c r="B18" t="s">
        <v>394</v>
      </c>
      <c r="C18" t="s">
        <v>547</v>
      </c>
      <c r="D18">
        <v>18</v>
      </c>
      <c r="E18">
        <v>2023</v>
      </c>
      <c r="F18" t="str" cm="1">
        <f t="array" ref="F18">_xlfn.LET(_xlpm.x,TRIM(B18),_xlpm.base,IFERROR(_xlfn.TEXTBEFORE(_xlpm.x,"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Roschon Johnson</v>
      </c>
    </row>
    <row r="19" spans="1:6" x14ac:dyDescent="0.25">
      <c r="A19">
        <v>18</v>
      </c>
      <c r="B19" t="s">
        <v>165</v>
      </c>
      <c r="C19" t="s">
        <v>538</v>
      </c>
      <c r="D19">
        <v>18.5</v>
      </c>
      <c r="E19">
        <v>2023</v>
      </c>
      <c r="F19" t="str" cm="1">
        <f t="array" ref="F19">_xlfn.LET(_xlpm.x,TRIM(B19),_xlpm.base,IFERROR(_xlfn.TEXTBEFORE(_xlpm.x,"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Marvin Mims Jr.</v>
      </c>
    </row>
    <row r="20" spans="1:6" x14ac:dyDescent="0.25">
      <c r="A20">
        <v>19</v>
      </c>
      <c r="B20" t="s">
        <v>264</v>
      </c>
      <c r="C20" t="s">
        <v>550</v>
      </c>
      <c r="D20">
        <v>18.5</v>
      </c>
      <c r="E20">
        <v>2023</v>
      </c>
      <c r="F20" t="str" cm="1">
        <f t="array" ref="F20">_xlfn.LET(_xlpm.x,TRIM(B20),_xlpm.base,IFERROR(_xlfn.TEXTBEFORE(_xlpm.x,"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Tyjae Spears</v>
      </c>
    </row>
    <row r="21" spans="1:6" x14ac:dyDescent="0.25">
      <c r="A21">
        <v>20</v>
      </c>
      <c r="B21" t="s">
        <v>74</v>
      </c>
      <c r="C21" t="s">
        <v>546</v>
      </c>
      <c r="D21">
        <v>19.5</v>
      </c>
      <c r="E21">
        <v>2023</v>
      </c>
      <c r="F21" t="str" cm="1">
        <f t="array" ref="F21">_xlfn.LET(_xlpm.x,TRIM(B21),_xlpm.base,IFERROR(_xlfn.TEXTBEFORE(_xlpm.x,"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Sam LaPorta</v>
      </c>
    </row>
    <row r="22" spans="1:6" x14ac:dyDescent="0.25">
      <c r="A22">
        <v>21</v>
      </c>
      <c r="B22" t="s">
        <v>214</v>
      </c>
      <c r="C22" t="s">
        <v>539</v>
      </c>
      <c r="D22">
        <v>21.5</v>
      </c>
      <c r="E22">
        <v>2023</v>
      </c>
      <c r="F22" t="str" cm="1">
        <f t="array" ref="F22">_xlfn.LET(_xlpm.x,TRIM(B22),_xlpm.base,IFERROR(_xlfn.TEXTBEFORE(_xlpm.x,"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Jayden Reed</v>
      </c>
    </row>
    <row r="23" spans="1:6" x14ac:dyDescent="0.25">
      <c r="A23">
        <v>22</v>
      </c>
      <c r="B23" t="s">
        <v>289</v>
      </c>
      <c r="C23" t="s">
        <v>552</v>
      </c>
      <c r="D23">
        <v>23</v>
      </c>
      <c r="E23">
        <v>2023</v>
      </c>
      <c r="F23" t="str" cm="1">
        <f t="array" ref="F23">_xlfn.LET(_xlpm.x,TRIM(B23),_xlpm.base,IFERROR(_xlfn.TEXTBEFORE(_xlpm.x,"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Tank Bigsby</v>
      </c>
    </row>
    <row r="24" spans="1:6" x14ac:dyDescent="0.25">
      <c r="A24">
        <v>23</v>
      </c>
      <c r="B24" t="s">
        <v>476</v>
      </c>
      <c r="C24" t="s">
        <v>541</v>
      </c>
      <c r="D24">
        <v>24.5</v>
      </c>
      <c r="E24">
        <v>2023</v>
      </c>
      <c r="F24" t="str" cm="1">
        <f t="array" ref="F24">_xlfn.LET(_xlpm.x,TRIM(B24),_xlpm.base,IFERROR(_xlfn.TEXTBEFORE(_xlpm.x,"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Jalin Hyatt</v>
      </c>
    </row>
    <row r="25" spans="1:6" x14ac:dyDescent="0.25">
      <c r="A25">
        <v>24</v>
      </c>
      <c r="B25" t="s">
        <v>380</v>
      </c>
      <c r="C25" t="s">
        <v>534</v>
      </c>
      <c r="D25">
        <v>25.5</v>
      </c>
      <c r="E25">
        <v>2023</v>
      </c>
      <c r="F25" t="str" cm="1">
        <f t="array" ref="F25">_xlfn.LET(_xlpm.x,TRIM(B25),_xlpm.base,IFERROR(_xlfn.TEXTBEFORE(_xlpm.x,"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Will Levis</v>
      </c>
    </row>
    <row r="26" spans="1:6" x14ac:dyDescent="0.25">
      <c r="A26">
        <v>25</v>
      </c>
      <c r="B26" t="s">
        <v>227</v>
      </c>
      <c r="C26" t="s">
        <v>553</v>
      </c>
      <c r="D26">
        <v>25.5</v>
      </c>
      <c r="E26">
        <v>2023</v>
      </c>
      <c r="F26" t="str" cm="1">
        <f t="array" ref="F26">_xlfn.LET(_xlpm.x,TRIM(B26),_xlpm.base,IFERROR(_xlfn.TEXTBEFORE(_xlpm.x,"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Chase Brown</v>
      </c>
    </row>
    <row r="27" spans="1:6" x14ac:dyDescent="0.25">
      <c r="A27">
        <v>26</v>
      </c>
      <c r="B27" t="s">
        <v>454</v>
      </c>
      <c r="C27" t="s">
        <v>551</v>
      </c>
      <c r="D27">
        <v>27</v>
      </c>
      <c r="E27">
        <v>2023</v>
      </c>
      <c r="F27" t="str" cm="1">
        <f t="array" ref="F27">_xlfn.LET(_xlpm.x,TRIM(B27),_xlpm.base,IFERROR(_xlfn.TEXTBEFORE(_xlpm.x,"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Luke Musgrave</v>
      </c>
    </row>
    <row r="28" spans="1:6" x14ac:dyDescent="0.25">
      <c r="A28">
        <v>27</v>
      </c>
      <c r="B28" t="s">
        <v>197</v>
      </c>
      <c r="C28" t="s">
        <v>543</v>
      </c>
      <c r="D28">
        <v>28</v>
      </c>
      <c r="E28">
        <v>2023</v>
      </c>
      <c r="F28" t="str" cm="1">
        <f t="array" ref="F28">_xlfn.LET(_xlpm.x,TRIM(B28),_xlpm.base,IFERROR(_xlfn.TEXTBEFORE(_xlpm.x,"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Cedric Tillman</v>
      </c>
    </row>
    <row r="29" spans="1:6" x14ac:dyDescent="0.25">
      <c r="A29">
        <v>28</v>
      </c>
      <c r="B29" t="s">
        <v>920</v>
      </c>
      <c r="C29" t="s">
        <v>554</v>
      </c>
      <c r="D29">
        <v>29.5</v>
      </c>
      <c r="E29">
        <v>2023</v>
      </c>
      <c r="F29" t="str" cm="1">
        <f t="array" ref="F29">_xlfn.LET(_xlpm.x,TRIM(B29),_xlpm.base,IFERROR(_xlfn.TEXTBEFORE(_xlpm.x,"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Israel Abanikanda</v>
      </c>
    </row>
    <row r="30" spans="1:6" x14ac:dyDescent="0.25">
      <c r="A30">
        <v>29</v>
      </c>
      <c r="B30" t="s">
        <v>352</v>
      </c>
      <c r="C30" t="s">
        <v>537</v>
      </c>
      <c r="D30">
        <v>10</v>
      </c>
      <c r="E30">
        <v>2023</v>
      </c>
      <c r="F30" t="str" cm="1">
        <f t="array" ref="F30">_xlfn.LET(_xlpm.x,TRIM(B30),_xlpm.base,IFERROR(_xlfn.TEXTBEFORE(_xlpm.x,"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C.J. Stroud</v>
      </c>
    </row>
    <row r="31" spans="1:6" x14ac:dyDescent="0.25">
      <c r="A31">
        <v>30</v>
      </c>
      <c r="B31" t="s">
        <v>815</v>
      </c>
      <c r="C31" t="s">
        <v>563</v>
      </c>
      <c r="D31">
        <v>31</v>
      </c>
      <c r="E31">
        <v>2023</v>
      </c>
      <c r="F31" t="str" cm="1">
        <f t="array" ref="F31">_xlfn.LET(_xlpm.x,TRIM(B31),_xlpm.base,IFERROR(_xlfn.TEXTBEFORE(_xlpm.x,"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Zach Evans</v>
      </c>
    </row>
    <row r="32" spans="1:6" x14ac:dyDescent="0.25">
      <c r="A32">
        <v>31</v>
      </c>
      <c r="B32" t="s">
        <v>410</v>
      </c>
      <c r="C32" t="s">
        <v>548</v>
      </c>
      <c r="D32">
        <v>32</v>
      </c>
      <c r="E32">
        <v>2023</v>
      </c>
      <c r="F32" t="str" cm="1">
        <f t="array" ref="F32">_xlfn.LET(_xlpm.x,TRIM(B32),_xlpm.base,IFERROR(_xlfn.TEXTBEFORE(_xlpm.x,"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Tank Dell</v>
      </c>
    </row>
    <row r="33" spans="1:6" x14ac:dyDescent="0.25">
      <c r="A33">
        <v>32</v>
      </c>
      <c r="B33" t="s">
        <v>150</v>
      </c>
      <c r="C33" t="s">
        <v>549</v>
      </c>
      <c r="D33">
        <v>32.5</v>
      </c>
      <c r="E33">
        <v>2023</v>
      </c>
      <c r="F33" t="str" cm="1">
        <f t="array" ref="F33">_xlfn.LET(_xlpm.x,TRIM(B33),_xlpm.base,IFERROR(_xlfn.TEXTBEFORE(_xlpm.x,"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Kayshon Boutte</v>
      </c>
    </row>
    <row r="34" spans="1:6" x14ac:dyDescent="0.25">
      <c r="A34">
        <v>33</v>
      </c>
      <c r="B34" t="s">
        <v>109</v>
      </c>
      <c r="C34" t="s">
        <v>555</v>
      </c>
      <c r="D34">
        <v>34</v>
      </c>
      <c r="E34">
        <v>2023</v>
      </c>
      <c r="F34" t="str" cm="1">
        <f t="array" ref="F34">_xlfn.LET(_xlpm.x,TRIM(B34),_xlpm.base,IFERROR(_xlfn.TEXTBEFORE(_xlpm.x,"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Michael Wilson</v>
      </c>
    </row>
    <row r="35" spans="1:6" x14ac:dyDescent="0.25">
      <c r="A35">
        <v>34</v>
      </c>
      <c r="B35" t="s">
        <v>91</v>
      </c>
      <c r="C35" t="s">
        <v>564</v>
      </c>
      <c r="D35">
        <v>34.5</v>
      </c>
      <c r="E35">
        <v>2023</v>
      </c>
      <c r="F35" t="str" cm="1">
        <f t="array" ref="F35">_xlfn.LET(_xlpm.x,TRIM(B35),_xlpm.base,IFERROR(_xlfn.TEXTBEFORE(_xlpm.x,"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Darnell Washington</v>
      </c>
    </row>
    <row r="36" spans="1:6" x14ac:dyDescent="0.25">
      <c r="A36">
        <v>35</v>
      </c>
      <c r="B36" t="s">
        <v>447</v>
      </c>
      <c r="C36" t="s">
        <v>577</v>
      </c>
      <c r="D36">
        <v>35</v>
      </c>
      <c r="E36">
        <v>2023</v>
      </c>
      <c r="F36" t="str" cm="1">
        <f t="array" ref="F36">_xlfn.LET(_xlpm.x,TRIM(B36),_xlpm.base,IFERROR(_xlfn.TEXTBEFORE(_xlpm.x,"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Luke Schoonmaker</v>
      </c>
    </row>
    <row r="37" spans="1:6" x14ac:dyDescent="0.25">
      <c r="A37">
        <v>36</v>
      </c>
      <c r="B37" t="s">
        <v>1105</v>
      </c>
      <c r="C37" t="s">
        <v>559</v>
      </c>
      <c r="D37">
        <v>36.5</v>
      </c>
      <c r="E37">
        <v>2023</v>
      </c>
      <c r="F37" t="str" cm="1">
        <f t="array" ref="F37">_xlfn.LET(_xlpm.x,TRIM(B37),_xlpm.base,IFERROR(_xlfn.TEXTBEFORE(_xlpm.x,"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Hendon Hooker</v>
      </c>
    </row>
    <row r="38" spans="1:6" x14ac:dyDescent="0.25">
      <c r="A38">
        <v>37</v>
      </c>
      <c r="B38" t="s">
        <v>706</v>
      </c>
      <c r="C38" t="s">
        <v>565</v>
      </c>
      <c r="D38">
        <v>36.5</v>
      </c>
      <c r="E38">
        <v>2023</v>
      </c>
      <c r="F38" t="str" cm="1">
        <f t="array" ref="F38">_xlfn.LET(_xlpm.x,TRIM(B38),_xlpm.base,IFERROR(_xlfn.TEXTBEFORE(_xlpm.x,"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Deuce Vaughn</v>
      </c>
    </row>
    <row r="39" spans="1:6" x14ac:dyDescent="0.25">
      <c r="A39">
        <v>38</v>
      </c>
      <c r="B39" t="s">
        <v>919</v>
      </c>
      <c r="C39" t="s">
        <v>568</v>
      </c>
      <c r="D39">
        <v>37.5</v>
      </c>
      <c r="E39">
        <v>2023</v>
      </c>
      <c r="F39" t="str" cm="1">
        <f t="array" ref="F39">_xlfn.LET(_xlpm.x,TRIM(B39),_xlpm.base,IFERROR(_xlfn.TEXTBEFORE(_xlpm.x,"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Eric Gray</v>
      </c>
    </row>
    <row r="40" spans="1:6" x14ac:dyDescent="0.25">
      <c r="A40">
        <v>39</v>
      </c>
      <c r="B40" t="s">
        <v>925</v>
      </c>
      <c r="C40" t="s">
        <v>1280</v>
      </c>
      <c r="D40">
        <v>40</v>
      </c>
      <c r="E40">
        <v>2023</v>
      </c>
      <c r="F40" t="str" cm="1">
        <f t="array" ref="F40">_xlfn.LET(_xlpm.x,TRIM(B40),_xlpm.base,IFERROR(_xlfn.TEXTBEFORE(_xlpm.x,"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Tyler Scott</v>
      </c>
    </row>
    <row r="41" spans="1:6" x14ac:dyDescent="0.25">
      <c r="A41">
        <v>40</v>
      </c>
      <c r="B41" t="s">
        <v>911</v>
      </c>
      <c r="C41" t="s">
        <v>569</v>
      </c>
      <c r="D41">
        <v>40</v>
      </c>
      <c r="E41">
        <v>2023</v>
      </c>
      <c r="F41" t="str" cm="1">
        <f t="array" ref="F41">_xlfn.LET(_xlpm.x,TRIM(B41),_xlpm.base,IFERROR(_xlfn.TEXTBEFORE(_xlpm.x,"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Evan Hull</v>
      </c>
    </row>
    <row r="42" spans="1:6" x14ac:dyDescent="0.25">
      <c r="A42">
        <v>41</v>
      </c>
      <c r="B42" t="s">
        <v>840</v>
      </c>
      <c r="C42" t="s">
        <v>571</v>
      </c>
      <c r="D42">
        <v>40</v>
      </c>
      <c r="E42">
        <v>2023</v>
      </c>
      <c r="F42" t="str" cm="1">
        <f t="array" ref="F42">_xlfn.LET(_xlpm.x,TRIM(B42),_xlpm.base,IFERROR(_xlfn.TEXTBEFORE(_xlpm.x,"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DeWayne McBride</v>
      </c>
    </row>
    <row r="43" spans="1:6" x14ac:dyDescent="0.25">
      <c r="A43">
        <v>42</v>
      </c>
      <c r="B43" t="s">
        <v>272</v>
      </c>
      <c r="C43" t="s">
        <v>575</v>
      </c>
      <c r="D43">
        <v>40.5</v>
      </c>
      <c r="E43">
        <v>2023</v>
      </c>
      <c r="F43" t="str" cm="1">
        <f t="array" ref="F43">_xlfn.LET(_xlpm.x,TRIM(B43),_xlpm.base,IFERROR(_xlfn.TEXTBEFORE(_xlpm.x,"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Sean Tucker</v>
      </c>
    </row>
    <row r="44" spans="1:6" x14ac:dyDescent="0.25">
      <c r="A44">
        <v>43</v>
      </c>
      <c r="B44" t="s">
        <v>68</v>
      </c>
      <c r="C44" t="s">
        <v>584</v>
      </c>
      <c r="D44">
        <v>41</v>
      </c>
      <c r="E44">
        <v>2023</v>
      </c>
      <c r="F44" t="str" cm="1">
        <f t="array" ref="F44">_xlfn.LET(_xlpm.x,TRIM(B44),_xlpm.base,IFERROR(_xlfn.TEXTBEFORE(_xlpm.x,"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Tucker Kraft</v>
      </c>
    </row>
    <row r="45" spans="1:6" x14ac:dyDescent="0.25">
      <c r="A45">
        <v>44</v>
      </c>
      <c r="B45" t="s">
        <v>1098</v>
      </c>
      <c r="C45" t="s">
        <v>588</v>
      </c>
      <c r="D45">
        <v>43</v>
      </c>
      <c r="E45">
        <v>2023</v>
      </c>
      <c r="F45" t="str" cm="1">
        <f t="array" ref="F45">_xlfn.LET(_xlpm.x,TRIM(B45),_xlpm.base,IFERROR(_xlfn.TEXTBEFORE(_xlpm.x,"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Brenton StrangeJAC</v>
      </c>
    </row>
    <row r="46" spans="1:6" x14ac:dyDescent="0.25">
      <c r="A46">
        <v>45</v>
      </c>
      <c r="B46" t="s">
        <v>1251</v>
      </c>
      <c r="C46" t="s">
        <v>561</v>
      </c>
      <c r="D46">
        <v>48</v>
      </c>
      <c r="E46">
        <v>2023</v>
      </c>
      <c r="F46" t="str" cm="1">
        <f t="array" ref="F46">_xlfn.LET(_xlpm.x,TRIM(B46),_xlpm.base,IFERROR(_xlfn.TEXTBEFORE(_xlpm.x,"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Stetson Bennett IV</v>
      </c>
    </row>
    <row r="47" spans="1:6" x14ac:dyDescent="0.25">
      <c r="A47">
        <v>46</v>
      </c>
      <c r="B47" t="s">
        <v>922</v>
      </c>
      <c r="C47" t="s">
        <v>576</v>
      </c>
      <c r="D47">
        <v>48</v>
      </c>
      <c r="E47">
        <v>2023</v>
      </c>
      <c r="F47" t="str" cm="1">
        <f t="array" ref="F47">_xlfn.LET(_xlpm.x,TRIM(B47),_xlpm.base,IFERROR(_xlfn.TEXTBEFORE(_xlpm.x,"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Chris Rodriguez Jr.JAC</v>
      </c>
    </row>
    <row r="48" spans="1:6" x14ac:dyDescent="0.25">
      <c r="A48">
        <v>47</v>
      </c>
      <c r="B48" t="s">
        <v>100</v>
      </c>
      <c r="C48" t="s">
        <v>556</v>
      </c>
      <c r="D48">
        <v>48</v>
      </c>
      <c r="E48">
        <v>2023</v>
      </c>
      <c r="F48" t="str" cm="1">
        <f t="array" ref="F48">_xlfn.LET(_xlpm.x,TRIM(B48),_xlpm.base,IFERROR(_xlfn.TEXTBEFORE(_xlpm.x,"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Puka Nacua</v>
      </c>
    </row>
    <row r="49" spans="1:6" x14ac:dyDescent="0.25">
      <c r="A49">
        <v>48</v>
      </c>
      <c r="B49" t="s">
        <v>475</v>
      </c>
      <c r="C49" t="s">
        <v>557</v>
      </c>
      <c r="D49">
        <v>46</v>
      </c>
      <c r="E49">
        <v>2023</v>
      </c>
      <c r="F49" t="str" cm="1">
        <f t="array" ref="F49">_xlfn.LET(_xlpm.x,TRIM(B49),_xlpm.base,IFERROR(_xlfn.TEXTBEFORE(_xlpm.x,"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A.T. Perry</v>
      </c>
    </row>
    <row r="50" spans="1:6" x14ac:dyDescent="0.25">
      <c r="A50">
        <v>49</v>
      </c>
      <c r="B50" t="s">
        <v>126</v>
      </c>
      <c r="C50" t="s">
        <v>558</v>
      </c>
      <c r="D50">
        <v>47</v>
      </c>
      <c r="E50">
        <v>2023</v>
      </c>
      <c r="F50" t="str" cm="1">
        <f t="array" ref="F50">_xlfn.LET(_xlpm.x,TRIM(B50),_xlpm.base,IFERROR(_xlfn.TEXTBEFORE(_xlpm.x,"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Parker Washington</v>
      </c>
    </row>
    <row r="51" spans="1:6" x14ac:dyDescent="0.25">
      <c r="A51">
        <v>50</v>
      </c>
      <c r="B51" t="s">
        <v>1244</v>
      </c>
      <c r="C51" t="s">
        <v>560</v>
      </c>
      <c r="D51">
        <v>47</v>
      </c>
      <c r="E51">
        <v>2023</v>
      </c>
      <c r="F51" t="str" cm="1">
        <f t="array" ref="F51">_xlfn.LET(_xlpm.x,TRIM(B51),_xlpm.base,IFERROR(_xlfn.TEXTBEFORE(_xlpm.x,"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Charlie Jones</v>
      </c>
    </row>
    <row r="52" spans="1:6" x14ac:dyDescent="0.25">
      <c r="A52">
        <v>51</v>
      </c>
      <c r="B52" t="s">
        <v>938</v>
      </c>
      <c r="C52" t="s">
        <v>579</v>
      </c>
      <c r="D52">
        <v>49</v>
      </c>
      <c r="E52">
        <v>2023</v>
      </c>
      <c r="F52" t="str" cm="1">
        <f t="array" ref="F52">_xlfn.LET(_xlpm.x,TRIM(B52),_xlpm.base,IFERROR(_xlfn.TEXTBEFORE(_xlpm.x,"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Kenny McIntosh</v>
      </c>
    </row>
    <row r="53" spans="1:6" x14ac:dyDescent="0.25">
      <c r="A53">
        <v>52</v>
      </c>
      <c r="B53" t="s">
        <v>163</v>
      </c>
      <c r="C53" t="s">
        <v>562</v>
      </c>
      <c r="D53">
        <v>50</v>
      </c>
      <c r="E53">
        <v>2023</v>
      </c>
      <c r="F53" t="str" cm="1">
        <f t="array" ref="F53">_xlfn.LET(_xlpm.x,TRIM(B53),_xlpm.base,IFERROR(_xlfn.TEXTBEFORE(_xlpm.x,"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Xavier Hutchinson</v>
      </c>
    </row>
    <row r="54" spans="1:6" x14ac:dyDescent="0.25">
      <c r="A54">
        <v>53</v>
      </c>
      <c r="B54" t="s">
        <v>463</v>
      </c>
      <c r="C54" t="s">
        <v>566</v>
      </c>
      <c r="D54">
        <v>50</v>
      </c>
      <c r="E54">
        <v>2023</v>
      </c>
      <c r="F54" t="str" cm="1">
        <f t="array" ref="F54">_xlfn.LET(_xlpm.x,TRIM(B54),_xlpm.base,IFERROR(_xlfn.TEXTBEFORE(_xlpm.x,"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Trey Palmer</v>
      </c>
    </row>
    <row r="55" spans="1:6" x14ac:dyDescent="0.25">
      <c r="A55">
        <v>54</v>
      </c>
      <c r="B55" t="s">
        <v>287</v>
      </c>
      <c r="C55" t="s">
        <v>582</v>
      </c>
      <c r="D55">
        <v>52</v>
      </c>
      <c r="E55">
        <v>2023</v>
      </c>
      <c r="F55" t="str" cm="1">
        <f t="array" ref="F55">_xlfn.LET(_xlpm.x,TRIM(B55),_xlpm.base,IFERROR(_xlfn.TEXTBEFORE(_xlpm.x,"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Keaton Mitchell</v>
      </c>
    </row>
    <row r="56" spans="1:6" x14ac:dyDescent="0.25">
      <c r="A56">
        <v>55</v>
      </c>
      <c r="B56" t="s">
        <v>137</v>
      </c>
      <c r="C56" t="s">
        <v>567</v>
      </c>
      <c r="D56">
        <v>53</v>
      </c>
      <c r="E56">
        <v>2023</v>
      </c>
      <c r="F56" t="str" cm="1">
        <f t="array" ref="F56">_xlfn.LET(_xlpm.x,TRIM(B56),_xlpm.base,IFERROR(_xlfn.TEXTBEFORE(_xlpm.x,"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Tre Tucker</v>
      </c>
    </row>
    <row r="57" spans="1:6" x14ac:dyDescent="0.25">
      <c r="A57">
        <v>56</v>
      </c>
      <c r="B57" t="s">
        <v>1281</v>
      </c>
      <c r="C57" t="s">
        <v>586</v>
      </c>
      <c r="D57">
        <v>55</v>
      </c>
      <c r="E57">
        <v>2023</v>
      </c>
      <c r="F57" t="str" cm="1">
        <f t="array" ref="F57">_xlfn.LET(_xlpm.x,TRIM(B57),_xlpm.base,IFERROR(_xlfn.TEXTBEFORE(_xlpm.x,"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Mohamed Ibrahim</v>
      </c>
    </row>
    <row r="58" spans="1:6" x14ac:dyDescent="0.25">
      <c r="A58">
        <v>57</v>
      </c>
      <c r="B58" t="s">
        <v>1282</v>
      </c>
      <c r="C58" t="s">
        <v>570</v>
      </c>
      <c r="D58">
        <v>56</v>
      </c>
      <c r="E58">
        <v>2023</v>
      </c>
      <c r="F58" t="str" cm="1">
        <f t="array" ref="F58">_xlfn.LET(_xlpm.x,TRIM(B58),_xlpm.base,IFERROR(_xlfn.TEXTBEFORE(_xlpm.x,"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Rakim Jarrett</v>
      </c>
    </row>
    <row r="59" spans="1:6" x14ac:dyDescent="0.25">
      <c r="A59">
        <v>58</v>
      </c>
      <c r="B59" t="s">
        <v>1089</v>
      </c>
      <c r="C59" t="s">
        <v>589</v>
      </c>
      <c r="D59">
        <v>57</v>
      </c>
      <c r="E59">
        <v>2023</v>
      </c>
      <c r="F59" t="str" cm="1">
        <f t="array" ref="F59">_xlfn.LET(_xlpm.x,TRIM(B59),_xlpm.base,IFERROR(_xlfn.TEXTBEFORE(_xlpm.x,"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Will Mallory</v>
      </c>
    </row>
    <row r="60" spans="1:6" x14ac:dyDescent="0.25">
      <c r="A60">
        <v>59</v>
      </c>
      <c r="B60" t="s">
        <v>902</v>
      </c>
      <c r="C60" t="s">
        <v>572</v>
      </c>
      <c r="D60">
        <v>58</v>
      </c>
      <c r="E60">
        <v>2023</v>
      </c>
      <c r="F60" t="str" cm="1">
        <f t="array" ref="F60">_xlfn.LET(_xlpm.x,TRIM(B60),_xlpm.base,IFERROR(_xlfn.TEXTBEFORE(_xlpm.x,"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Dorian Thompson-Robinson</v>
      </c>
    </row>
    <row r="61" spans="1:6" x14ac:dyDescent="0.25">
      <c r="A61">
        <v>1</v>
      </c>
      <c r="B61" t="s">
        <v>239</v>
      </c>
      <c r="C61" t="s">
        <v>524</v>
      </c>
      <c r="D61">
        <v>1</v>
      </c>
      <c r="E61">
        <v>2022</v>
      </c>
      <c r="F61" t="str" cm="1">
        <f t="array" ref="F61">_xlfn.LET(_xlpm.x,TRIM(B61),_xlpm.base,IFERROR(_xlfn.TEXTBEFORE(_xlpm.x,"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Breece Hall</v>
      </c>
    </row>
    <row r="62" spans="1:6" x14ac:dyDescent="0.25">
      <c r="A62">
        <v>2</v>
      </c>
      <c r="B62" t="s">
        <v>118</v>
      </c>
      <c r="C62" t="s">
        <v>525</v>
      </c>
      <c r="D62">
        <v>2</v>
      </c>
      <c r="E62">
        <v>2022</v>
      </c>
      <c r="F62" t="str" cm="1">
        <f t="array" ref="F62">_xlfn.LET(_xlpm.x,TRIM(B62),_xlpm.base,IFERROR(_xlfn.TEXTBEFORE(_xlpm.x,"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Drake London</v>
      </c>
    </row>
    <row r="63" spans="1:6" x14ac:dyDescent="0.25">
      <c r="A63">
        <v>3</v>
      </c>
      <c r="B63" t="s">
        <v>242</v>
      </c>
      <c r="C63" t="s">
        <v>531</v>
      </c>
      <c r="D63">
        <v>3.5</v>
      </c>
      <c r="E63">
        <v>2022</v>
      </c>
      <c r="F63" t="str" cm="1">
        <f t="array" ref="F63">_xlfn.LET(_xlpm.x,TRIM(B63),_xlpm.base,IFERROR(_xlfn.TEXTBEFORE(_xlpm.x,"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Kenneth Walker III</v>
      </c>
    </row>
    <row r="64" spans="1:6" x14ac:dyDescent="0.25">
      <c r="A64">
        <v>4</v>
      </c>
      <c r="B64" t="s">
        <v>907</v>
      </c>
      <c r="C64" t="s">
        <v>527</v>
      </c>
      <c r="D64">
        <v>4</v>
      </c>
      <c r="E64">
        <v>2022</v>
      </c>
      <c r="F64" t="str" cm="1">
        <f t="array" ref="F64">_xlfn.LET(_xlpm.x,TRIM(B64),_xlpm.base,IFERROR(_xlfn.TEXTBEFORE(_xlpm.x,"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Treylon Burks</v>
      </c>
    </row>
    <row r="65" spans="1:6" x14ac:dyDescent="0.25">
      <c r="A65">
        <v>5</v>
      </c>
      <c r="B65" t="s">
        <v>105</v>
      </c>
      <c r="C65" t="s">
        <v>528</v>
      </c>
      <c r="D65">
        <v>5.5</v>
      </c>
      <c r="E65">
        <v>2022</v>
      </c>
      <c r="F65" t="str" cm="1">
        <f t="array" ref="F65">_xlfn.LET(_xlpm.x,TRIM(B65),_xlpm.base,IFERROR(_xlfn.TEXTBEFORE(_xlpm.x,"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Chris Olave</v>
      </c>
    </row>
    <row r="66" spans="1:6" x14ac:dyDescent="0.25">
      <c r="A66">
        <v>6</v>
      </c>
      <c r="B66" t="s">
        <v>161</v>
      </c>
      <c r="C66" t="s">
        <v>529</v>
      </c>
      <c r="D66">
        <v>5.5</v>
      </c>
      <c r="E66">
        <v>2022</v>
      </c>
      <c r="F66" t="str" cm="1">
        <f t="array" ref="F66">_xlfn.LET(_xlpm.x,TRIM(B66),_xlpm.base,IFERROR(_xlfn.TEXTBEFORE(_xlpm.x,"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Garrett Wilson</v>
      </c>
    </row>
    <row r="67" spans="1:6" x14ac:dyDescent="0.25">
      <c r="A67">
        <v>7</v>
      </c>
      <c r="B67" t="s">
        <v>104</v>
      </c>
      <c r="C67" t="s">
        <v>530</v>
      </c>
      <c r="D67">
        <v>9</v>
      </c>
      <c r="E67">
        <v>2022</v>
      </c>
      <c r="F67" t="str" cm="1">
        <f t="array" ref="F67">_xlfn.LET(_xlpm.x,TRIM(B67),_xlpm.base,IFERROR(_xlfn.TEXTBEFORE(_xlpm.x,"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George Pickens</v>
      </c>
    </row>
    <row r="68" spans="1:6" x14ac:dyDescent="0.25">
      <c r="A68">
        <v>8</v>
      </c>
      <c r="B68" t="s">
        <v>481</v>
      </c>
      <c r="C68" t="s">
        <v>535</v>
      </c>
      <c r="D68">
        <v>9</v>
      </c>
      <c r="E68">
        <v>2022</v>
      </c>
      <c r="F68" t="str" cm="1">
        <f t="array" ref="F68">_xlfn.LET(_xlpm.x,TRIM(B68),_xlpm.base,IFERROR(_xlfn.TEXTBEFORE(_xlpm.x,"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Skyy Moore</v>
      </c>
    </row>
    <row r="69" spans="1:6" x14ac:dyDescent="0.25">
      <c r="A69">
        <v>9</v>
      </c>
      <c r="B69" t="s">
        <v>145</v>
      </c>
      <c r="C69" t="s">
        <v>536</v>
      </c>
      <c r="D69">
        <v>10</v>
      </c>
      <c r="E69">
        <v>2022</v>
      </c>
      <c r="F69" t="str" cm="1">
        <f t="array" ref="F69">_xlfn.LET(_xlpm.x,TRIM(B69),_xlpm.base,IFERROR(_xlfn.TEXTBEFORE(_xlpm.x,"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Christian Watson</v>
      </c>
    </row>
    <row r="70" spans="1:6" x14ac:dyDescent="0.25">
      <c r="A70">
        <v>10</v>
      </c>
      <c r="B70" t="s">
        <v>226</v>
      </c>
      <c r="C70" t="s">
        <v>540</v>
      </c>
      <c r="D70">
        <v>10.5</v>
      </c>
      <c r="E70">
        <v>2022</v>
      </c>
      <c r="F70" t="str" cm="1">
        <f t="array" ref="F70">_xlfn.LET(_xlpm.x,TRIM(B70),_xlpm.base,IFERROR(_xlfn.TEXTBEFORE(_xlpm.x,"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James Cook III</v>
      </c>
    </row>
    <row r="71" spans="1:6" x14ac:dyDescent="0.25">
      <c r="A71">
        <v>11</v>
      </c>
      <c r="B71" t="s">
        <v>209</v>
      </c>
      <c r="C71" t="s">
        <v>538</v>
      </c>
      <c r="D71">
        <v>11</v>
      </c>
      <c r="E71">
        <v>2022</v>
      </c>
      <c r="F71" t="str" cm="1">
        <f t="array" ref="F71">_xlfn.LET(_xlpm.x,TRIM(B71),_xlpm.base,IFERROR(_xlfn.TEXTBEFORE(_xlpm.x,"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Jahan Dotson</v>
      </c>
    </row>
    <row r="72" spans="1:6" x14ac:dyDescent="0.25">
      <c r="A72">
        <v>12</v>
      </c>
      <c r="B72" t="s">
        <v>399</v>
      </c>
      <c r="C72" t="s">
        <v>544</v>
      </c>
      <c r="D72">
        <v>12</v>
      </c>
      <c r="E72">
        <v>2022</v>
      </c>
      <c r="F72" t="str" cm="1">
        <f t="array" ref="F72">_xlfn.LET(_xlpm.x,TRIM(B72),_xlpm.base,IFERROR(_xlfn.TEXTBEFORE(_xlpm.x,"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Dameon Pierce</v>
      </c>
    </row>
    <row r="73" spans="1:6" x14ac:dyDescent="0.25">
      <c r="A73">
        <v>13</v>
      </c>
      <c r="B73" t="s">
        <v>252</v>
      </c>
      <c r="C73" t="s">
        <v>545</v>
      </c>
      <c r="D73">
        <v>13</v>
      </c>
      <c r="E73">
        <v>2022</v>
      </c>
      <c r="F73" t="str" cm="1">
        <f t="array" ref="F73">_xlfn.LET(_xlpm.x,TRIM(B73),_xlpm.base,IFERROR(_xlfn.TEXTBEFORE(_xlpm.x,"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Rachaad White</v>
      </c>
    </row>
    <row r="74" spans="1:6" x14ac:dyDescent="0.25">
      <c r="A74">
        <v>14</v>
      </c>
      <c r="B74" t="s">
        <v>797</v>
      </c>
      <c r="C74" t="s">
        <v>547</v>
      </c>
      <c r="D74">
        <v>16.5</v>
      </c>
      <c r="E74">
        <v>2022</v>
      </c>
      <c r="F74" t="str" cm="1">
        <f t="array" ref="F74">_xlfn.LET(_xlpm.x,TRIM(B74),_xlpm.base,IFERROR(_xlfn.TEXTBEFORE(_xlpm.x,"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Isaiah Spiller</v>
      </c>
    </row>
    <row r="75" spans="1:6" x14ac:dyDescent="0.25">
      <c r="A75">
        <v>15</v>
      </c>
      <c r="B75" t="s">
        <v>127</v>
      </c>
      <c r="C75" t="s">
        <v>539</v>
      </c>
      <c r="D75">
        <v>17.5</v>
      </c>
      <c r="E75">
        <v>2022</v>
      </c>
      <c r="F75" t="str" cm="1">
        <f t="array" ref="F75">_xlfn.LET(_xlpm.x,TRIM(B75),_xlpm.base,IFERROR(_xlfn.TEXTBEFORE(_xlpm.x,"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Alec Pierce</v>
      </c>
    </row>
    <row r="76" spans="1:6" x14ac:dyDescent="0.25">
      <c r="A76">
        <v>16</v>
      </c>
      <c r="B76" t="s">
        <v>283</v>
      </c>
      <c r="C76" t="s">
        <v>550</v>
      </c>
      <c r="D76">
        <v>19.5</v>
      </c>
      <c r="E76">
        <v>2022</v>
      </c>
      <c r="F76" t="str" cm="1">
        <f t="array" ref="F76">_xlfn.LET(_xlpm.x,TRIM(B76),_xlpm.base,IFERROR(_xlfn.TEXTBEFORE(_xlpm.x,"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Brian Robinson Jr.</v>
      </c>
    </row>
    <row r="77" spans="1:6" x14ac:dyDescent="0.25">
      <c r="A77">
        <v>17</v>
      </c>
      <c r="B77" t="s">
        <v>217</v>
      </c>
      <c r="C77" t="s">
        <v>541</v>
      </c>
      <c r="D77">
        <v>19.5</v>
      </c>
      <c r="E77">
        <v>2022</v>
      </c>
      <c r="F77" t="str" cm="1">
        <f t="array" ref="F77">_xlfn.LET(_xlpm.x,TRIM(B77),_xlpm.base,IFERROR(_xlfn.TEXTBEFORE(_xlpm.x,"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Jalen Tolbert</v>
      </c>
    </row>
    <row r="78" spans="1:6" x14ac:dyDescent="0.25">
      <c r="A78">
        <v>18</v>
      </c>
      <c r="B78" t="s">
        <v>483</v>
      </c>
      <c r="C78" t="s">
        <v>543</v>
      </c>
      <c r="D78">
        <v>20</v>
      </c>
      <c r="E78">
        <v>2022</v>
      </c>
      <c r="F78" t="str" cm="1">
        <f t="array" ref="F78">_xlfn.LET(_xlpm.x,TRIM(B78),_xlpm.base,IFERROR(_xlfn.TEXTBEFORE(_xlpm.x,"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David Bell</v>
      </c>
    </row>
    <row r="79" spans="1:6" x14ac:dyDescent="0.25">
      <c r="A79">
        <v>19</v>
      </c>
      <c r="B79" t="s">
        <v>259</v>
      </c>
      <c r="C79" t="s">
        <v>552</v>
      </c>
      <c r="D79">
        <v>20</v>
      </c>
      <c r="E79">
        <v>2022</v>
      </c>
      <c r="F79" t="str" cm="1">
        <f t="array" ref="F79">_xlfn.LET(_xlpm.x,TRIM(B79),_xlpm.base,IFERROR(_xlfn.TEXTBEFORE(_xlpm.x,"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Tyler Allgeier</v>
      </c>
    </row>
    <row r="80" spans="1:6" x14ac:dyDescent="0.25">
      <c r="A80">
        <v>20</v>
      </c>
      <c r="B80" t="s">
        <v>511</v>
      </c>
      <c r="C80" t="s">
        <v>532</v>
      </c>
      <c r="D80">
        <v>20.5</v>
      </c>
      <c r="E80">
        <v>2022</v>
      </c>
      <c r="F80" t="str" cm="1">
        <f t="array" ref="F80">_xlfn.LET(_xlpm.x,TRIM(B80),_xlpm.base,IFERROR(_xlfn.TEXTBEFORE(_xlpm.x,"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Kenny Pickett</v>
      </c>
    </row>
    <row r="81" spans="1:6" x14ac:dyDescent="0.25">
      <c r="A81">
        <v>21</v>
      </c>
      <c r="B81" t="s">
        <v>328</v>
      </c>
      <c r="C81" t="s">
        <v>553</v>
      </c>
      <c r="D81">
        <v>20.5</v>
      </c>
      <c r="E81">
        <v>2022</v>
      </c>
      <c r="F81" t="str" cm="1">
        <f t="array" ref="F81">_xlfn.LET(_xlpm.x,TRIM(B81),_xlpm.base,IFERROR(_xlfn.TEXTBEFORE(_xlpm.x,"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Zamir White</v>
      </c>
    </row>
    <row r="82" spans="1:6" x14ac:dyDescent="0.25">
      <c r="A82">
        <v>22</v>
      </c>
      <c r="B82" t="s">
        <v>113</v>
      </c>
      <c r="C82" t="s">
        <v>548</v>
      </c>
      <c r="D82">
        <v>22.5</v>
      </c>
      <c r="E82">
        <v>2022</v>
      </c>
      <c r="F82" t="str" cm="1">
        <f t="array" ref="F82">_xlfn.LET(_xlpm.x,TRIM(B82),_xlpm.base,IFERROR(_xlfn.TEXTBEFORE(_xlpm.x,"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Wan'Dale Robinson</v>
      </c>
    </row>
    <row r="83" spans="1:6" x14ac:dyDescent="0.25">
      <c r="A83">
        <v>23</v>
      </c>
      <c r="B83" t="s">
        <v>20</v>
      </c>
      <c r="C83" t="s">
        <v>526</v>
      </c>
      <c r="D83">
        <v>23</v>
      </c>
      <c r="E83">
        <v>2022</v>
      </c>
      <c r="F83" t="str" cm="1">
        <f t="array" ref="F83">_xlfn.LET(_xlpm.x,TRIM(B83),_xlpm.base,IFERROR(_xlfn.TEXTBEFORE(_xlpm.x,"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Trey McBride</v>
      </c>
    </row>
    <row r="84" spans="1:6" x14ac:dyDescent="0.25">
      <c r="A84">
        <v>24</v>
      </c>
      <c r="B84" t="s">
        <v>1284</v>
      </c>
      <c r="C84" t="s">
        <v>554</v>
      </c>
      <c r="D84">
        <v>26</v>
      </c>
      <c r="E84">
        <v>2022</v>
      </c>
      <c r="F84" t="str" cm="1">
        <f t="array" ref="F84">_xlfn.LET(_xlpm.x,TRIM(B84),_xlpm.base,IFERROR(_xlfn.TEXTBEFORE(_xlpm.x,"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Tyrion Davis-Price</v>
      </c>
    </row>
    <row r="85" spans="1:6" x14ac:dyDescent="0.25">
      <c r="A85">
        <v>25</v>
      </c>
      <c r="B85" t="s">
        <v>136</v>
      </c>
      <c r="C85" t="s">
        <v>549</v>
      </c>
      <c r="D85">
        <v>26.5</v>
      </c>
      <c r="E85">
        <v>2022</v>
      </c>
      <c r="F85" t="str" cm="1">
        <f t="array" ref="F85">_xlfn.LET(_xlpm.x,TRIM(B85),_xlpm.base,IFERROR(_xlfn.TEXTBEFORE(_xlpm.x,"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Romeo Doubs</v>
      </c>
    </row>
    <row r="86" spans="1:6" x14ac:dyDescent="0.25">
      <c r="A86">
        <v>26</v>
      </c>
      <c r="B86" t="s">
        <v>376</v>
      </c>
      <c r="C86" t="s">
        <v>533</v>
      </c>
      <c r="D86">
        <v>26.5</v>
      </c>
      <c r="E86">
        <v>2022</v>
      </c>
      <c r="F86" t="str" cm="1">
        <f t="array" ref="F86">_xlfn.LET(_xlpm.x,TRIM(B86),_xlpm.base,IFERROR(_xlfn.TEXTBEFORE(_xlpm.x,"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Malik Willis</v>
      </c>
    </row>
    <row r="87" spans="1:6" x14ac:dyDescent="0.25">
      <c r="A87">
        <v>27</v>
      </c>
      <c r="B87" t="s">
        <v>914</v>
      </c>
      <c r="C87" t="s">
        <v>542</v>
      </c>
      <c r="D87">
        <v>29.5</v>
      </c>
      <c r="E87">
        <v>2022</v>
      </c>
      <c r="F87" t="str" cm="1">
        <f t="array" ref="F87">_xlfn.LET(_xlpm.x,TRIM(B87),_xlpm.base,IFERROR(_xlfn.TEXTBEFORE(_xlpm.x,"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Jelani Woods</v>
      </c>
    </row>
    <row r="88" spans="1:6" x14ac:dyDescent="0.25">
      <c r="A88">
        <v>28</v>
      </c>
      <c r="B88" t="s">
        <v>135</v>
      </c>
      <c r="C88" t="s">
        <v>555</v>
      </c>
      <c r="D88">
        <v>29.5</v>
      </c>
      <c r="E88">
        <v>2022</v>
      </c>
      <c r="F88" t="str" cm="1">
        <f t="array" ref="F88">_xlfn.LET(_xlpm.x,TRIM(B88),_xlpm.base,IFERROR(_xlfn.TEXTBEFORE(_xlpm.x,"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Khalil Shakir</v>
      </c>
    </row>
    <row r="89" spans="1:6" x14ac:dyDescent="0.25">
      <c r="A89">
        <v>29</v>
      </c>
      <c r="B89" t="s">
        <v>180</v>
      </c>
      <c r="C89" t="s">
        <v>556</v>
      </c>
      <c r="D89">
        <v>32</v>
      </c>
      <c r="E89">
        <v>2022</v>
      </c>
      <c r="F89" t="str" cm="1">
        <f t="array" ref="F89">_xlfn.LET(_xlpm.x,TRIM(B89),_xlpm.base,IFERROR(_xlfn.TEXTBEFORE(_xlpm.x,"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Tyquan Thornton</v>
      </c>
    </row>
    <row r="90" spans="1:6" x14ac:dyDescent="0.25">
      <c r="A90">
        <v>30</v>
      </c>
      <c r="B90" t="s">
        <v>111</v>
      </c>
      <c r="C90" t="s">
        <v>557</v>
      </c>
      <c r="D90">
        <v>6</v>
      </c>
      <c r="E90">
        <v>2022</v>
      </c>
      <c r="F90" t="str" cm="1">
        <f t="array" ref="F90">_xlfn.LET(_xlpm.x,TRIM(B90),_xlpm.base,IFERROR(_xlfn.TEXTBEFORE(_xlpm.x,"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Jameson Williams</v>
      </c>
    </row>
    <row r="91" spans="1:6" x14ac:dyDescent="0.25">
      <c r="A91">
        <v>31</v>
      </c>
      <c r="B91" t="s">
        <v>1082</v>
      </c>
      <c r="C91" t="s">
        <v>558</v>
      </c>
      <c r="D91">
        <v>32.5</v>
      </c>
      <c r="E91">
        <v>2022</v>
      </c>
      <c r="F91" t="str" cm="1">
        <f t="array" ref="F91">_xlfn.LET(_xlpm.x,TRIM(B91),_xlpm.base,IFERROR(_xlfn.TEXTBEFORE(_xlpm.x,"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Velus Jones Jr.</v>
      </c>
    </row>
    <row r="92" spans="1:6" x14ac:dyDescent="0.25">
      <c r="A92">
        <v>32</v>
      </c>
      <c r="B92" t="s">
        <v>326</v>
      </c>
      <c r="C92" t="s">
        <v>563</v>
      </c>
      <c r="D92">
        <v>32.5</v>
      </c>
      <c r="E92">
        <v>2022</v>
      </c>
      <c r="F92" t="str" cm="1">
        <f t="array" ref="F92">_xlfn.LET(_xlpm.x,TRIM(B92),_xlpm.base,IFERROR(_xlfn.TEXTBEFORE(_xlpm.x,"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Hassan Haskins</v>
      </c>
    </row>
    <row r="93" spans="1:6" x14ac:dyDescent="0.25">
      <c r="A93">
        <v>33</v>
      </c>
      <c r="B93" t="s">
        <v>96</v>
      </c>
      <c r="C93" t="s">
        <v>546</v>
      </c>
      <c r="D93">
        <v>34</v>
      </c>
      <c r="E93">
        <v>2022</v>
      </c>
      <c r="F93" t="str" cm="1">
        <f t="array" ref="F93">_xlfn.LET(_xlpm.x,TRIM(B93),_xlpm.base,IFERROR(_xlfn.TEXTBEFORE(_xlpm.x,"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Greg Dulcich</v>
      </c>
    </row>
    <row r="94" spans="1:6" x14ac:dyDescent="0.25">
      <c r="A94">
        <v>34</v>
      </c>
      <c r="B94" t="s">
        <v>508</v>
      </c>
      <c r="C94" t="s">
        <v>534</v>
      </c>
      <c r="D94">
        <v>34.5</v>
      </c>
      <c r="E94">
        <v>2022</v>
      </c>
      <c r="F94" t="str" cm="1">
        <f t="array" ref="F94">_xlfn.LET(_xlpm.x,TRIM(B94),_xlpm.base,IFERROR(_xlfn.TEXTBEFORE(_xlpm.x,"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Desmond Ridder</v>
      </c>
    </row>
    <row r="95" spans="1:6" x14ac:dyDescent="0.25">
      <c r="A95">
        <v>35</v>
      </c>
      <c r="B95" t="s">
        <v>187</v>
      </c>
      <c r="C95" t="s">
        <v>560</v>
      </c>
      <c r="D95">
        <v>14</v>
      </c>
      <c r="E95">
        <v>2022</v>
      </c>
      <c r="F95" t="str" cm="1">
        <f t="array" ref="F95">_xlfn.LET(_xlpm.x,TRIM(B95),_xlpm.base,IFERROR(_xlfn.TEXTBEFORE(_xlpm.x,"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John Metchie III</v>
      </c>
    </row>
    <row r="96" spans="1:6" x14ac:dyDescent="0.25">
      <c r="A96">
        <v>36</v>
      </c>
      <c r="B96" t="s">
        <v>403</v>
      </c>
      <c r="C96" t="s">
        <v>565</v>
      </c>
      <c r="D96">
        <v>36.5</v>
      </c>
      <c r="E96">
        <v>2022</v>
      </c>
      <c r="F96" t="str" cm="1">
        <f t="array" ref="F96">_xlfn.LET(_xlpm.x,TRIM(B96),_xlpm.base,IFERROR(_xlfn.TEXTBEFORE(_xlpm.x,"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Pierre Strong Jr.</v>
      </c>
    </row>
    <row r="97" spans="1:6" x14ac:dyDescent="0.25">
      <c r="A97">
        <v>37</v>
      </c>
      <c r="B97" t="s">
        <v>459</v>
      </c>
      <c r="C97" t="s">
        <v>551</v>
      </c>
      <c r="D97">
        <v>38</v>
      </c>
      <c r="E97">
        <v>2022</v>
      </c>
      <c r="F97" t="str" cm="1">
        <f t="array" ref="F97">_xlfn.LET(_xlpm.x,TRIM(B97),_xlpm.base,IFERROR(_xlfn.TEXTBEFORE(_xlpm.x,"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Daniel Bellinger</v>
      </c>
    </row>
    <row r="98" spans="1:6" x14ac:dyDescent="0.25">
      <c r="A98">
        <v>38</v>
      </c>
      <c r="B98" t="s">
        <v>788</v>
      </c>
      <c r="C98" t="s">
        <v>568</v>
      </c>
      <c r="D98">
        <v>38.5</v>
      </c>
      <c r="E98">
        <v>2022</v>
      </c>
      <c r="F98" t="str" cm="1">
        <f t="array" ref="F98">_xlfn.LET(_xlpm.x,TRIM(B98),_xlpm.base,IFERROR(_xlfn.TEXTBEFORE(_xlpm.x,"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Keaontay Ingram</v>
      </c>
    </row>
    <row r="99" spans="1:6" x14ac:dyDescent="0.25">
      <c r="A99">
        <v>39</v>
      </c>
      <c r="B99" t="s">
        <v>292</v>
      </c>
      <c r="C99" t="s">
        <v>569</v>
      </c>
      <c r="D99">
        <v>40.5</v>
      </c>
      <c r="E99">
        <v>2022</v>
      </c>
      <c r="F99" t="str" cm="1">
        <f t="array" ref="F99">_xlfn.LET(_xlpm.x,TRIM(B99),_xlpm.base,IFERROR(_xlfn.TEXTBEFORE(_xlpm.x,"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Jerome Ford</v>
      </c>
    </row>
    <row r="100" spans="1:6" x14ac:dyDescent="0.25">
      <c r="A100">
        <v>40</v>
      </c>
      <c r="B100" t="s">
        <v>1320</v>
      </c>
      <c r="C100" t="s">
        <v>562</v>
      </c>
      <c r="D100">
        <v>40.5</v>
      </c>
      <c r="E100">
        <v>2022</v>
      </c>
      <c r="F100" t="str" cm="1">
        <f t="array" ref="F100">_xlfn.LET(_xlpm.x,TRIM(B100),_xlpm.base,IFERROR(_xlfn.TEXTBEFORE(_xlpm.x,"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Danny Gray</v>
      </c>
    </row>
    <row r="101" spans="1:6" x14ac:dyDescent="0.25">
      <c r="A101">
        <v>41</v>
      </c>
      <c r="B101" t="s">
        <v>229</v>
      </c>
      <c r="C101" t="s">
        <v>571</v>
      </c>
      <c r="D101">
        <v>40.5</v>
      </c>
      <c r="E101">
        <v>2022</v>
      </c>
      <c r="F101" t="str" cm="1">
        <f t="array" ref="F101">_xlfn.LET(_xlpm.x,TRIM(B101),_xlpm.base,IFERROR(_xlfn.TEXTBEFORE(_xlpm.x,"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Kyren Williams</v>
      </c>
    </row>
    <row r="102" spans="1:6" x14ac:dyDescent="0.25">
      <c r="A102">
        <v>42</v>
      </c>
      <c r="B102" t="s">
        <v>297</v>
      </c>
      <c r="C102" t="s">
        <v>575</v>
      </c>
      <c r="D102">
        <v>41</v>
      </c>
      <c r="E102">
        <v>2022</v>
      </c>
      <c r="F102" t="str" cm="1">
        <f t="array" ref="F102">_xlfn.LET(_xlpm.x,TRIM(B102),_xlpm.base,IFERROR(_xlfn.TEXTBEFORE(_xlpm.x,"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Tyler Badie</v>
      </c>
    </row>
    <row r="103" spans="1:6" x14ac:dyDescent="0.25">
      <c r="A103">
        <v>43</v>
      </c>
      <c r="B103" t="s">
        <v>276</v>
      </c>
      <c r="C103" t="s">
        <v>576</v>
      </c>
      <c r="D103">
        <v>24</v>
      </c>
      <c r="E103">
        <v>2022</v>
      </c>
      <c r="F103" t="str" cm="1">
        <f t="array" ref="F103">_xlfn.LET(_xlpm.x,TRIM(B103),_xlpm.base,IFERROR(_xlfn.TEXTBEFORE(_xlpm.x,"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Isiah Pacheco</v>
      </c>
    </row>
    <row r="104" spans="1:6" x14ac:dyDescent="0.25">
      <c r="A104">
        <v>44</v>
      </c>
      <c r="B104" t="s">
        <v>173</v>
      </c>
      <c r="C104" t="s">
        <v>566</v>
      </c>
      <c r="D104">
        <v>43</v>
      </c>
      <c r="E104">
        <v>2022</v>
      </c>
      <c r="F104" t="str" cm="1">
        <f t="array" ref="F104">_xlfn.LET(_xlpm.x,TRIM(B104),_xlpm.base,IFERROR(_xlfn.TEXTBEFORE(_xlpm.x,"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Calvin Austin III</v>
      </c>
    </row>
    <row r="105" spans="1:6" x14ac:dyDescent="0.25">
      <c r="A105">
        <v>45</v>
      </c>
      <c r="B105" t="s">
        <v>98</v>
      </c>
      <c r="C105" t="s">
        <v>564</v>
      </c>
      <c r="D105">
        <v>44.5</v>
      </c>
      <c r="E105">
        <v>2022</v>
      </c>
      <c r="F105" t="str" cm="1">
        <f t="array" ref="F105">_xlfn.LET(_xlpm.x,TRIM(B105),_xlpm.base,IFERROR(_xlfn.TEXTBEFORE(_xlpm.x,"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Isaiah Likely</v>
      </c>
    </row>
    <row r="106" spans="1:6" x14ac:dyDescent="0.25">
      <c r="A106">
        <v>46</v>
      </c>
      <c r="B106" t="s">
        <v>506</v>
      </c>
      <c r="C106" t="s">
        <v>537</v>
      </c>
      <c r="D106">
        <v>46</v>
      </c>
      <c r="E106">
        <v>2022</v>
      </c>
      <c r="F106" t="str" cm="1">
        <f t="array" ref="F106">_xlfn.LET(_xlpm.x,TRIM(B106),_xlpm.base,IFERROR(_xlfn.TEXTBEFORE(_xlpm.x,"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Sam Howell</v>
      </c>
    </row>
    <row r="107" spans="1:6" x14ac:dyDescent="0.25">
      <c r="A107">
        <v>47</v>
      </c>
      <c r="B107" t="s">
        <v>489</v>
      </c>
      <c r="C107" t="s">
        <v>579</v>
      </c>
      <c r="D107">
        <v>47</v>
      </c>
      <c r="E107">
        <v>2022</v>
      </c>
      <c r="F107" t="str" cm="1">
        <f t="array" ref="F107">_xlfn.LET(_xlpm.x,TRIM(B107),_xlpm.base,IFERROR(_xlfn.TEXTBEFORE(_xlpm.x,"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Ty Chandler</v>
      </c>
    </row>
    <row r="108" spans="1:6" x14ac:dyDescent="0.25">
      <c r="A108">
        <v>48</v>
      </c>
      <c r="B108" t="s">
        <v>64</v>
      </c>
      <c r="C108" t="s">
        <v>577</v>
      </c>
      <c r="D108">
        <v>47.5</v>
      </c>
      <c r="E108">
        <v>2022</v>
      </c>
      <c r="F108" t="str" cm="1">
        <f t="array" ref="F108">_xlfn.LET(_xlpm.x,TRIM(B108),_xlpm.base,IFERROR(_xlfn.TEXTBEFORE(_xlpm.x,"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Cade Otton</v>
      </c>
    </row>
    <row r="109" spans="1:6" x14ac:dyDescent="0.25">
      <c r="A109">
        <v>49</v>
      </c>
      <c r="B109" t="s">
        <v>1285</v>
      </c>
      <c r="C109" t="s">
        <v>582</v>
      </c>
      <c r="D109">
        <v>49.5</v>
      </c>
      <c r="E109">
        <v>2022</v>
      </c>
      <c r="F109" t="str" cm="1">
        <f t="array" ref="F109">_xlfn.LET(_xlpm.x,TRIM(B109),_xlpm.base,IFERROR(_xlfn.TEXTBEFORE(_xlpm.x,"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Snoop Conner</v>
      </c>
    </row>
    <row r="110" spans="1:6" x14ac:dyDescent="0.25">
      <c r="A110">
        <v>50</v>
      </c>
      <c r="B110" t="s">
        <v>764</v>
      </c>
      <c r="C110" t="s">
        <v>567</v>
      </c>
      <c r="D110">
        <v>41</v>
      </c>
      <c r="E110">
        <v>2022</v>
      </c>
      <c r="F110" t="str" cm="1">
        <f t="array" ref="F110">_xlfn.LET(_xlpm.x,TRIM(B110),_xlpm.base,IFERROR(_xlfn.TEXTBEFORE(_xlpm.x,"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Justyn Ross</v>
      </c>
    </row>
    <row r="111" spans="1:6" x14ac:dyDescent="0.25">
      <c r="A111">
        <v>51</v>
      </c>
      <c r="B111" t="s">
        <v>1286</v>
      </c>
      <c r="C111" t="s">
        <v>570</v>
      </c>
      <c r="D111">
        <v>42</v>
      </c>
      <c r="E111">
        <v>2022</v>
      </c>
      <c r="F111" t="str" cm="1">
        <f t="array" ref="F111">_xlfn.LET(_xlpm.x,TRIM(B111),_xlpm.base,IFERROR(_xlfn.TEXTBEFORE(_xlpm.x,"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Kyle Philips</v>
      </c>
    </row>
    <row r="112" spans="1:6" x14ac:dyDescent="0.25">
      <c r="A112">
        <v>52</v>
      </c>
      <c r="B112" t="s">
        <v>237</v>
      </c>
      <c r="C112" t="s">
        <v>586</v>
      </c>
      <c r="D112">
        <v>44</v>
      </c>
      <c r="E112">
        <v>2022</v>
      </c>
      <c r="F112" t="str" cm="1">
        <f t="array" ref="F112">_xlfn.LET(_xlpm.x,TRIM(B112),_xlpm.base,IFERROR(_xlfn.TEXTBEFORE(_xlpm.x,"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Jaylen Warren</v>
      </c>
    </row>
    <row r="113" spans="1:6" x14ac:dyDescent="0.25">
      <c r="A113">
        <v>53</v>
      </c>
      <c r="B113" t="s">
        <v>1275</v>
      </c>
      <c r="C113" t="s">
        <v>584</v>
      </c>
      <c r="D113">
        <v>51.5</v>
      </c>
      <c r="E113">
        <v>2022</v>
      </c>
      <c r="F113" t="str" cm="1">
        <f t="array" ref="F113">_xlfn.LET(_xlpm.x,TRIM(B113),_xlpm.base,IFERROR(_xlfn.TEXTBEFORE(_xlpm.x,"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Jeremy Ruckert</v>
      </c>
    </row>
    <row r="114" spans="1:6" x14ac:dyDescent="0.25">
      <c r="A114">
        <v>54</v>
      </c>
      <c r="B114" t="s">
        <v>1321</v>
      </c>
      <c r="C114" t="s">
        <v>573</v>
      </c>
      <c r="D114">
        <v>52.5</v>
      </c>
      <c r="E114">
        <v>2022</v>
      </c>
      <c r="F114" t="str" cm="1">
        <f t="array" ref="F114">_xlfn.LET(_xlpm.x,TRIM(B114),_xlpm.base,IFERROR(_xlfn.TEXTBEFORE(_xlpm.x,"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Erik Ezukanma</v>
      </c>
    </row>
    <row r="115" spans="1:6" x14ac:dyDescent="0.25">
      <c r="A115">
        <v>55</v>
      </c>
      <c r="B115" t="s">
        <v>176</v>
      </c>
      <c r="C115" t="s">
        <v>574</v>
      </c>
      <c r="D115">
        <v>50</v>
      </c>
      <c r="E115">
        <v>2022</v>
      </c>
      <c r="F115" t="str" cm="1">
        <f t="array" ref="F115">_xlfn.LET(_xlpm.x,TRIM(B115),_xlpm.base,IFERROR(_xlfn.TEXTBEFORE(_xlpm.x,"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KaVontae Turpin</v>
      </c>
    </row>
    <row r="116" spans="1:6" x14ac:dyDescent="0.25">
      <c r="A116">
        <v>56</v>
      </c>
      <c r="B116" t="s">
        <v>1287</v>
      </c>
      <c r="C116" t="s">
        <v>587</v>
      </c>
      <c r="D116">
        <v>55</v>
      </c>
      <c r="E116">
        <v>2022</v>
      </c>
      <c r="F116" t="str" cm="1">
        <f t="array" ref="F116">_xlfn.LET(_xlpm.x,TRIM(B116),_xlpm.base,IFERROR(_xlfn.TEXTBEFORE(_xlpm.x,"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Trestan Ebner</v>
      </c>
    </row>
    <row r="117" spans="1:6" x14ac:dyDescent="0.25">
      <c r="A117">
        <v>57</v>
      </c>
      <c r="B117" t="s">
        <v>1322</v>
      </c>
      <c r="C117" t="s">
        <v>578</v>
      </c>
      <c r="D117">
        <v>52</v>
      </c>
      <c r="E117">
        <v>2022</v>
      </c>
      <c r="F117" t="str" cm="1">
        <f t="array" ref="F117">_xlfn.LET(_xlpm.x,TRIM(B117),_xlpm.base,IFERROR(_xlfn.TEXTBEFORE(_xlpm.x,"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Lance McCutcheon</v>
      </c>
    </row>
    <row r="118" spans="1:6" x14ac:dyDescent="0.25">
      <c r="A118">
        <v>58</v>
      </c>
      <c r="B118" t="s">
        <v>1323</v>
      </c>
      <c r="C118" t="s">
        <v>1288</v>
      </c>
      <c r="D118">
        <v>53</v>
      </c>
      <c r="E118">
        <v>2022</v>
      </c>
      <c r="F118" t="str" cm="1">
        <f t="array" ref="F118">_xlfn.LET(_xlpm.x,TRIM(B118),_xlpm.base,IFERROR(_xlfn.TEXTBEFORE(_xlpm.x,"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Cade York</v>
      </c>
    </row>
    <row r="119" spans="1:6" x14ac:dyDescent="0.25">
      <c r="A119">
        <v>59</v>
      </c>
      <c r="B119" t="s">
        <v>29</v>
      </c>
      <c r="C119" t="s">
        <v>588</v>
      </c>
      <c r="D119">
        <v>56</v>
      </c>
      <c r="E119">
        <v>2022</v>
      </c>
      <c r="F119" t="str" cm="1">
        <f t="array" ref="F119">_xlfn.LET(_xlpm.x,TRIM(B119),_xlpm.base,IFERROR(_xlfn.TEXTBEFORE(_xlpm.x,"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Jake Ferguson</v>
      </c>
    </row>
    <row r="120" spans="1:6" x14ac:dyDescent="0.25">
      <c r="A120">
        <v>60</v>
      </c>
      <c r="B120" t="s">
        <v>62</v>
      </c>
      <c r="C120" t="s">
        <v>589</v>
      </c>
      <c r="D120">
        <v>56</v>
      </c>
      <c r="E120">
        <v>2022</v>
      </c>
      <c r="F120" t="str" cm="1">
        <f t="array" ref="F120">_xlfn.LET(_xlpm.x,TRIM(B120),_xlpm.base,IFERROR(_xlfn.TEXTBEFORE(_xlpm.x,"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Chig Okonkwo</v>
      </c>
    </row>
    <row r="121" spans="1:6" x14ac:dyDescent="0.25">
      <c r="A121">
        <v>61</v>
      </c>
      <c r="B121" t="s">
        <v>485</v>
      </c>
      <c r="C121" t="s">
        <v>580</v>
      </c>
      <c r="D121">
        <v>56</v>
      </c>
      <c r="E121">
        <v>2022</v>
      </c>
      <c r="F121" t="str" cm="1">
        <f t="array" ref="F121">_xlfn.LET(_xlpm.x,TRIM(B121),_xlpm.base,IFERROR(_xlfn.TEXTBEFORE(_xlpm.x,"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Bo Melton</v>
      </c>
    </row>
    <row r="122" spans="1:6" x14ac:dyDescent="0.25">
      <c r="A122">
        <v>62</v>
      </c>
      <c r="B122" t="s">
        <v>505</v>
      </c>
      <c r="C122" t="s">
        <v>591</v>
      </c>
      <c r="D122">
        <v>58</v>
      </c>
      <c r="E122">
        <v>2022</v>
      </c>
      <c r="F122" t="str" cm="1">
        <f t="array" ref="F122">_xlfn.LET(_xlpm.x,TRIM(B122),_xlpm.base,IFERROR(_xlfn.TEXTBEFORE(_xlpm.x,"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Kevin Harris</v>
      </c>
    </row>
    <row r="123" spans="1:6" x14ac:dyDescent="0.25">
      <c r="A123">
        <v>63</v>
      </c>
      <c r="B123" t="s">
        <v>398</v>
      </c>
      <c r="C123" t="s">
        <v>593</v>
      </c>
      <c r="D123">
        <v>59</v>
      </c>
      <c r="E123">
        <v>2022</v>
      </c>
      <c r="F123" t="str" cm="1">
        <f t="array" ref="F123">_xlfn.LET(_xlpm.x,TRIM(B123),_xlpm.base,IFERROR(_xlfn.TEXTBEFORE(_xlpm.x,"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Tyler Goodson</v>
      </c>
    </row>
    <row r="124" spans="1:6" x14ac:dyDescent="0.25">
      <c r="A124">
        <v>64</v>
      </c>
      <c r="B124" t="s">
        <v>1289</v>
      </c>
      <c r="C124" t="s">
        <v>606</v>
      </c>
      <c r="D124">
        <v>59</v>
      </c>
      <c r="E124">
        <v>2022</v>
      </c>
      <c r="F124" t="str" cm="1">
        <f t="array" ref="F124">_xlfn.LET(_xlpm.x,TRIM(B124),_xlpm.base,IFERROR(_xlfn.TEXTBEFORE(_xlpm.x,"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Jalen Wydermyer</v>
      </c>
    </row>
    <row r="125" spans="1:6" x14ac:dyDescent="0.25">
      <c r="A125">
        <v>65</v>
      </c>
      <c r="B125" t="s">
        <v>1264</v>
      </c>
      <c r="C125" t="s">
        <v>612</v>
      </c>
      <c r="D125">
        <v>60</v>
      </c>
      <c r="E125">
        <v>2022</v>
      </c>
      <c r="F125" t="str" cm="1">
        <f t="array" ref="F125">_xlfn.LET(_xlpm.x,TRIM(B125),_xlpm.base,IFERROR(_xlfn.TEXTBEFORE(_xlpm.x,"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Charlie Ko</v>
      </c>
    </row>
    <row r="126" spans="1:6" x14ac:dyDescent="0.25">
      <c r="A126">
        <v>1</v>
      </c>
      <c r="B126" t="s">
        <v>148</v>
      </c>
      <c r="C126" t="s">
        <v>525</v>
      </c>
      <c r="D126">
        <v>1</v>
      </c>
      <c r="E126">
        <v>2024</v>
      </c>
      <c r="F126" t="str" cm="1">
        <f t="array" ref="F126">_xlfn.LET(_xlpm.x,TRIM(B126),_xlpm.base,IFERROR(_xlfn.TEXTBEFORE(_xlpm.x,"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Marvin Harrison Jr.</v>
      </c>
    </row>
    <row r="127" spans="1:6" x14ac:dyDescent="0.25">
      <c r="A127">
        <v>2</v>
      </c>
      <c r="B127" t="s">
        <v>201</v>
      </c>
      <c r="C127" t="s">
        <v>527</v>
      </c>
      <c r="D127">
        <v>2</v>
      </c>
      <c r="E127">
        <v>2024</v>
      </c>
      <c r="F127" t="str" cm="1">
        <f t="array" ref="F127">_xlfn.LET(_xlpm.x,TRIM(B127),_xlpm.base,IFERROR(_xlfn.TEXTBEFORE(_xlpm.x,"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Malik Nabers</v>
      </c>
    </row>
    <row r="128" spans="1:6" x14ac:dyDescent="0.25">
      <c r="A128">
        <v>3</v>
      </c>
      <c r="B128" t="s">
        <v>140</v>
      </c>
      <c r="C128" t="s">
        <v>528</v>
      </c>
      <c r="D128">
        <v>3.5</v>
      </c>
      <c r="E128">
        <v>2024</v>
      </c>
      <c r="F128" t="str" cm="1">
        <f t="array" ref="F128">_xlfn.LET(_xlpm.x,TRIM(B128),_xlpm.base,IFERROR(_xlfn.TEXTBEFORE(_xlpm.x,"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Rome Odunze</v>
      </c>
    </row>
    <row r="129" spans="1:6" x14ac:dyDescent="0.25">
      <c r="A129">
        <v>4</v>
      </c>
      <c r="B129" t="s">
        <v>42</v>
      </c>
      <c r="C129" t="s">
        <v>526</v>
      </c>
      <c r="D129">
        <v>5</v>
      </c>
      <c r="E129">
        <v>2024</v>
      </c>
      <c r="F129" t="str" cm="1">
        <f t="array" ref="F129">_xlfn.LET(_xlpm.x,TRIM(B129),_xlpm.base,IFERROR(_xlfn.TEXTBEFORE(_xlpm.x,"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Brock Bowers</v>
      </c>
    </row>
    <row r="130" spans="1:6" x14ac:dyDescent="0.25">
      <c r="A130">
        <v>5</v>
      </c>
      <c r="B130" t="s">
        <v>337</v>
      </c>
      <c r="C130" t="s">
        <v>532</v>
      </c>
      <c r="D130">
        <v>5.5</v>
      </c>
      <c r="E130">
        <v>2024</v>
      </c>
      <c r="F130" t="str" cm="1">
        <f t="array" ref="F130">_xlfn.LET(_xlpm.x,TRIM(B130),_xlpm.base,IFERROR(_xlfn.TEXTBEFORE(_xlpm.x,"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Caleb Williams</v>
      </c>
    </row>
    <row r="131" spans="1:6" x14ac:dyDescent="0.25">
      <c r="A131">
        <v>6</v>
      </c>
      <c r="B131" t="s">
        <v>158</v>
      </c>
      <c r="C131" t="s">
        <v>529</v>
      </c>
      <c r="D131">
        <v>6</v>
      </c>
      <c r="E131">
        <v>2024</v>
      </c>
      <c r="F131" t="str" cm="1">
        <f t="array" ref="F131">_xlfn.LET(_xlpm.x,TRIM(B131),_xlpm.base,IFERROR(_xlfn.TEXTBEFORE(_xlpm.x,"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Xavier Worthy</v>
      </c>
    </row>
    <row r="132" spans="1:6" x14ac:dyDescent="0.25">
      <c r="A132">
        <v>7</v>
      </c>
      <c r="B132" t="s">
        <v>141</v>
      </c>
      <c r="C132" t="s">
        <v>530</v>
      </c>
      <c r="D132">
        <v>7</v>
      </c>
      <c r="E132">
        <v>2024</v>
      </c>
      <c r="F132" t="str" cm="1">
        <f t="array" ref="F132">_xlfn.LET(_xlpm.x,TRIM(B132),_xlpm.base,IFERROR(_xlfn.TEXTBEFORE(_xlpm.x,"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Brian Thomas Jr.</v>
      </c>
    </row>
    <row r="133" spans="1:6" x14ac:dyDescent="0.25">
      <c r="A133">
        <v>8</v>
      </c>
      <c r="B133" t="s">
        <v>365</v>
      </c>
      <c r="C133" t="s">
        <v>533</v>
      </c>
      <c r="D133">
        <v>8.5</v>
      </c>
      <c r="E133">
        <v>2024</v>
      </c>
      <c r="F133" t="str" cm="1">
        <f t="array" ref="F133">_xlfn.LET(_xlpm.x,TRIM(B133),_xlpm.base,IFERROR(_xlfn.TEXTBEFORE(_xlpm.x,"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Jayden Daniels</v>
      </c>
    </row>
    <row r="134" spans="1:6" x14ac:dyDescent="0.25">
      <c r="A134">
        <v>9</v>
      </c>
      <c r="B134" t="s">
        <v>159</v>
      </c>
      <c r="C134" t="s">
        <v>535</v>
      </c>
      <c r="D134">
        <v>9.5</v>
      </c>
      <c r="E134">
        <v>2024</v>
      </c>
      <c r="F134" t="str" cm="1">
        <f t="array" ref="F134">_xlfn.LET(_xlpm.x,TRIM(B134),_xlpm.base,IFERROR(_xlfn.TEXTBEFORE(_xlpm.x,"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Keon Coleman</v>
      </c>
    </row>
    <row r="135" spans="1:6" x14ac:dyDescent="0.25">
      <c r="A135">
        <v>10</v>
      </c>
      <c r="B135" t="s">
        <v>129</v>
      </c>
      <c r="C135" t="s">
        <v>536</v>
      </c>
      <c r="D135">
        <v>10</v>
      </c>
      <c r="E135">
        <v>2024</v>
      </c>
      <c r="F135" t="str" cm="1">
        <f t="array" ref="F135">_xlfn.LET(_xlpm.x,TRIM(B135),_xlpm.base,IFERROR(_xlfn.TEXTBEFORE(_xlpm.x,"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Ladd McConkey</v>
      </c>
    </row>
    <row r="136" spans="1:6" x14ac:dyDescent="0.25">
      <c r="A136">
        <v>11</v>
      </c>
      <c r="B136" t="s">
        <v>298</v>
      </c>
      <c r="C136" t="s">
        <v>524</v>
      </c>
      <c r="D136">
        <v>10.5</v>
      </c>
      <c r="E136">
        <v>2024</v>
      </c>
      <c r="F136" t="str" cm="1">
        <f t="array" ref="F136">_xlfn.LET(_xlpm.x,TRIM(B136),_xlpm.base,IFERROR(_xlfn.TEXTBEFORE(_xlpm.x,"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Trey Benson</v>
      </c>
    </row>
    <row r="137" spans="1:6" x14ac:dyDescent="0.25">
      <c r="A137">
        <v>12</v>
      </c>
      <c r="B137" t="s">
        <v>260</v>
      </c>
      <c r="C137" t="s">
        <v>531</v>
      </c>
      <c r="D137">
        <v>15</v>
      </c>
      <c r="E137">
        <v>2024</v>
      </c>
      <c r="F137" t="str" cm="1">
        <f t="array" ref="F137">_xlfn.LET(_xlpm.x,TRIM(B137),_xlpm.base,IFERROR(_xlfn.TEXTBEFORE(_xlpm.x,"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Blake Corum</v>
      </c>
    </row>
    <row r="138" spans="1:6" x14ac:dyDescent="0.25">
      <c r="A138">
        <v>13</v>
      </c>
      <c r="B138" t="s">
        <v>290</v>
      </c>
      <c r="C138" t="s">
        <v>540</v>
      </c>
      <c r="D138">
        <v>15</v>
      </c>
      <c r="E138">
        <v>2024</v>
      </c>
      <c r="F138" t="str" cm="1">
        <f t="array" ref="F138">_xlfn.LET(_xlpm.x,TRIM(B138),_xlpm.base,IFERROR(_xlfn.TEXTBEFORE(_xlpm.x,"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Jaylen Wright</v>
      </c>
    </row>
    <row r="139" spans="1:6" x14ac:dyDescent="0.25">
      <c r="A139">
        <v>14</v>
      </c>
      <c r="B139" t="s">
        <v>170</v>
      </c>
      <c r="C139" t="s">
        <v>538</v>
      </c>
      <c r="D139">
        <v>15</v>
      </c>
      <c r="E139">
        <v>2024</v>
      </c>
      <c r="F139" t="str" cm="1">
        <f t="array" ref="F139">_xlfn.LET(_xlpm.x,TRIM(B139),_xlpm.base,IFERROR(_xlfn.TEXTBEFORE(_xlpm.x,"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Xavier Legette</v>
      </c>
    </row>
    <row r="140" spans="1:6" x14ac:dyDescent="0.25">
      <c r="A140">
        <v>15</v>
      </c>
      <c r="B140" t="s">
        <v>172</v>
      </c>
      <c r="C140" t="s">
        <v>539</v>
      </c>
      <c r="D140">
        <v>16</v>
      </c>
      <c r="E140">
        <v>2024</v>
      </c>
      <c r="F140" t="str" cm="1">
        <f t="array" ref="F140">_xlfn.LET(_xlpm.x,TRIM(B140),_xlpm.base,IFERROR(_xlfn.TEXTBEFORE(_xlpm.x,"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Adonai Mitchell</v>
      </c>
    </row>
    <row r="141" spans="1:6" x14ac:dyDescent="0.25">
      <c r="A141">
        <v>16</v>
      </c>
      <c r="B141" t="s">
        <v>333</v>
      </c>
      <c r="C141" t="s">
        <v>534</v>
      </c>
      <c r="D141">
        <v>18</v>
      </c>
      <c r="E141">
        <v>2024</v>
      </c>
      <c r="F141" t="str" cm="1">
        <f t="array" ref="F141">_xlfn.LET(_xlpm.x,TRIM(B141),_xlpm.base,IFERROR(_xlfn.TEXTBEFORE(_xlpm.x,"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Drake Maye</v>
      </c>
    </row>
    <row r="142" spans="1:6" x14ac:dyDescent="0.25">
      <c r="A142">
        <v>17</v>
      </c>
      <c r="B142" t="s">
        <v>1071</v>
      </c>
      <c r="C142" t="s">
        <v>544</v>
      </c>
      <c r="D142">
        <v>19</v>
      </c>
      <c r="E142">
        <v>2024</v>
      </c>
      <c r="F142" t="str" cm="1">
        <f t="array" ref="F142">_xlfn.LET(_xlpm.x,TRIM(B142),_xlpm.base,IFERROR(_xlfn.TEXTBEFORE(_xlpm.x,"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MarShawn Lloyd</v>
      </c>
    </row>
    <row r="143" spans="1:6" x14ac:dyDescent="0.25">
      <c r="A143">
        <v>18</v>
      </c>
      <c r="B143" t="s">
        <v>932</v>
      </c>
      <c r="C143" t="s">
        <v>541</v>
      </c>
      <c r="D143">
        <v>19</v>
      </c>
      <c r="E143">
        <v>2024</v>
      </c>
      <c r="F143" t="str" cm="1">
        <f t="array" ref="F143">_xlfn.LET(_xlpm.x,TRIM(B143),_xlpm.base,IFERROR(_xlfn.TEXTBEFORE(_xlpm.x,"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Ja'Lynn Polk</v>
      </c>
    </row>
    <row r="144" spans="1:6" x14ac:dyDescent="0.25">
      <c r="A144">
        <v>19</v>
      </c>
      <c r="B144" t="s">
        <v>338</v>
      </c>
      <c r="C144" t="s">
        <v>537</v>
      </c>
      <c r="D144">
        <v>20.5</v>
      </c>
      <c r="E144">
        <v>2024</v>
      </c>
      <c r="F144" t="str" cm="1">
        <f t="array" ref="F144">_xlfn.LET(_xlpm.x,TRIM(B144),_xlpm.base,IFERROR(_xlfn.TEXTBEFORE(_xlpm.x,"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Bo Nix</v>
      </c>
    </row>
    <row r="145" spans="1:6" x14ac:dyDescent="0.25">
      <c r="A145">
        <v>20</v>
      </c>
      <c r="B145" t="s">
        <v>934</v>
      </c>
      <c r="C145" t="s">
        <v>543</v>
      </c>
      <c r="D145">
        <v>23</v>
      </c>
      <c r="E145">
        <v>2024</v>
      </c>
      <c r="F145" t="str" cm="1">
        <f t="array" ref="F145">_xlfn.LET(_xlpm.x,TRIM(B145),_xlpm.base,IFERROR(_xlfn.TEXTBEFORE(_xlpm.x,"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Roman Wilson</v>
      </c>
    </row>
    <row r="146" spans="1:6" x14ac:dyDescent="0.25">
      <c r="A146">
        <v>21</v>
      </c>
      <c r="B146" t="s">
        <v>933</v>
      </c>
      <c r="C146" t="s">
        <v>548</v>
      </c>
      <c r="D146">
        <v>23</v>
      </c>
      <c r="E146">
        <v>2024</v>
      </c>
      <c r="F146" t="str" cm="1">
        <f t="array" ref="F146">_xlfn.LET(_xlpm.x,TRIM(B146),_xlpm.base,IFERROR(_xlfn.TEXTBEFORE(_xlpm.x,"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Jermaine Burton</v>
      </c>
    </row>
    <row r="147" spans="1:6" x14ac:dyDescent="0.25">
      <c r="A147">
        <v>22</v>
      </c>
      <c r="B147" t="s">
        <v>281</v>
      </c>
      <c r="C147" t="s">
        <v>545</v>
      </c>
      <c r="D147">
        <v>23.5</v>
      </c>
      <c r="E147">
        <v>2024</v>
      </c>
      <c r="F147" t="str" cm="1">
        <f t="array" ref="F147">_xlfn.LET(_xlpm.x,TRIM(B147),_xlpm.base,IFERROR(_xlfn.TEXTBEFORE(_xlpm.x,"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Ray Davis</v>
      </c>
    </row>
    <row r="148" spans="1:6" x14ac:dyDescent="0.25">
      <c r="A148">
        <v>23</v>
      </c>
      <c r="B148" t="s">
        <v>1072</v>
      </c>
      <c r="C148" t="s">
        <v>542</v>
      </c>
      <c r="D148">
        <v>24</v>
      </c>
      <c r="E148">
        <v>2024</v>
      </c>
      <c r="F148" t="str" cm="1">
        <f t="array" ref="F148">_xlfn.LET(_xlpm.x,TRIM(B148),_xlpm.base,IFERROR(_xlfn.TEXTBEFORE(_xlpm.x,"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Ben Sinnott</v>
      </c>
    </row>
    <row r="149" spans="1:6" x14ac:dyDescent="0.25">
      <c r="A149">
        <v>24</v>
      </c>
      <c r="B149" t="s">
        <v>130</v>
      </c>
      <c r="C149" t="s">
        <v>549</v>
      </c>
      <c r="D149">
        <v>26.5</v>
      </c>
      <c r="E149">
        <v>2024</v>
      </c>
      <c r="F149" t="str" cm="1">
        <f t="array" ref="F149">_xlfn.LET(_xlpm.x,TRIM(B149),_xlpm.base,IFERROR(_xlfn.TEXTBEFORE(_xlpm.x,"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Troy Franklin</v>
      </c>
    </row>
    <row r="150" spans="1:6" x14ac:dyDescent="0.25">
      <c r="A150">
        <v>25</v>
      </c>
      <c r="B150" t="s">
        <v>364</v>
      </c>
      <c r="C150" t="s">
        <v>559</v>
      </c>
      <c r="D150">
        <v>27</v>
      </c>
      <c r="E150">
        <v>2024</v>
      </c>
      <c r="F150" t="str" cm="1">
        <f t="array" ref="F150">_xlfn.LET(_xlpm.x,TRIM(B150),_xlpm.base,IFERROR(_xlfn.TEXTBEFORE(_xlpm.x,"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Michael Penix Jr.</v>
      </c>
    </row>
    <row r="151" spans="1:6" x14ac:dyDescent="0.25">
      <c r="A151">
        <v>26</v>
      </c>
      <c r="B151" t="s">
        <v>413</v>
      </c>
      <c r="C151" t="s">
        <v>555</v>
      </c>
      <c r="D151">
        <v>28.5</v>
      </c>
      <c r="E151">
        <v>2024</v>
      </c>
      <c r="F151" t="str" cm="1">
        <f t="array" ref="F151">_xlfn.LET(_xlpm.x,TRIM(B151),_xlpm.base,IFERROR(_xlfn.TEXTBEFORE(_xlpm.x,"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Jalen McMillan</v>
      </c>
    </row>
    <row r="152" spans="1:6" x14ac:dyDescent="0.25">
      <c r="A152">
        <v>27</v>
      </c>
      <c r="B152" t="s">
        <v>254</v>
      </c>
      <c r="C152" t="s">
        <v>547</v>
      </c>
      <c r="D152">
        <v>29</v>
      </c>
      <c r="E152">
        <v>2024</v>
      </c>
      <c r="F152" t="str" cm="1">
        <f t="array" ref="F152">_xlfn.LET(_xlpm.x,TRIM(B152),_xlpm.base,IFERROR(_xlfn.TEXTBEFORE(_xlpm.x,"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Bucky Irving</v>
      </c>
    </row>
    <row r="153" spans="1:6" x14ac:dyDescent="0.25">
      <c r="A153">
        <v>28</v>
      </c>
      <c r="B153" t="s">
        <v>1073</v>
      </c>
      <c r="C153" t="s">
        <v>556</v>
      </c>
      <c r="D153">
        <v>29.5</v>
      </c>
      <c r="E153">
        <v>2024</v>
      </c>
      <c r="F153" t="str" cm="1">
        <f t="array" ref="F153">_xlfn.LET(_xlpm.x,TRIM(B153),_xlpm.base,IFERROR(_xlfn.TEXTBEFORE(_xlpm.x,"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Malachi Corley</v>
      </c>
    </row>
    <row r="154" spans="1:6" x14ac:dyDescent="0.25">
      <c r="A154">
        <v>29</v>
      </c>
      <c r="B154" t="s">
        <v>208</v>
      </c>
      <c r="C154" t="s">
        <v>557</v>
      </c>
      <c r="D154">
        <v>29.5</v>
      </c>
      <c r="E154">
        <v>2024</v>
      </c>
      <c r="F154" t="str" cm="1">
        <f t="array" ref="F154">_xlfn.LET(_xlpm.x,TRIM(B154),_xlpm.base,IFERROR(_xlfn.TEXTBEFORE(_xlpm.x,"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Luke McCaffrey</v>
      </c>
    </row>
    <row r="155" spans="1:6" x14ac:dyDescent="0.25">
      <c r="A155">
        <v>30</v>
      </c>
      <c r="B155" t="s">
        <v>262</v>
      </c>
      <c r="C155" t="s">
        <v>550</v>
      </c>
      <c r="D155">
        <v>31</v>
      </c>
      <c r="E155">
        <v>2024</v>
      </c>
      <c r="F155" t="str" cm="1">
        <f t="array" ref="F155">_xlfn.LET(_xlpm.x,TRIM(B155),_xlpm.base,IFERROR(_xlfn.TEXTBEFORE(_xlpm.x,"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Kimani Vi</v>
      </c>
    </row>
    <row r="156" spans="1:6" x14ac:dyDescent="0.25">
      <c r="A156">
        <v>31</v>
      </c>
      <c r="B156" t="s">
        <v>318</v>
      </c>
      <c r="C156" t="s">
        <v>552</v>
      </c>
      <c r="D156">
        <v>32.5</v>
      </c>
      <c r="E156">
        <v>2024</v>
      </c>
      <c r="F156" t="str" cm="1">
        <f t="array" ref="F156">_xlfn.LET(_xlpm.x,TRIM(B156),_xlpm.base,IFERROR(_xlfn.TEXTBEFORE(_xlpm.x,"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Braelon Allen</v>
      </c>
    </row>
    <row r="157" spans="1:6" x14ac:dyDescent="0.25">
      <c r="A157">
        <v>32</v>
      </c>
      <c r="B157" t="s">
        <v>291</v>
      </c>
      <c r="C157" t="s">
        <v>553</v>
      </c>
      <c r="D157">
        <v>32.5</v>
      </c>
      <c r="E157">
        <v>2024</v>
      </c>
      <c r="F157" t="str" cm="1">
        <f t="array" ref="F157">_xlfn.LET(_xlpm.x,TRIM(B157),_xlpm.base,IFERROR(_xlfn.TEXTBEFORE(_xlpm.x,"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Audric Estime</v>
      </c>
    </row>
    <row r="158" spans="1:6" x14ac:dyDescent="0.25">
      <c r="A158">
        <v>33</v>
      </c>
      <c r="B158" t="s">
        <v>935</v>
      </c>
      <c r="C158" t="s">
        <v>558</v>
      </c>
      <c r="D158">
        <v>33</v>
      </c>
      <c r="E158">
        <v>2024</v>
      </c>
      <c r="F158" t="str" cm="1">
        <f t="array" ref="F158">_xlfn.LET(_xlpm.x,TRIM(B158),_xlpm.base,IFERROR(_xlfn.TEXTBEFORE(_xlpm.x,"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Javon Baker</v>
      </c>
    </row>
    <row r="159" spans="1:6" x14ac:dyDescent="0.25">
      <c r="A159">
        <v>34</v>
      </c>
      <c r="B159" t="s">
        <v>248</v>
      </c>
      <c r="C159" t="s">
        <v>554</v>
      </c>
      <c r="D159">
        <v>33.5</v>
      </c>
      <c r="E159">
        <v>2024</v>
      </c>
      <c r="F159" t="str" cm="1">
        <f t="array" ref="F159">_xlfn.LET(_xlpm.x,TRIM(B159),_xlpm.base,IFERROR(_xlfn.TEXTBEFORE(_xlpm.x,"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Tyrone Tracy Jr.</v>
      </c>
    </row>
    <row r="160" spans="1:6" x14ac:dyDescent="0.25">
      <c r="A160">
        <v>35</v>
      </c>
      <c r="B160" t="s">
        <v>1070</v>
      </c>
      <c r="C160" t="s">
        <v>563</v>
      </c>
      <c r="D160">
        <v>7</v>
      </c>
      <c r="E160">
        <v>2024</v>
      </c>
      <c r="F160" t="str" cm="1">
        <f t="array" ref="F160">_xlfn.LET(_xlpm.x,TRIM(B160),_xlpm.base,IFERROR(_xlfn.TEXTBEFORE(_xlpm.x,"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Jonathon Brooks</v>
      </c>
    </row>
    <row r="161" spans="1:6" x14ac:dyDescent="0.25">
      <c r="A161">
        <v>36</v>
      </c>
      <c r="B161" t="s">
        <v>443</v>
      </c>
      <c r="C161" t="s">
        <v>546</v>
      </c>
      <c r="D161">
        <v>35</v>
      </c>
      <c r="E161">
        <v>2024</v>
      </c>
      <c r="F161" t="str" cm="1">
        <f t="array" ref="F161">_xlfn.LET(_xlpm.x,TRIM(B161),_xlpm.base,IFERROR(_xlfn.TEXTBEFORE(_xlpm.x,"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Ja'Tavion Sanders</v>
      </c>
    </row>
    <row r="162" spans="1:6" x14ac:dyDescent="0.25">
      <c r="A162">
        <v>37</v>
      </c>
      <c r="B162" t="s">
        <v>314</v>
      </c>
      <c r="C162" t="s">
        <v>565</v>
      </c>
      <c r="D162">
        <v>37.5</v>
      </c>
      <c r="E162">
        <v>2024</v>
      </c>
      <c r="F162" t="str" cm="1">
        <f t="array" ref="F162">_xlfn.LET(_xlpm.x,TRIM(B162),_xlpm.base,IFERROR(_xlfn.TEXTBEFORE(_xlpm.x,"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Will Shipley</v>
      </c>
    </row>
    <row r="163" spans="1:6" x14ac:dyDescent="0.25">
      <c r="A163">
        <v>38</v>
      </c>
      <c r="B163" t="s">
        <v>171</v>
      </c>
      <c r="C163" t="s">
        <v>560</v>
      </c>
      <c r="D163">
        <v>13</v>
      </c>
      <c r="E163">
        <v>2024</v>
      </c>
      <c r="F163" t="str" cm="1">
        <f t="array" ref="F163">_xlfn.LET(_xlpm.x,TRIM(B163),_xlpm.base,IFERROR(_xlfn.TEXTBEFORE(_xlpm.x,"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Ricky Pearsall</v>
      </c>
    </row>
    <row r="164" spans="1:6" x14ac:dyDescent="0.25">
      <c r="A164">
        <v>39</v>
      </c>
      <c r="B164" t="s">
        <v>153</v>
      </c>
      <c r="C164" t="s">
        <v>562</v>
      </c>
      <c r="D164">
        <v>38.5</v>
      </c>
      <c r="E164">
        <v>2024</v>
      </c>
      <c r="F164" t="str" cm="1">
        <f t="array" ref="F164">_xlfn.LET(_xlpm.x,TRIM(B164),_xlpm.base,IFERROR(_xlfn.TEXTBEFORE(_xlpm.x,"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Malik Washington</v>
      </c>
    </row>
    <row r="165" spans="1:6" x14ac:dyDescent="0.25">
      <c r="A165">
        <v>40</v>
      </c>
      <c r="B165" t="s">
        <v>56</v>
      </c>
      <c r="C165" t="s">
        <v>551</v>
      </c>
      <c r="D165">
        <v>40.5</v>
      </c>
      <c r="E165">
        <v>2024</v>
      </c>
      <c r="F165" t="str" cm="1">
        <f t="array" ref="F165">_xlfn.LET(_xlpm.x,TRIM(B165),_xlpm.base,IFERROR(_xlfn.TEXTBEFORE(_xlpm.x,"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Theo Johnson</v>
      </c>
    </row>
    <row r="166" spans="1:6" x14ac:dyDescent="0.25">
      <c r="A166">
        <v>41</v>
      </c>
      <c r="B166" t="s">
        <v>391</v>
      </c>
      <c r="C166" t="s">
        <v>568</v>
      </c>
      <c r="D166">
        <v>41.5</v>
      </c>
      <c r="E166">
        <v>2024</v>
      </c>
      <c r="F166" t="str" cm="1">
        <f t="array" ref="F166">_xlfn.LET(_xlpm.x,TRIM(B166),_xlpm.base,IFERROR(_xlfn.TEXTBEFORE(_xlpm.x,"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Isaac Guerendo</v>
      </c>
    </row>
    <row r="167" spans="1:6" x14ac:dyDescent="0.25">
      <c r="A167">
        <v>42</v>
      </c>
      <c r="B167" t="s">
        <v>1075</v>
      </c>
      <c r="C167" t="s">
        <v>569</v>
      </c>
      <c r="D167">
        <v>44</v>
      </c>
      <c r="E167">
        <v>2024</v>
      </c>
      <c r="F167" t="str" cm="1">
        <f t="array" ref="F167">_xlfn.LET(_xlpm.x,TRIM(B167),_xlpm.base,IFERROR(_xlfn.TEXTBEFORE(_xlpm.x,"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Dylan Laube</v>
      </c>
    </row>
    <row r="168" spans="1:6" x14ac:dyDescent="0.25">
      <c r="A168">
        <v>43</v>
      </c>
      <c r="B168" t="s">
        <v>367</v>
      </c>
      <c r="C168" t="s">
        <v>561</v>
      </c>
      <c r="D168">
        <v>44.5</v>
      </c>
      <c r="E168">
        <v>2024</v>
      </c>
      <c r="F168" t="str" cm="1">
        <f t="array" ref="F168">_xlfn.LET(_xlpm.x,TRIM(B168),_xlpm.base,IFERROR(_xlfn.TEXTBEFORE(_xlpm.x,"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Spencer Rattler</v>
      </c>
    </row>
    <row r="169" spans="1:6" x14ac:dyDescent="0.25">
      <c r="A169">
        <v>44</v>
      </c>
      <c r="B169" t="s">
        <v>1088</v>
      </c>
      <c r="C169" t="s">
        <v>564</v>
      </c>
      <c r="D169">
        <v>44.5</v>
      </c>
      <c r="E169">
        <v>2024</v>
      </c>
      <c r="F169" t="str" cm="1">
        <f t="array" ref="F169">_xlfn.LET(_xlpm.x,TRIM(B169),_xlpm.base,IFERROR(_xlfn.TEXTBEFORE(_xlpm.x,"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Jared Wiley</v>
      </c>
    </row>
    <row r="170" spans="1:6" x14ac:dyDescent="0.25">
      <c r="A170">
        <v>45</v>
      </c>
      <c r="B170" t="s">
        <v>1076</v>
      </c>
      <c r="C170" t="s">
        <v>566</v>
      </c>
      <c r="D170">
        <v>45</v>
      </c>
      <c r="E170">
        <v>2024</v>
      </c>
      <c r="F170" t="str" cm="1">
        <f t="array" ref="F170">_xlfn.LET(_xlpm.x,TRIM(B170),_xlpm.base,IFERROR(_xlfn.TEXTBEFORE(_xlpm.x,"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Devontez Walker</v>
      </c>
    </row>
    <row r="171" spans="1:6" x14ac:dyDescent="0.25">
      <c r="A171">
        <v>46</v>
      </c>
      <c r="B171" t="s">
        <v>1078</v>
      </c>
      <c r="C171" t="s">
        <v>567</v>
      </c>
      <c r="D171">
        <v>46</v>
      </c>
      <c r="E171">
        <v>2024</v>
      </c>
      <c r="F171" t="str" cm="1">
        <f t="array" ref="F171">_xlfn.LET(_xlpm.x,TRIM(B171),_xlpm.base,IFERROR(_xlfn.TEXTBEFORE(_xlpm.x,"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Jacob Cowing</v>
      </c>
    </row>
    <row r="172" spans="1:6" x14ac:dyDescent="0.25">
      <c r="A172">
        <v>47</v>
      </c>
      <c r="B172" t="s">
        <v>308</v>
      </c>
      <c r="C172" t="s">
        <v>571</v>
      </c>
      <c r="D172">
        <v>46.5</v>
      </c>
      <c r="E172">
        <v>2024</v>
      </c>
      <c r="F172" t="str" cm="1">
        <f t="array" ref="F172">_xlfn.LET(_xlpm.x,TRIM(B172),_xlpm.base,IFERROR(_xlfn.TEXTBEFORE(_xlpm.x,"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Rasheen Ali</v>
      </c>
    </row>
    <row r="173" spans="1:6" x14ac:dyDescent="0.25">
      <c r="A173">
        <v>48</v>
      </c>
      <c r="B173" t="s">
        <v>1084</v>
      </c>
      <c r="C173" t="s">
        <v>577</v>
      </c>
      <c r="D173">
        <v>47</v>
      </c>
      <c r="E173">
        <v>2024</v>
      </c>
      <c r="F173" t="str" cm="1">
        <f t="array" ref="F173">_xlfn.LET(_xlpm.x,TRIM(B173),_xlpm.base,IFERROR(_xlfn.TEXTBEFORE(_xlpm.x,"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Cade Stover</v>
      </c>
    </row>
    <row r="174" spans="1:6" x14ac:dyDescent="0.25">
      <c r="A174">
        <v>49</v>
      </c>
      <c r="B174" t="s">
        <v>936</v>
      </c>
      <c r="C174" t="s">
        <v>570</v>
      </c>
      <c r="D174">
        <v>47.5</v>
      </c>
      <c r="E174">
        <v>2024</v>
      </c>
      <c r="F174" t="str" cm="1">
        <f t="array" ref="F174">_xlfn.LET(_xlpm.x,TRIM(B174),_xlpm.base,IFERROR(_xlfn.TEXTBEFORE(_xlpm.x,"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Brenden Rice</v>
      </c>
    </row>
    <row r="175" spans="1:6" x14ac:dyDescent="0.25">
      <c r="A175">
        <v>50</v>
      </c>
      <c r="B175" t="s">
        <v>1086</v>
      </c>
      <c r="C175" t="s">
        <v>584</v>
      </c>
      <c r="D175">
        <v>50</v>
      </c>
      <c r="E175">
        <v>2024</v>
      </c>
      <c r="F175" t="str" cm="1">
        <f t="array" ref="F175">_xlfn.LET(_xlpm.x,TRIM(B175),_xlpm.base,IFERROR(_xlfn.TEXTBEFORE(_xlpm.x,"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Erick All Jr.</v>
      </c>
    </row>
    <row r="176" spans="1:6" x14ac:dyDescent="0.25">
      <c r="A176">
        <v>51</v>
      </c>
      <c r="B176" t="s">
        <v>430</v>
      </c>
      <c r="C176" t="s">
        <v>573</v>
      </c>
      <c r="D176">
        <v>41</v>
      </c>
      <c r="E176">
        <v>2024</v>
      </c>
      <c r="F176" t="str" cm="1">
        <f t="array" ref="F176">_xlfn.LET(_xlpm.x,TRIM(B176),_xlpm.base,IFERROR(_xlfn.TEXTBEFORE(_xlpm.x,"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Jordan Whittington</v>
      </c>
    </row>
    <row r="177" spans="1:6" x14ac:dyDescent="0.25">
      <c r="A177">
        <v>52</v>
      </c>
      <c r="B177" t="s">
        <v>1074</v>
      </c>
      <c r="C177" t="s">
        <v>575</v>
      </c>
      <c r="D177">
        <v>47</v>
      </c>
      <c r="E177">
        <v>2024</v>
      </c>
      <c r="F177" t="str" cm="1">
        <f t="array" ref="F177">_xlfn.LET(_xlpm.x,TRIM(B177),_xlpm.base,IFERROR(_xlfn.TEXTBEFORE(_xlpm.x,"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Carson Steele</v>
      </c>
    </row>
    <row r="178" spans="1:6" x14ac:dyDescent="0.25">
      <c r="A178">
        <v>53</v>
      </c>
      <c r="B178" t="s">
        <v>1083</v>
      </c>
      <c r="C178" t="s">
        <v>574</v>
      </c>
      <c r="D178">
        <v>55</v>
      </c>
      <c r="E178">
        <v>2024</v>
      </c>
      <c r="F178" t="str" cm="1">
        <f t="array" ref="F178">_xlfn.LET(_xlpm.x,TRIM(B178),_xlpm.base,IFERROR(_xlfn.TEXTBEFORE(_xlpm.x,"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Jamari Thrash</v>
      </c>
    </row>
    <row r="179" spans="1:6" x14ac:dyDescent="0.25">
      <c r="A179">
        <v>54</v>
      </c>
      <c r="B179" t="s">
        <v>1367</v>
      </c>
      <c r="C179" t="s">
        <v>1288</v>
      </c>
      <c r="D179">
        <v>49</v>
      </c>
      <c r="E179">
        <v>2024</v>
      </c>
      <c r="F179" t="str" cm="1">
        <f t="array" ref="F179">_xlfn.LET(_xlpm.x,TRIM(B179),_xlpm.base,IFERROR(_xlfn.TEXTBEFORE(_xlpm.x,"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Cam Little</v>
      </c>
    </row>
    <row r="180" spans="1:6" x14ac:dyDescent="0.25">
      <c r="A180">
        <v>55</v>
      </c>
      <c r="B180" t="s">
        <v>1324</v>
      </c>
      <c r="C180" t="s">
        <v>1290</v>
      </c>
      <c r="D180">
        <v>50</v>
      </c>
      <c r="E180">
        <v>2024</v>
      </c>
      <c r="F180" t="str" cm="1">
        <f t="array" ref="F180">_xlfn.LET(_xlpm.x,TRIM(B180),_xlpm.base,IFERROR(_xlfn.TEXTBEFORE(_xlpm.x,"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Will Reichard</v>
      </c>
    </row>
    <row r="181" spans="1:6" x14ac:dyDescent="0.25">
      <c r="A181">
        <v>56</v>
      </c>
      <c r="B181" t="s">
        <v>1023</v>
      </c>
      <c r="C181" t="s">
        <v>576</v>
      </c>
      <c r="D181">
        <v>51</v>
      </c>
      <c r="E181">
        <v>2024</v>
      </c>
      <c r="F181" t="str" cm="1">
        <f t="array" ref="F181">_xlfn.LET(_xlpm.x,TRIM(B181),_xlpm.base,IFERROR(_xlfn.TEXTBEFORE(_xlpm.x,"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Blake Watson</v>
      </c>
    </row>
    <row r="182" spans="1:6" x14ac:dyDescent="0.25">
      <c r="A182">
        <v>57</v>
      </c>
      <c r="B182" t="s">
        <v>1095</v>
      </c>
      <c r="C182" t="s">
        <v>588</v>
      </c>
      <c r="D182">
        <v>52</v>
      </c>
      <c r="E182">
        <v>2024</v>
      </c>
      <c r="F182" t="str" cm="1">
        <f t="array" ref="F182">_xlfn.LET(_xlpm.x,TRIM(B182),_xlpm.base,IFERROR(_xlfn.TEXTBEFORE(_xlpm.x,"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Jaheim Bell</v>
      </c>
    </row>
    <row r="183" spans="1:6" x14ac:dyDescent="0.25">
      <c r="A183">
        <v>58</v>
      </c>
      <c r="B183" t="s">
        <v>1201</v>
      </c>
      <c r="C183" t="s">
        <v>578</v>
      </c>
      <c r="D183">
        <v>53</v>
      </c>
      <c r="E183">
        <v>2024</v>
      </c>
      <c r="F183" t="str" cm="1">
        <f t="array" ref="F183">_xlfn.LET(_xlpm.x,TRIM(B183),_xlpm.base,IFERROR(_xlfn.TEXTBEFORE(_xlpm.x,"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Ainias Smith</v>
      </c>
    </row>
    <row r="184" spans="1:6" x14ac:dyDescent="0.25">
      <c r="A184">
        <v>59</v>
      </c>
      <c r="B184" t="s">
        <v>279</v>
      </c>
      <c r="C184" t="s">
        <v>579</v>
      </c>
      <c r="D184">
        <v>54</v>
      </c>
      <c r="E184">
        <v>2024</v>
      </c>
      <c r="F184" t="str" cm="1">
        <f t="array" ref="F184">_xlfn.LET(_xlpm.x,TRIM(B184),_xlpm.base,IFERROR(_xlfn.TEXTBEFORE(_xlpm.x,"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Isaiah Davis</v>
      </c>
    </row>
    <row r="185" spans="1:6" x14ac:dyDescent="0.25">
      <c r="A185">
        <v>60</v>
      </c>
      <c r="B185" t="s">
        <v>1231</v>
      </c>
      <c r="C185" t="s">
        <v>572</v>
      </c>
      <c r="D185">
        <v>55</v>
      </c>
      <c r="E185">
        <v>2024</v>
      </c>
      <c r="F185" t="str" cm="1">
        <f t="array" ref="F185">_xlfn.LET(_xlpm.x,TRIM(B185),_xlpm.base,IFERROR(_xlfn.TEXTBEFORE(_xlpm.x,"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Joe Milton III</v>
      </c>
    </row>
    <row r="186" spans="1:6" x14ac:dyDescent="0.25">
      <c r="A186">
        <v>61</v>
      </c>
      <c r="B186" t="s">
        <v>1238</v>
      </c>
      <c r="C186" t="s">
        <v>582</v>
      </c>
      <c r="D186">
        <v>55</v>
      </c>
      <c r="E186">
        <v>2024</v>
      </c>
      <c r="F186" t="str" cm="1">
        <f t="array" ref="F186">_xlfn.LET(_xlpm.x,TRIM(B186),_xlpm.base,IFERROR(_xlfn.TEXTBEFORE(_xlpm.x,"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Frank Gore Jr.</v>
      </c>
    </row>
    <row r="187" spans="1:6" x14ac:dyDescent="0.25">
      <c r="A187">
        <v>62</v>
      </c>
      <c r="B187" t="s">
        <v>198</v>
      </c>
      <c r="C187" t="s">
        <v>580</v>
      </c>
      <c r="D187">
        <v>56</v>
      </c>
      <c r="E187">
        <v>2024</v>
      </c>
      <c r="F187" t="str" cm="1">
        <f t="array" ref="F187">_xlfn.LET(_xlpm.x,TRIM(B187),_xlpm.base,IFERROR(_xlfn.TEXTBEFORE(_xlpm.x,"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Isaiah Williams</v>
      </c>
    </row>
    <row r="188" spans="1:6" x14ac:dyDescent="0.25">
      <c r="A188">
        <v>63</v>
      </c>
      <c r="B188" t="s">
        <v>1291</v>
      </c>
      <c r="C188" t="s">
        <v>581</v>
      </c>
      <c r="D188">
        <v>57</v>
      </c>
      <c r="E188">
        <v>2024</v>
      </c>
      <c r="F188" t="str" cm="1">
        <f t="array" ref="F188">_xlfn.LET(_xlpm.x,TRIM(B188),_xlpm.base,IFERROR(_xlfn.TEXTBEFORE(_xlpm.x,"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Joshua Cephus</v>
      </c>
    </row>
    <row r="189" spans="1:6" x14ac:dyDescent="0.25">
      <c r="A189">
        <v>64</v>
      </c>
      <c r="B189" t="s">
        <v>1292</v>
      </c>
      <c r="C189" t="s">
        <v>1293</v>
      </c>
      <c r="D189">
        <v>57</v>
      </c>
      <c r="E189">
        <v>2024</v>
      </c>
      <c r="F189" t="str" cm="1">
        <f t="array" ref="F189">_xlfn.LET(_xlpm.x,TRIM(B189),_xlpm.base,IFERROR(_xlfn.TEXTBEFORE(_xlpm.x,"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Joshua Karty</v>
      </c>
    </row>
    <row r="190" spans="1:6" x14ac:dyDescent="0.25">
      <c r="A190">
        <v>65</v>
      </c>
      <c r="B190" t="s">
        <v>1080</v>
      </c>
      <c r="C190" t="s">
        <v>583</v>
      </c>
      <c r="D190">
        <v>60</v>
      </c>
      <c r="E190">
        <v>2024</v>
      </c>
      <c r="F190" t="str" cm="1">
        <f t="array" ref="F190">_xlfn.LET(_xlpm.x,TRIM(B190),_xlpm.base,IFERROR(_xlfn.TEXTBEFORE(_xlpm.x,"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Johnny Wilson</v>
      </c>
    </row>
    <row r="191" spans="1:6" x14ac:dyDescent="0.25">
      <c r="A191">
        <v>66</v>
      </c>
      <c r="B191" t="s">
        <v>1097</v>
      </c>
      <c r="C191" t="s">
        <v>585</v>
      </c>
      <c r="D191">
        <v>59</v>
      </c>
      <c r="E191">
        <v>2024</v>
      </c>
      <c r="F191" t="str" cm="1">
        <f t="array" ref="F191">_xlfn.LET(_xlpm.x,TRIM(B191),_xlpm.base,IFERROR(_xlfn.TEXTBEFORE(_xlpm.x,"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Bub Means</v>
      </c>
    </row>
    <row r="192" spans="1:6" x14ac:dyDescent="0.25">
      <c r="A192">
        <v>67</v>
      </c>
      <c r="B192" t="s">
        <v>156</v>
      </c>
      <c r="C192" t="s">
        <v>590</v>
      </c>
      <c r="D192">
        <v>61</v>
      </c>
      <c r="E192">
        <v>2024</v>
      </c>
      <c r="F192" t="str" cm="1">
        <f t="array" ref="F192">_xlfn.LET(_xlpm.x,TRIM(B192),_xlpm.base,IFERROR(_xlfn.TEXTBEFORE(_xlpm.x,"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Ryan Flournoy</v>
      </c>
    </row>
    <row r="193" spans="1:6" x14ac:dyDescent="0.25">
      <c r="A193">
        <v>68</v>
      </c>
      <c r="B193" t="s">
        <v>1294</v>
      </c>
      <c r="C193" t="s">
        <v>586</v>
      </c>
      <c r="D193">
        <v>60</v>
      </c>
      <c r="E193">
        <v>2024</v>
      </c>
      <c r="F193" t="str" cm="1">
        <f t="array" ref="F193">_xlfn.LET(_xlpm.x,TRIM(B193),_xlpm.base,IFERROR(_xlfn.TEXTBEFORE(_xlpm.x,"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Jase McClellan</v>
      </c>
    </row>
    <row r="194" spans="1:6" x14ac:dyDescent="0.25">
      <c r="A194">
        <v>69</v>
      </c>
      <c r="B194" t="s">
        <v>1079</v>
      </c>
      <c r="C194" t="s">
        <v>587</v>
      </c>
      <c r="D194">
        <v>60</v>
      </c>
      <c r="E194">
        <v>2024</v>
      </c>
      <c r="F194" t="str" cm="1">
        <f t="array" ref="F194">_xlfn.LET(_xlpm.x,TRIM(B194),_xlpm.base,IFERROR(_xlfn.TEXTBEFORE(_xlpm.x,"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Sione Vaki</v>
      </c>
    </row>
    <row r="195" spans="1:6" x14ac:dyDescent="0.25">
      <c r="A195">
        <v>70</v>
      </c>
      <c r="B195" t="s">
        <v>1325</v>
      </c>
      <c r="C195" t="s">
        <v>592</v>
      </c>
      <c r="D195">
        <v>61</v>
      </c>
      <c r="E195">
        <v>2024</v>
      </c>
      <c r="F195" t="str" cm="1">
        <f t="array" ref="F195">_xlfn.LET(_xlpm.x,TRIM(B195),_xlpm.base,IFERROR(_xlfn.TEXTBEFORE(_xlpm.x,"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Cornelius Johnson</v>
      </c>
    </row>
    <row r="196" spans="1:6" x14ac:dyDescent="0.25">
      <c r="A196">
        <v>71</v>
      </c>
      <c r="B196" t="s">
        <v>1087</v>
      </c>
      <c r="C196" t="s">
        <v>589</v>
      </c>
      <c r="D196">
        <v>62</v>
      </c>
      <c r="E196">
        <v>2024</v>
      </c>
      <c r="F196" t="str" cm="1">
        <f t="array" ref="F196">_xlfn.LET(_xlpm.x,TRIM(B196),_xlpm.base,IFERROR(_xlfn.TEXTBEFORE(_xlpm.x,"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Tanner McLachlan</v>
      </c>
    </row>
    <row r="197" spans="1:6" x14ac:dyDescent="0.25">
      <c r="A197">
        <v>72</v>
      </c>
      <c r="B197" t="s">
        <v>1295</v>
      </c>
      <c r="C197" t="s">
        <v>594</v>
      </c>
      <c r="D197">
        <v>63</v>
      </c>
      <c r="E197">
        <v>2024</v>
      </c>
      <c r="F197" t="str" cm="1">
        <f t="array" ref="F197">_xlfn.LET(_xlpm.x,TRIM(B197),_xlpm.base,IFERROR(_xlfn.TEXTBEFORE(_xlpm.x,"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Jordan Travis</v>
      </c>
    </row>
    <row r="198" spans="1:6" x14ac:dyDescent="0.25">
      <c r="A198">
        <v>1</v>
      </c>
      <c r="B198" t="s">
        <v>231</v>
      </c>
      <c r="C198" t="s">
        <v>524</v>
      </c>
      <c r="D198">
        <v>1</v>
      </c>
      <c r="E198">
        <v>2025</v>
      </c>
      <c r="F198" t="str" cm="1">
        <f t="array" ref="F198">_xlfn.LET(_xlpm.x,TRIM(B198),_xlpm.base,IFERROR(_xlfn.TEXTBEFORE(_xlpm.x,"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Ashton Jeanty</v>
      </c>
    </row>
    <row r="199" spans="1:6" x14ac:dyDescent="0.25">
      <c r="A199">
        <v>2</v>
      </c>
      <c r="B199" t="s">
        <v>255</v>
      </c>
      <c r="C199" t="s">
        <v>531</v>
      </c>
      <c r="D199">
        <v>2.2000000000000002</v>
      </c>
      <c r="E199">
        <v>2025</v>
      </c>
      <c r="F199" t="str" cm="1">
        <f t="array" ref="F199">_xlfn.LET(_xlpm.x,TRIM(B199),_xlpm.base,IFERROR(_xlfn.TEXTBEFORE(_xlpm.x,"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Omarion Hampton</v>
      </c>
    </row>
    <row r="200" spans="1:6" x14ac:dyDescent="0.25">
      <c r="A200">
        <v>3</v>
      </c>
      <c r="B200" t="s">
        <v>241</v>
      </c>
      <c r="C200" t="s">
        <v>540</v>
      </c>
      <c r="D200">
        <v>3.7</v>
      </c>
      <c r="E200">
        <v>2025</v>
      </c>
      <c r="F200" t="str" cm="1">
        <f t="array" ref="F200">_xlfn.LET(_xlpm.x,TRIM(B200),_xlpm.base,IFERROR(_xlfn.TEXTBEFORE(_xlpm.x,"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TreVeyon Henderson</v>
      </c>
    </row>
    <row r="201" spans="1:6" x14ac:dyDescent="0.25">
      <c r="A201">
        <v>4</v>
      </c>
      <c r="B201" t="s">
        <v>115</v>
      </c>
      <c r="C201" t="s">
        <v>525</v>
      </c>
      <c r="D201">
        <v>3.8</v>
      </c>
      <c r="E201">
        <v>2025</v>
      </c>
      <c r="F201" t="str" cm="1">
        <f t="array" ref="F201">_xlfn.LET(_xlpm.x,TRIM(B201),_xlpm.base,IFERROR(_xlfn.TEXTBEFORE(_xlpm.x,"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Tetairoa McMillan</v>
      </c>
    </row>
    <row r="202" spans="1:6" x14ac:dyDescent="0.25">
      <c r="A202">
        <v>5</v>
      </c>
      <c r="B202" t="s">
        <v>1212</v>
      </c>
      <c r="C202" t="s">
        <v>527</v>
      </c>
      <c r="D202">
        <v>5.5</v>
      </c>
      <c r="E202">
        <v>2025</v>
      </c>
      <c r="F202" t="str" cm="1">
        <f t="array" ref="F202">_xlfn.LET(_xlpm.x,TRIM(B202),_xlpm.base,IFERROR(_xlfn.TEXTBEFORE(_xlpm.x,"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Travis HunterJAC</v>
      </c>
    </row>
    <row r="203" spans="1:6" x14ac:dyDescent="0.25">
      <c r="A203">
        <v>6</v>
      </c>
      <c r="B203" t="s">
        <v>240</v>
      </c>
      <c r="C203" t="s">
        <v>544</v>
      </c>
      <c r="D203">
        <v>6.5</v>
      </c>
      <c r="E203">
        <v>2025</v>
      </c>
      <c r="F203" t="str" cm="1">
        <f t="array" ref="F203">_xlfn.LET(_xlpm.x,TRIM(B203),_xlpm.base,IFERROR(_xlfn.TEXTBEFORE(_xlpm.x,"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RJ Harvey</v>
      </c>
    </row>
    <row r="204" spans="1:6" x14ac:dyDescent="0.25">
      <c r="A204">
        <v>7</v>
      </c>
      <c r="B204" t="s">
        <v>122</v>
      </c>
      <c r="C204" t="s">
        <v>528</v>
      </c>
      <c r="D204">
        <v>7.3</v>
      </c>
      <c r="E204">
        <v>2025</v>
      </c>
      <c r="F204" t="str" cm="1">
        <f t="array" ref="F204">_xlfn.LET(_xlpm.x,TRIM(B204),_xlpm.base,IFERROR(_xlfn.TEXTBEFORE(_xlpm.x,"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Emeka Egbuka</v>
      </c>
    </row>
    <row r="205" spans="1:6" x14ac:dyDescent="0.25">
      <c r="A205">
        <v>8</v>
      </c>
      <c r="B205" t="s">
        <v>1213</v>
      </c>
      <c r="C205" t="s">
        <v>545</v>
      </c>
      <c r="D205">
        <v>8.6999999999999993</v>
      </c>
      <c r="E205">
        <v>2025</v>
      </c>
      <c r="F205" t="str" cm="1">
        <f t="array" ref="F205">_xlfn.LET(_xlpm.x,TRIM(B205),_xlpm.base,IFERROR(_xlfn.TEXTBEFORE(_xlpm.x,"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Kaleb Johnson</v>
      </c>
    </row>
    <row r="206" spans="1:6" x14ac:dyDescent="0.25">
      <c r="A206">
        <v>9</v>
      </c>
      <c r="B206" t="s">
        <v>188</v>
      </c>
      <c r="C206" t="s">
        <v>529</v>
      </c>
      <c r="D206">
        <v>9</v>
      </c>
      <c r="E206">
        <v>2025</v>
      </c>
      <c r="F206" t="str" cm="1">
        <f t="array" ref="F206">_xlfn.LET(_xlpm.x,TRIM(B206),_xlpm.base,IFERROR(_xlfn.TEXTBEFORE(_xlpm.x,"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Matthew Gol</v>
      </c>
    </row>
    <row r="207" spans="1:6" x14ac:dyDescent="0.25">
      <c r="A207">
        <v>10</v>
      </c>
      <c r="B207" t="s">
        <v>27</v>
      </c>
      <c r="C207" t="s">
        <v>526</v>
      </c>
      <c r="D207">
        <v>10.8</v>
      </c>
      <c r="E207">
        <v>2025</v>
      </c>
      <c r="F207" t="str" cm="1">
        <f t="array" ref="F207">_xlfn.LET(_xlpm.x,TRIM(B207),_xlpm.base,IFERROR(_xlfn.TEXTBEFORE(_xlpm.x,"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Tyler Warren</v>
      </c>
    </row>
    <row r="208" spans="1:6" x14ac:dyDescent="0.25">
      <c r="A208">
        <v>11</v>
      </c>
      <c r="B208" t="s">
        <v>246</v>
      </c>
      <c r="C208" t="s">
        <v>547</v>
      </c>
      <c r="D208">
        <v>13.2</v>
      </c>
      <c r="E208">
        <v>2025</v>
      </c>
      <c r="F208" t="str" cm="1">
        <f t="array" ref="F208">_xlfn.LET(_xlpm.x,TRIM(B208),_xlpm.base,IFERROR(_xlfn.TEXTBEFORE(_xlpm.x,"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Quinshon Judkins</v>
      </c>
    </row>
    <row r="209" spans="1:6" x14ac:dyDescent="0.25">
      <c r="A209">
        <v>12</v>
      </c>
      <c r="B209" t="s">
        <v>44</v>
      </c>
      <c r="C209" t="s">
        <v>542</v>
      </c>
      <c r="D209">
        <v>13.2</v>
      </c>
      <c r="E209">
        <v>2025</v>
      </c>
      <c r="F209" t="str" cm="1">
        <f t="array" ref="F209">_xlfn.LET(_xlpm.x,TRIM(B209),_xlpm.base,IFERROR(_xlfn.TEXTBEFORE(_xlpm.x,"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Colston Loveland</v>
      </c>
    </row>
    <row r="210" spans="1:6" x14ac:dyDescent="0.25">
      <c r="A210">
        <v>13</v>
      </c>
      <c r="B210" t="s">
        <v>146</v>
      </c>
      <c r="C210" t="s">
        <v>530</v>
      </c>
      <c r="D210">
        <v>13.8</v>
      </c>
      <c r="E210">
        <v>2025</v>
      </c>
      <c r="F210" t="str" cm="1">
        <f t="array" ref="F210">_xlfn.LET(_xlpm.x,TRIM(B210),_xlpm.base,IFERROR(_xlfn.TEXTBEFORE(_xlpm.x,"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Jayden Higgins</v>
      </c>
    </row>
    <row r="211" spans="1:6" x14ac:dyDescent="0.25">
      <c r="A211">
        <v>14</v>
      </c>
      <c r="B211" t="s">
        <v>257</v>
      </c>
      <c r="C211" t="s">
        <v>550</v>
      </c>
      <c r="D211">
        <v>14.8</v>
      </c>
      <c r="E211">
        <v>2025</v>
      </c>
      <c r="F211" t="str" cm="1">
        <f t="array" ref="F211">_xlfn.LET(_xlpm.x,TRIM(B211),_xlpm.base,IFERROR(_xlfn.TEXTBEFORE(_xlpm.x,"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Cam Skattebo</v>
      </c>
    </row>
    <row r="212" spans="1:6" x14ac:dyDescent="0.25">
      <c r="A212">
        <v>15</v>
      </c>
      <c r="B212" t="s">
        <v>353</v>
      </c>
      <c r="C212" t="s">
        <v>532</v>
      </c>
      <c r="D212">
        <v>15.5</v>
      </c>
      <c r="E212">
        <v>2025</v>
      </c>
      <c r="F212" t="str" cm="1">
        <f t="array" ref="F212">_xlfn.LET(_xlpm.x,TRIM(B212),_xlpm.base,IFERROR(_xlfn.TEXTBEFORE(_xlpm.x,"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Cam Ward</v>
      </c>
    </row>
    <row r="213" spans="1:6" x14ac:dyDescent="0.25">
      <c r="A213">
        <v>16</v>
      </c>
      <c r="B213" t="s">
        <v>147</v>
      </c>
      <c r="C213" t="s">
        <v>535</v>
      </c>
      <c r="D213">
        <v>15.5</v>
      </c>
      <c r="E213">
        <v>2025</v>
      </c>
      <c r="F213" t="str" cm="1">
        <f t="array" ref="F213">_xlfn.LET(_xlpm.x,TRIM(B213),_xlpm.base,IFERROR(_xlfn.TEXTBEFORE(_xlpm.x,"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Luther Burden III</v>
      </c>
    </row>
    <row r="214" spans="1:6" x14ac:dyDescent="0.25">
      <c r="A214">
        <v>17</v>
      </c>
      <c r="B214" t="s">
        <v>273</v>
      </c>
      <c r="C214" t="s">
        <v>552</v>
      </c>
      <c r="D214">
        <v>18.2</v>
      </c>
      <c r="E214">
        <v>2025</v>
      </c>
      <c r="F214" t="str" cm="1">
        <f t="array" ref="F214">_xlfn.LET(_xlpm.x,TRIM(B214),_xlpm.base,IFERROR(_xlfn.TEXTBEFORE(_xlpm.x,"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Bhayshul Tu</v>
      </c>
    </row>
    <row r="215" spans="1:6" x14ac:dyDescent="0.25">
      <c r="A215">
        <v>18</v>
      </c>
      <c r="B215" t="s">
        <v>312</v>
      </c>
      <c r="C215" t="s">
        <v>553</v>
      </c>
      <c r="D215">
        <v>18.7</v>
      </c>
      <c r="E215">
        <v>2025</v>
      </c>
      <c r="F215" t="str" cm="1">
        <f t="array" ref="F215">_xlfn.LET(_xlpm.x,TRIM(B215),_xlpm.base,IFERROR(_xlfn.TEXTBEFORE(_xlpm.x,"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Jaydon Blue</v>
      </c>
    </row>
    <row r="216" spans="1:6" x14ac:dyDescent="0.25">
      <c r="A216">
        <v>19</v>
      </c>
      <c r="B216" t="s">
        <v>190</v>
      </c>
      <c r="C216" t="s">
        <v>536</v>
      </c>
      <c r="D216">
        <v>21.2</v>
      </c>
      <c r="E216">
        <v>2025</v>
      </c>
      <c r="F216" t="str" cm="1">
        <f t="array" ref="F216">_xlfn.LET(_xlpm.x,TRIM(B216),_xlpm.base,IFERROR(_xlfn.TEXTBEFORE(_xlpm.x,"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Tre' Harris</v>
      </c>
    </row>
    <row r="217" spans="1:6" x14ac:dyDescent="0.25">
      <c r="A217">
        <v>20</v>
      </c>
      <c r="B217" t="s">
        <v>253</v>
      </c>
      <c r="C217" t="s">
        <v>554</v>
      </c>
      <c r="D217">
        <v>21.3</v>
      </c>
      <c r="E217">
        <v>2025</v>
      </c>
      <c r="F217" t="str" cm="1">
        <f t="array" ref="F217">_xlfn.LET(_xlpm.x,TRIM(B217),_xlpm.base,IFERROR(_xlfn.TEXTBEFORE(_xlpm.x,"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Jacory Croskey-Merritt</v>
      </c>
    </row>
    <row r="218" spans="1:6" x14ac:dyDescent="0.25">
      <c r="A218">
        <v>21</v>
      </c>
      <c r="B218" t="s">
        <v>275</v>
      </c>
      <c r="C218" t="s">
        <v>563</v>
      </c>
      <c r="D218">
        <v>21.3</v>
      </c>
      <c r="E218">
        <v>2025</v>
      </c>
      <c r="F218" t="str" cm="1">
        <f t="array" ref="F218">_xlfn.LET(_xlpm.x,TRIM(B218),_xlpm.base,IFERROR(_xlfn.TEXTBEFORE(_xlpm.x,"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Dylan Sampson</v>
      </c>
    </row>
    <row r="219" spans="1:6" x14ac:dyDescent="0.25">
      <c r="A219">
        <v>22</v>
      </c>
      <c r="B219" t="s">
        <v>211</v>
      </c>
      <c r="C219" t="s">
        <v>538</v>
      </c>
      <c r="D219">
        <v>22.8</v>
      </c>
      <c r="E219">
        <v>2025</v>
      </c>
      <c r="F219" t="str" cm="1">
        <f t="array" ref="F219">_xlfn.LET(_xlpm.x,TRIM(B219),_xlpm.base,IFERROR(_xlfn.TEXTBEFORE(_xlpm.x,"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Kyle Williams</v>
      </c>
    </row>
    <row r="220" spans="1:6" x14ac:dyDescent="0.25">
      <c r="A220">
        <v>23</v>
      </c>
      <c r="B220" t="s">
        <v>81</v>
      </c>
      <c r="C220" t="s">
        <v>546</v>
      </c>
      <c r="D220">
        <v>25.2</v>
      </c>
      <c r="E220">
        <v>2025</v>
      </c>
      <c r="F220" t="str" cm="1">
        <f t="array" ref="F220">_xlfn.LET(_xlpm.x,TRIM(B220),_xlpm.base,IFERROR(_xlfn.TEXTBEFORE(_xlpm.x,"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Mason Taylor</v>
      </c>
    </row>
    <row r="221" spans="1:6" x14ac:dyDescent="0.25">
      <c r="A221">
        <v>24</v>
      </c>
      <c r="B221" t="s">
        <v>288</v>
      </c>
      <c r="C221" t="s">
        <v>565</v>
      </c>
      <c r="D221">
        <v>25.8</v>
      </c>
      <c r="E221">
        <v>2025</v>
      </c>
      <c r="F221" t="str" cm="1">
        <f t="array" ref="F221">_xlfn.LET(_xlpm.x,TRIM(B221),_xlpm.base,IFERROR(_xlfn.TEXTBEFORE(_xlpm.x,"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Ollie Gordon II</v>
      </c>
    </row>
    <row r="222" spans="1:6" x14ac:dyDescent="0.25">
      <c r="A222">
        <v>25</v>
      </c>
      <c r="B222" t="s">
        <v>345</v>
      </c>
      <c r="C222" t="s">
        <v>533</v>
      </c>
      <c r="D222">
        <v>26.5</v>
      </c>
      <c r="E222">
        <v>2025</v>
      </c>
      <c r="F222" t="str" cm="1">
        <f t="array" ref="F222">_xlfn.LET(_xlpm.x,TRIM(B222),_xlpm.base,IFERROR(_xlfn.TEXTBEFORE(_xlpm.x,"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Jaxson Dart</v>
      </c>
    </row>
    <row r="223" spans="1:6" x14ac:dyDescent="0.25">
      <c r="A223">
        <v>26</v>
      </c>
      <c r="B223" t="s">
        <v>184</v>
      </c>
      <c r="C223" t="s">
        <v>539</v>
      </c>
      <c r="D223">
        <v>29.7</v>
      </c>
      <c r="E223">
        <v>2025</v>
      </c>
      <c r="F223" t="str" cm="1">
        <f t="array" ref="F223">_xlfn.LET(_xlpm.x,TRIM(B223),_xlpm.base,IFERROR(_xlfn.TEXTBEFORE(_xlpm.x,"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Pat Bryant</v>
      </c>
    </row>
    <row r="224" spans="1:6" x14ac:dyDescent="0.25">
      <c r="A224">
        <v>27</v>
      </c>
      <c r="B224" t="s">
        <v>181</v>
      </c>
      <c r="C224" t="s">
        <v>541</v>
      </c>
      <c r="D224">
        <v>29.8</v>
      </c>
      <c r="E224">
        <v>2025</v>
      </c>
      <c r="F224" t="str" cm="1">
        <f t="array" ref="F224">_xlfn.LET(_xlpm.x,TRIM(B224),_xlpm.base,IFERROR(_xlfn.TEXTBEFORE(_xlpm.x,"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Isaac TeSlaa</v>
      </c>
    </row>
    <row r="225" spans="1:6" x14ac:dyDescent="0.25">
      <c r="A225">
        <v>28</v>
      </c>
      <c r="B225" t="s">
        <v>249</v>
      </c>
      <c r="C225" t="s">
        <v>568</v>
      </c>
      <c r="D225">
        <v>30.3</v>
      </c>
      <c r="E225">
        <v>2025</v>
      </c>
      <c r="F225" t="str" cm="1">
        <f t="array" ref="F225">_xlfn.LET(_xlpm.x,TRIM(B225),_xlpm.base,IFERROR(_xlfn.TEXTBEFORE(_xlpm.x,"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Woody Marks</v>
      </c>
    </row>
    <row r="226" spans="1:6" x14ac:dyDescent="0.25">
      <c r="A226">
        <v>29</v>
      </c>
      <c r="B226" t="s">
        <v>219</v>
      </c>
      <c r="C226" t="s">
        <v>543</v>
      </c>
      <c r="D226">
        <v>31.2</v>
      </c>
      <c r="E226">
        <v>2025</v>
      </c>
      <c r="F226" t="str" cm="1">
        <f t="array" ref="F226">_xlfn.LET(_xlpm.x,TRIM(B226),_xlpm.base,IFERROR(_xlfn.TEXTBEFORE(_xlpm.x,"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Jack Bech</v>
      </c>
    </row>
    <row r="227" spans="1:6" x14ac:dyDescent="0.25">
      <c r="A227">
        <v>30</v>
      </c>
      <c r="B227" t="s">
        <v>154</v>
      </c>
      <c r="C227" t="s">
        <v>548</v>
      </c>
      <c r="D227">
        <v>31.3</v>
      </c>
      <c r="E227">
        <v>2025</v>
      </c>
      <c r="F227" t="str" cm="1">
        <f t="array" ref="F227">_xlfn.LET(_xlpm.x,TRIM(B227),_xlpm.base,IFERROR(_xlfn.TEXTBEFORE(_xlpm.x,"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Elic Ayomanor</v>
      </c>
    </row>
    <row r="228" spans="1:6" x14ac:dyDescent="0.25">
      <c r="A228">
        <v>31</v>
      </c>
      <c r="B228" t="s">
        <v>1217</v>
      </c>
      <c r="C228" t="s">
        <v>549</v>
      </c>
      <c r="D228">
        <v>31.5</v>
      </c>
      <c r="E228">
        <v>2025</v>
      </c>
      <c r="F228" t="str" cm="1">
        <f t="array" ref="F228">_xlfn.LET(_xlpm.x,TRIM(B228),_xlpm.base,IFERROR(_xlfn.TEXTBEFORE(_xlpm.x,"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Jaylin Noel</v>
      </c>
    </row>
    <row r="229" spans="1:6" x14ac:dyDescent="0.25">
      <c r="A229">
        <v>32</v>
      </c>
      <c r="B229" t="s">
        <v>1214</v>
      </c>
      <c r="C229" t="s">
        <v>555</v>
      </c>
      <c r="D229">
        <v>31.7</v>
      </c>
      <c r="E229">
        <v>2025</v>
      </c>
      <c r="F229" t="str" cm="1">
        <f t="array" ref="F229">_xlfn.LET(_xlpm.x,TRIM(B229),_xlpm.base,IFERROR(_xlfn.TEXTBEFORE(_xlpm.x,"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Dont'e Thornton Jr.</v>
      </c>
    </row>
    <row r="230" spans="1:6" x14ac:dyDescent="0.25">
      <c r="A230">
        <v>33</v>
      </c>
      <c r="B230" t="s">
        <v>1216</v>
      </c>
      <c r="C230" t="s">
        <v>551</v>
      </c>
      <c r="D230">
        <v>33.200000000000003</v>
      </c>
      <c r="E230">
        <v>2025</v>
      </c>
      <c r="F230" t="str" cm="1">
        <f t="array" ref="F230">_xlfn.LET(_xlpm.x,TRIM(B230),_xlpm.base,IFERROR(_xlfn.TEXTBEFORE(_xlpm.x,"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Elijah Arroyo</v>
      </c>
    </row>
    <row r="231" spans="1:6" x14ac:dyDescent="0.25">
      <c r="A231">
        <v>34</v>
      </c>
      <c r="B231" t="s">
        <v>195</v>
      </c>
      <c r="C231" t="s">
        <v>556</v>
      </c>
      <c r="D231">
        <v>33.5</v>
      </c>
      <c r="E231">
        <v>2025</v>
      </c>
      <c r="F231" t="str" cm="1">
        <f t="array" ref="F231">_xlfn.LET(_xlpm.x,TRIM(B231),_xlpm.base,IFERROR(_xlfn.TEXTBEFORE(_xlpm.x,"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Tory Horton</v>
      </c>
    </row>
    <row r="232" spans="1:6" x14ac:dyDescent="0.25">
      <c r="A232">
        <v>35</v>
      </c>
      <c r="B232" t="s">
        <v>329</v>
      </c>
      <c r="C232" t="s">
        <v>569</v>
      </c>
      <c r="D232">
        <v>33.799999999999997</v>
      </c>
      <c r="E232">
        <v>2025</v>
      </c>
      <c r="F232" t="str" cm="1">
        <f t="array" ref="F232">_xlfn.LET(_xlpm.x,TRIM(B232),_xlpm.base,IFERROR(_xlfn.TEXTBEFORE(_xlpm.x,"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DJ Giddens</v>
      </c>
    </row>
    <row r="233" spans="1:6" x14ac:dyDescent="0.25">
      <c r="A233">
        <v>36</v>
      </c>
      <c r="B233" t="s">
        <v>31</v>
      </c>
      <c r="C233" t="s">
        <v>564</v>
      </c>
      <c r="D233">
        <v>37.5</v>
      </c>
      <c r="E233">
        <v>2025</v>
      </c>
      <c r="F233" t="str" cm="1">
        <f t="array" ref="F233">_xlfn.LET(_xlpm.x,TRIM(B233),_xlpm.base,IFERROR(_xlfn.TEXTBEFORE(_xlpm.x,"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Harold Fannin Jr.</v>
      </c>
    </row>
    <row r="234" spans="1:6" x14ac:dyDescent="0.25">
      <c r="A234">
        <v>37</v>
      </c>
      <c r="B234" t="s">
        <v>1215</v>
      </c>
      <c r="C234" t="s">
        <v>571</v>
      </c>
      <c r="D234">
        <v>38.299999999999997</v>
      </c>
      <c r="E234">
        <v>2025</v>
      </c>
      <c r="F234" t="str" cm="1">
        <f t="array" ref="F234">_xlfn.LET(_xlpm.x,TRIM(B234),_xlpm.base,IFERROR(_xlfn.TEXTBEFORE(_xlpm.x,"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Tahj Brooks</v>
      </c>
    </row>
    <row r="235" spans="1:6" x14ac:dyDescent="0.25">
      <c r="A235">
        <v>38</v>
      </c>
      <c r="B235" t="s">
        <v>1220</v>
      </c>
      <c r="C235" t="s">
        <v>557</v>
      </c>
      <c r="D235">
        <v>38.700000000000003</v>
      </c>
      <c r="E235">
        <v>2025</v>
      </c>
      <c r="F235" t="str" cm="1">
        <f t="array" ref="F235">_xlfn.LET(_xlpm.x,TRIM(B235),_xlpm.base,IFERROR(_xlfn.TEXTBEFORE(_xlpm.x,"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Jalen Royals</v>
      </c>
    </row>
    <row r="236" spans="1:6" x14ac:dyDescent="0.25">
      <c r="A236">
        <v>39</v>
      </c>
      <c r="B236" t="s">
        <v>1222</v>
      </c>
      <c r="C236" t="s">
        <v>534</v>
      </c>
      <c r="D236">
        <v>39.299999999999997</v>
      </c>
      <c r="E236">
        <v>2025</v>
      </c>
      <c r="F236" t="str" cm="1">
        <f t="array" ref="F236">_xlfn.LET(_xlpm.x,TRIM(B236),_xlpm.base,IFERROR(_xlfn.TEXTBEFORE(_xlpm.x,"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Jalen Milroe</v>
      </c>
    </row>
    <row r="237" spans="1:6" x14ac:dyDescent="0.25">
      <c r="A237">
        <v>40</v>
      </c>
      <c r="B237" t="s">
        <v>1218</v>
      </c>
      <c r="C237" t="s">
        <v>575</v>
      </c>
      <c r="D237">
        <v>39.5</v>
      </c>
      <c r="E237">
        <v>2025</v>
      </c>
      <c r="F237" t="str" cm="1">
        <f t="array" ref="F237">_xlfn.LET(_xlpm.x,TRIM(B237),_xlpm.base,IFERROR(_xlfn.TEXTBEFORE(_xlpm.x,"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Jarquez Hunter</v>
      </c>
    </row>
    <row r="238" spans="1:6" x14ac:dyDescent="0.25">
      <c r="A238">
        <v>41</v>
      </c>
      <c r="B238" t="s">
        <v>282</v>
      </c>
      <c r="C238" t="s">
        <v>576</v>
      </c>
      <c r="D238">
        <v>39.700000000000003</v>
      </c>
      <c r="E238">
        <v>2025</v>
      </c>
      <c r="F238" t="str" cm="1">
        <f t="array" ref="F238">_xlfn.LET(_xlpm.x,TRIM(B238),_xlpm.base,IFERROR(_xlfn.TEXTBEFORE(_xlpm.x,"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Brashard Smith</v>
      </c>
    </row>
    <row r="239" spans="1:6" x14ac:dyDescent="0.25">
      <c r="A239">
        <v>42</v>
      </c>
      <c r="B239" t="s">
        <v>250</v>
      </c>
      <c r="C239" t="s">
        <v>579</v>
      </c>
      <c r="D239">
        <v>40.200000000000003</v>
      </c>
      <c r="E239">
        <v>2025</v>
      </c>
      <c r="F239" t="str" cm="1">
        <f t="array" ref="F239">_xlfn.LET(_xlpm.x,TRIM(B239),_xlpm.base,IFERROR(_xlfn.TEXTBEFORE(_xlpm.x,"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Kyle Monangai</v>
      </c>
    </row>
    <row r="240" spans="1:6" x14ac:dyDescent="0.25">
      <c r="A240">
        <v>43</v>
      </c>
      <c r="B240" t="s">
        <v>1223</v>
      </c>
      <c r="C240" t="s">
        <v>577</v>
      </c>
      <c r="D240">
        <v>40.5</v>
      </c>
      <c r="E240">
        <v>2025</v>
      </c>
      <c r="F240" t="str" cm="1">
        <f t="array" ref="F240">_xlfn.LET(_xlpm.x,TRIM(B240),_xlpm.base,IFERROR(_xlfn.TEXTBEFORE(_xlpm.x,"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Terrance Ferguson</v>
      </c>
    </row>
    <row r="241" spans="1:6" x14ac:dyDescent="0.25">
      <c r="A241">
        <v>44</v>
      </c>
      <c r="B241" t="s">
        <v>357</v>
      </c>
      <c r="C241" t="s">
        <v>537</v>
      </c>
      <c r="D241">
        <v>41</v>
      </c>
      <c r="E241">
        <v>2025</v>
      </c>
      <c r="F241" t="str" cm="1">
        <f t="array" ref="F241">_xlfn.LET(_xlpm.x,TRIM(B241),_xlpm.base,IFERROR(_xlfn.TEXTBEFORE(_xlpm.x,"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Tyler Shough</v>
      </c>
    </row>
    <row r="242" spans="1:6" x14ac:dyDescent="0.25">
      <c r="A242">
        <v>45</v>
      </c>
      <c r="B242" t="s">
        <v>368</v>
      </c>
      <c r="C242" t="s">
        <v>559</v>
      </c>
      <c r="D242">
        <v>41.5</v>
      </c>
      <c r="E242">
        <v>2025</v>
      </c>
      <c r="F242" t="str" cm="1">
        <f t="array" ref="F242">_xlfn.LET(_xlpm.x,TRIM(B242),_xlpm.base,IFERROR(_xlfn.TEXTBEFORE(_xlpm.x,"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Shedeur Sanders</v>
      </c>
    </row>
    <row r="243" spans="1:6" x14ac:dyDescent="0.25">
      <c r="A243">
        <v>46</v>
      </c>
      <c r="B243" t="s">
        <v>284</v>
      </c>
      <c r="C243" t="s">
        <v>582</v>
      </c>
      <c r="D243">
        <v>41.7</v>
      </c>
      <c r="E243">
        <v>2025</v>
      </c>
      <c r="F243" t="str" cm="1">
        <f t="array" ref="F243">_xlfn.LET(_xlpm.x,TRIM(B243),_xlpm.base,IFERROR(_xlfn.TEXTBEFORE(_xlpm.x,"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Devin Neal</v>
      </c>
    </row>
    <row r="244" spans="1:6" x14ac:dyDescent="0.25">
      <c r="A244">
        <v>47</v>
      </c>
      <c r="B244" t="s">
        <v>212</v>
      </c>
      <c r="C244" t="s">
        <v>558</v>
      </c>
      <c r="D244">
        <v>49.2</v>
      </c>
      <c r="E244">
        <v>2025</v>
      </c>
      <c r="F244" t="str" cm="1">
        <f t="array" ref="F244">_xlfn.LET(_xlpm.x,TRIM(B244),_xlpm.base,IFERROR(_xlfn.TEXTBEFORE(_xlpm.x,"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Jaylin La</v>
      </c>
    </row>
    <row r="245" spans="1:6" x14ac:dyDescent="0.25">
      <c r="A245">
        <v>48</v>
      </c>
      <c r="B245" t="s">
        <v>322</v>
      </c>
      <c r="C245" t="s">
        <v>586</v>
      </c>
      <c r="D245">
        <v>43</v>
      </c>
      <c r="E245">
        <v>2025</v>
      </c>
      <c r="F245" t="str" cm="1">
        <f t="array" ref="F245">_xlfn.LET(_xlpm.x,TRIM(B245),_xlpm.base,IFERROR(_xlfn.TEXTBEFORE(_xlpm.x,"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Trevor Etien</v>
      </c>
    </row>
    <row r="246" spans="1:6" x14ac:dyDescent="0.25">
      <c r="A246">
        <v>49</v>
      </c>
      <c r="B246" t="s">
        <v>1221</v>
      </c>
      <c r="C246" t="s">
        <v>560</v>
      </c>
      <c r="D246">
        <v>50.5</v>
      </c>
      <c r="E246">
        <v>2025</v>
      </c>
      <c r="F246" t="str" cm="1">
        <f t="array" ref="F246">_xlfn.LET(_xlpm.x,TRIM(B246),_xlpm.base,IFERROR(_xlfn.TEXTBEFORE(_xlpm.x,"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KeAndre Lambert-Smith</v>
      </c>
    </row>
    <row r="247" spans="1:6" x14ac:dyDescent="0.25">
      <c r="A247">
        <v>50</v>
      </c>
      <c r="B247" t="s">
        <v>203</v>
      </c>
      <c r="C247" t="s">
        <v>562</v>
      </c>
      <c r="D247">
        <v>50.8</v>
      </c>
      <c r="E247">
        <v>2025</v>
      </c>
      <c r="F247" t="str" cm="1">
        <f t="array" ref="F247">_xlfn.LET(_xlpm.x,TRIM(B247),_xlpm.base,IFERROR(_xlfn.TEXTBEFORE(_xlpm.x,"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Isaiah Bond</v>
      </c>
    </row>
    <row r="248" spans="1:6" x14ac:dyDescent="0.25">
      <c r="A248">
        <v>51</v>
      </c>
      <c r="B248" t="s">
        <v>50</v>
      </c>
      <c r="C248" t="s">
        <v>584</v>
      </c>
      <c r="D248">
        <v>52.5</v>
      </c>
      <c r="E248">
        <v>2025</v>
      </c>
      <c r="F248" t="str" cm="1">
        <f t="array" ref="F248">_xlfn.LET(_xlpm.x,TRIM(B248),_xlpm.base,IFERROR(_xlfn.TEXTBEFORE(_xlpm.x,"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Oronde Gadsden II</v>
      </c>
    </row>
    <row r="249" spans="1:6" x14ac:dyDescent="0.25">
      <c r="A249">
        <v>52</v>
      </c>
      <c r="B249" t="s">
        <v>1219</v>
      </c>
      <c r="C249" t="s">
        <v>566</v>
      </c>
      <c r="D249">
        <v>55.7</v>
      </c>
      <c r="E249">
        <v>2025</v>
      </c>
      <c r="F249" t="str" cm="1">
        <f t="array" ref="F249">_xlfn.LET(_xlpm.x,TRIM(B249),_xlpm.base,IFERROR(_xlfn.TEXTBEFORE(_xlpm.x,"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Efton Chism III</v>
      </c>
    </row>
    <row r="250" spans="1:6" x14ac:dyDescent="0.25">
      <c r="A250">
        <v>53</v>
      </c>
      <c r="B250" t="s">
        <v>1228</v>
      </c>
      <c r="C250" t="s">
        <v>587</v>
      </c>
      <c r="D250">
        <v>50.2</v>
      </c>
      <c r="E250">
        <v>2025</v>
      </c>
      <c r="F250" t="str" cm="1">
        <f t="array" ref="F250">_xlfn.LET(_xlpm.x,TRIM(B250),_xlpm.base,IFERROR(_xlfn.TEXTBEFORE(_xlpm.x,"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Jordan James</v>
      </c>
    </row>
    <row r="251" spans="1:6" x14ac:dyDescent="0.25">
      <c r="A251">
        <v>54</v>
      </c>
      <c r="B251" t="s">
        <v>371</v>
      </c>
      <c r="C251" t="s">
        <v>561</v>
      </c>
      <c r="D251">
        <v>50.3</v>
      </c>
      <c r="E251">
        <v>2025</v>
      </c>
      <c r="F251" t="str" cm="1">
        <f t="array" ref="F251">_xlfn.LET(_xlpm.x,TRIM(B251),_xlpm.base,IFERROR(_xlfn.TEXTBEFORE(_xlpm.x,"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Dillon Gabriel</v>
      </c>
    </row>
    <row r="252" spans="1:6" x14ac:dyDescent="0.25">
      <c r="A252">
        <v>55</v>
      </c>
      <c r="B252" t="s">
        <v>80</v>
      </c>
      <c r="C252" t="s">
        <v>588</v>
      </c>
      <c r="D252">
        <v>57.6</v>
      </c>
      <c r="E252">
        <v>2025</v>
      </c>
      <c r="F252" t="str" cm="1">
        <f t="array" ref="F252">_xlfn.LET(_xlpm.x,TRIM(B252),_xlpm.base,IFERROR(_xlfn.TEXTBEFORE(_xlpm.x,"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Gunnar Helm</v>
      </c>
    </row>
    <row r="253" spans="1:6" x14ac:dyDescent="0.25">
      <c r="A253">
        <v>56</v>
      </c>
      <c r="B253" t="s">
        <v>1232</v>
      </c>
      <c r="C253" t="s">
        <v>567</v>
      </c>
      <c r="D253">
        <v>54</v>
      </c>
      <c r="E253">
        <v>2025</v>
      </c>
      <c r="F253" t="str" cm="1">
        <f t="array" ref="F253">_xlfn.LET(_xlpm.x,TRIM(B253),_xlpm.base,IFERROR(_xlfn.TEXTBEFORE(_xlpm.x,"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Savion Williams</v>
      </c>
    </row>
    <row r="254" spans="1:6" x14ac:dyDescent="0.25">
      <c r="A254">
        <v>57</v>
      </c>
      <c r="B254" t="s">
        <v>1233</v>
      </c>
      <c r="C254" t="s">
        <v>570</v>
      </c>
      <c r="D254">
        <v>56.3</v>
      </c>
      <c r="E254">
        <v>2025</v>
      </c>
      <c r="F254" t="str" cm="1">
        <f t="array" ref="F254">_xlfn.LET(_xlpm.x,TRIM(B254),_xlpm.base,IFERROR(_xlfn.TEXTBEFORE(_xlpm.x,"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Tai Felton</v>
      </c>
    </row>
    <row r="255" spans="1:6" x14ac:dyDescent="0.25">
      <c r="A255">
        <v>58</v>
      </c>
      <c r="B255" t="s">
        <v>1226</v>
      </c>
      <c r="C255" t="s">
        <v>573</v>
      </c>
      <c r="D255">
        <v>56.8</v>
      </c>
      <c r="E255">
        <v>2025</v>
      </c>
      <c r="F255" t="str" cm="1">
        <f t="array" ref="F255">_xlfn.LET(_xlpm.x,TRIM(B255),_xlpm.base,IFERROR(_xlfn.TEXTBEFORE(_xlpm.x,"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Xavier Restrepo</v>
      </c>
    </row>
    <row r="256" spans="1:6" x14ac:dyDescent="0.25">
      <c r="A256">
        <v>59</v>
      </c>
      <c r="B256" t="s">
        <v>149</v>
      </c>
      <c r="C256" t="s">
        <v>574</v>
      </c>
      <c r="D256">
        <v>60.5</v>
      </c>
      <c r="E256">
        <v>2025</v>
      </c>
      <c r="F256" t="str" cm="1">
        <f t="array" ref="F256">_xlfn.LET(_xlpm.x,TRIM(B256),_xlpm.base,IFERROR(_xlfn.TEXTBEFORE(_xlpm.x,"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Chimere Dike</v>
      </c>
    </row>
    <row r="257" spans="1:6" x14ac:dyDescent="0.25">
      <c r="A257">
        <v>60</v>
      </c>
      <c r="B257" t="s">
        <v>166</v>
      </c>
      <c r="C257" t="s">
        <v>578</v>
      </c>
      <c r="D257">
        <v>61.5</v>
      </c>
      <c r="E257">
        <v>2025</v>
      </c>
      <c r="F257" t="str" cm="1">
        <f t="array" ref="F257">_xlfn.LET(_xlpm.x,TRIM(B257),_xlpm.base,IFERROR(_xlfn.TEXTBEFORE(_xlpm.x,"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Tez Johnson</v>
      </c>
    </row>
    <row r="258" spans="1:6" x14ac:dyDescent="0.25">
      <c r="A258">
        <v>61</v>
      </c>
      <c r="B258" t="s">
        <v>1225</v>
      </c>
      <c r="C258" t="s">
        <v>580</v>
      </c>
      <c r="D258">
        <v>54.7</v>
      </c>
      <c r="E258">
        <v>2025</v>
      </c>
      <c r="F258" t="str" cm="1">
        <f t="array" ref="F258">_xlfn.LET(_xlpm.x,TRIM(B258),_xlpm.base,IFERROR(_xlfn.TEXTBEFORE(_xlpm.x,"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Jimmy Horn Jr.</v>
      </c>
    </row>
    <row r="259" spans="1:6" x14ac:dyDescent="0.25">
      <c r="A259">
        <v>62</v>
      </c>
      <c r="B259" t="s">
        <v>1229</v>
      </c>
      <c r="C259" t="s">
        <v>591</v>
      </c>
      <c r="D259">
        <v>62.5</v>
      </c>
      <c r="E259">
        <v>2025</v>
      </c>
      <c r="F259" t="str" cm="1">
        <f t="array" ref="F259">_xlfn.LET(_xlpm.x,TRIM(B259),_xlpm.base,IFERROR(_xlfn.TEXTBEFORE(_xlpm.x,"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Kalel Mullings</v>
      </c>
    </row>
    <row r="260" spans="1:6" x14ac:dyDescent="0.25">
      <c r="A260">
        <v>63</v>
      </c>
      <c r="B260" t="s">
        <v>1227</v>
      </c>
      <c r="C260" t="s">
        <v>581</v>
      </c>
      <c r="D260">
        <v>57.3</v>
      </c>
      <c r="E260">
        <v>2025</v>
      </c>
      <c r="F260" t="str" cm="1">
        <f t="array" ref="F260">_xlfn.LET(_xlpm.x,TRIM(B260),_xlpm.base,IFERROR(_xlfn.TEXTBEFORE(_xlpm.x,"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Arian Smith</v>
      </c>
    </row>
    <row r="261" spans="1:6" x14ac:dyDescent="0.25">
      <c r="A261">
        <v>64</v>
      </c>
      <c r="B261" t="s">
        <v>1243</v>
      </c>
      <c r="C261" t="s">
        <v>583</v>
      </c>
      <c r="D261">
        <v>65.8</v>
      </c>
      <c r="E261">
        <v>2025</v>
      </c>
      <c r="F261" t="str" cm="1">
        <f t="array" ref="F261">_xlfn.LET(_xlpm.x,TRIM(B261),_xlpm.base,IFERROR(_xlfn.TEXTBEFORE(_xlpm.x,"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Jordan Watkins</v>
      </c>
    </row>
    <row r="262" spans="1:6" x14ac:dyDescent="0.25">
      <c r="A262">
        <v>65</v>
      </c>
      <c r="B262" t="s">
        <v>1326</v>
      </c>
      <c r="C262" t="s">
        <v>1288</v>
      </c>
      <c r="D262">
        <v>48.5</v>
      </c>
      <c r="E262">
        <v>2025</v>
      </c>
      <c r="F262" t="str" cm="1">
        <f t="array" ref="F262">_xlfn.LET(_xlpm.x,TRIM(B262),_xlpm.base,IFERROR(_xlfn.TEXTBEFORE(_xlpm.x,"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Tyler Loop</v>
      </c>
    </row>
    <row r="263" spans="1:6" x14ac:dyDescent="0.25">
      <c r="A263">
        <v>66</v>
      </c>
      <c r="B263" t="s">
        <v>1258</v>
      </c>
      <c r="C263" t="s">
        <v>572</v>
      </c>
      <c r="D263">
        <v>60.7</v>
      </c>
      <c r="E263">
        <v>2025</v>
      </c>
      <c r="F263" t="str" cm="1">
        <f t="array" ref="F263">_xlfn.LET(_xlpm.x,TRIM(B263),_xlpm.base,IFERROR(_xlfn.TEXTBEFORE(_xlpm.x,"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Will Howard</v>
      </c>
    </row>
    <row r="264" spans="1:6" x14ac:dyDescent="0.25">
      <c r="A264">
        <v>67</v>
      </c>
      <c r="B264" t="s">
        <v>324</v>
      </c>
      <c r="C264" t="s">
        <v>593</v>
      </c>
      <c r="D264">
        <v>61.3</v>
      </c>
      <c r="E264">
        <v>2025</v>
      </c>
      <c r="F264" t="str" cm="1">
        <f t="array" ref="F264">_xlfn.LET(_xlpm.x,TRIM(B264),_xlpm.base,IFERROR(_xlfn.TEXTBEFORE(_xlpm.x,"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Phil Mafah</v>
      </c>
    </row>
    <row r="265" spans="1:6" x14ac:dyDescent="0.25">
      <c r="A265">
        <v>68</v>
      </c>
      <c r="B265" t="s">
        <v>1239</v>
      </c>
      <c r="C265" t="s">
        <v>597</v>
      </c>
      <c r="D265">
        <v>53</v>
      </c>
      <c r="E265">
        <v>2025</v>
      </c>
      <c r="F265" t="str" cm="1">
        <f t="array" ref="F265">_xlfn.LET(_xlpm.x,TRIM(B265),_xlpm.base,IFERROR(_xlfn.TEXTBEFORE(_xlpm.x,"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Damien Martinez</v>
      </c>
    </row>
    <row r="266" spans="1:6" x14ac:dyDescent="0.25">
      <c r="A266">
        <v>69</v>
      </c>
      <c r="B266" t="s">
        <v>1240</v>
      </c>
      <c r="C266" t="s">
        <v>594</v>
      </c>
      <c r="D266">
        <v>63.7</v>
      </c>
      <c r="E266">
        <v>2025</v>
      </c>
      <c r="F266" t="str" cm="1">
        <f t="array" ref="F266">_xlfn.LET(_xlpm.x,TRIM(B266),_xlpm.base,IFERROR(_xlfn.TEXTBEFORE(_xlpm.x,"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Quinn Ewers</v>
      </c>
    </row>
    <row r="267" spans="1:6" x14ac:dyDescent="0.25">
      <c r="A267">
        <v>70</v>
      </c>
      <c r="B267" t="s">
        <v>307</v>
      </c>
      <c r="C267" t="s">
        <v>598</v>
      </c>
      <c r="D267">
        <v>63.5</v>
      </c>
      <c r="E267">
        <v>2025</v>
      </c>
      <c r="F267" t="str" cm="1">
        <f t="array" ref="F267">_xlfn.LET(_xlpm.x,TRIM(B267),_xlpm.base,IFERROR(_xlfn.TEXTBEFORE(_xlpm.x,"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LeQuint Allen Jr.</v>
      </c>
    </row>
    <row r="268" spans="1:6" x14ac:dyDescent="0.25">
      <c r="A268">
        <v>71</v>
      </c>
      <c r="B268" t="s">
        <v>313</v>
      </c>
      <c r="C268" t="s">
        <v>605</v>
      </c>
      <c r="D268">
        <v>68</v>
      </c>
      <c r="E268">
        <v>2025</v>
      </c>
      <c r="F268" t="str" cm="1">
        <f t="array" ref="F268">_xlfn.LET(_xlpm.x,TRIM(B268),_xlpm.base,IFERROR(_xlfn.TEXTBEFORE(_xlpm.x,"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Raheim Sanders</v>
      </c>
    </row>
    <row r="269" spans="1:6" x14ac:dyDescent="0.25">
      <c r="A269">
        <v>72</v>
      </c>
      <c r="B269" t="s">
        <v>330</v>
      </c>
      <c r="C269" t="s">
        <v>607</v>
      </c>
      <c r="D269">
        <v>78.5</v>
      </c>
      <c r="E269">
        <v>2025</v>
      </c>
      <c r="F269" t="str" cm="1">
        <f t="array" ref="F269">_xlfn.LET(_xlpm.x,TRIM(B269),_xlpm.base,IFERROR(_xlfn.TEXTBEFORE(_xlpm.x,"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Corey Kiner</v>
      </c>
    </row>
    <row r="270" spans="1:6" x14ac:dyDescent="0.25">
      <c r="A270">
        <v>73</v>
      </c>
      <c r="B270" t="s">
        <v>1266</v>
      </c>
      <c r="C270" t="s">
        <v>601</v>
      </c>
      <c r="D270">
        <v>75</v>
      </c>
      <c r="E270">
        <v>2025</v>
      </c>
      <c r="F270" t="str" cm="1">
        <f t="array" ref="F270">_xlfn.LET(_xlpm.x,TRIM(B270),_xlpm.base,IFERROR(_xlfn.TEXTBEFORE(_xlpm.x,"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Riley Leonard</v>
      </c>
    </row>
    <row r="271" spans="1:6" x14ac:dyDescent="0.25">
      <c r="A271">
        <v>74</v>
      </c>
      <c r="B271" t="s">
        <v>1254</v>
      </c>
      <c r="C271" t="s">
        <v>589</v>
      </c>
      <c r="D271">
        <v>75</v>
      </c>
      <c r="E271">
        <v>2025</v>
      </c>
      <c r="F271" t="str" cm="1">
        <f t="array" ref="F271">_xlfn.LET(_xlpm.x,TRIM(B271),_xlpm.base,IFERROR(_xlfn.TEXTBEFORE(_xlpm.x,"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Thomas Fidone II</v>
      </c>
    </row>
    <row r="272" spans="1:6" x14ac:dyDescent="0.25">
      <c r="A272">
        <v>75</v>
      </c>
      <c r="B272" t="s">
        <v>1147</v>
      </c>
      <c r="C272" t="s">
        <v>585</v>
      </c>
      <c r="D272">
        <v>75.5</v>
      </c>
      <c r="E272">
        <v>2025</v>
      </c>
      <c r="F272" t="str" cm="1">
        <f t="array" ref="F272">_xlfn.LET(_xlpm.x,TRIM(B272),_xlpm.base,IFERROR(_xlfn.TEXTBEFORE(_xlpm.x,"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Tommy Mellott</v>
      </c>
    </row>
    <row r="273" spans="1:6" x14ac:dyDescent="0.25">
      <c r="A273">
        <v>76</v>
      </c>
      <c r="B273" t="s">
        <v>1230</v>
      </c>
      <c r="C273" t="s">
        <v>590</v>
      </c>
      <c r="D273">
        <v>67</v>
      </c>
      <c r="E273">
        <v>2025</v>
      </c>
      <c r="F273" t="str" cm="1">
        <f t="array" ref="F273">_xlfn.LET(_xlpm.x,TRIM(B273),_xlpm.base,IFERROR(_xlfn.TEXTBEFORE(_xlpm.x,"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LaJohntay Wester</v>
      </c>
    </row>
    <row r="274" spans="1:6" x14ac:dyDescent="0.25">
      <c r="A274">
        <v>77</v>
      </c>
      <c r="B274" t="s">
        <v>1327</v>
      </c>
      <c r="C274" t="s">
        <v>592</v>
      </c>
      <c r="D274">
        <v>68</v>
      </c>
      <c r="E274">
        <v>2025</v>
      </c>
      <c r="F274" t="str" cm="1">
        <f t="array" ref="F274">_xlfn.LET(_xlpm.x,TRIM(B274),_xlpm.base,IFERROR(_xlfn.TEXTBEFORE(_xlpm.x,"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Ricky White III</v>
      </c>
    </row>
    <row r="275" spans="1:6" x14ac:dyDescent="0.25">
      <c r="A275">
        <v>78</v>
      </c>
      <c r="B275" t="s">
        <v>1236</v>
      </c>
      <c r="C275" t="s">
        <v>608</v>
      </c>
      <c r="D275">
        <v>76.5</v>
      </c>
      <c r="E275">
        <v>2025</v>
      </c>
      <c r="F275" t="str" cm="1">
        <f t="array" ref="F275">_xlfn.LET(_xlpm.x,TRIM(B275),_xlpm.base,IFERROR(_xlfn.TEXTBEFORE(_xlpm.x,"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Donovan Edwards</v>
      </c>
    </row>
    <row r="276" spans="1:6" x14ac:dyDescent="0.25">
      <c r="A276">
        <v>79</v>
      </c>
      <c r="B276" t="s">
        <v>1249</v>
      </c>
      <c r="C276" t="s">
        <v>595</v>
      </c>
      <c r="D276">
        <v>77.5</v>
      </c>
      <c r="E276">
        <v>2025</v>
      </c>
      <c r="F276" t="str" cm="1">
        <f t="array" ref="F276">_xlfn.LET(_xlpm.x,TRIM(B276),_xlpm.base,IFERROR(_xlfn.TEXTBEFORE(_xlpm.x,"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Nick Nash</v>
      </c>
    </row>
    <row r="277" spans="1:6" x14ac:dyDescent="0.25">
      <c r="A277">
        <v>80</v>
      </c>
      <c r="B277" t="s">
        <v>1296</v>
      </c>
      <c r="C277" t="s">
        <v>609</v>
      </c>
      <c r="D277">
        <v>71</v>
      </c>
      <c r="E277">
        <v>2025</v>
      </c>
      <c r="F277" t="str" cm="1">
        <f t="array" ref="F277">_xlfn.LET(_xlpm.x,TRIM(B277),_xlpm.base,IFERROR(_xlfn.TEXTBEFORE(_xlpm.x,"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Marcus Yarns</v>
      </c>
    </row>
    <row r="278" spans="1:6" x14ac:dyDescent="0.25">
      <c r="A278">
        <v>81</v>
      </c>
      <c r="B278" t="s">
        <v>1265</v>
      </c>
      <c r="C278" t="s">
        <v>606</v>
      </c>
      <c r="D278">
        <v>96.5</v>
      </c>
      <c r="E278">
        <v>2025</v>
      </c>
      <c r="F278" t="str" cm="1">
        <f t="array" ref="F278">_xlfn.LET(_xlpm.x,TRIM(B278),_xlpm.base,IFERROR(_xlfn.TEXTBEFORE(_xlpm.x,"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Jackson Hawes</v>
      </c>
    </row>
    <row r="279" spans="1:6" x14ac:dyDescent="0.25">
      <c r="A279">
        <v>82</v>
      </c>
      <c r="B279" t="s">
        <v>1328</v>
      </c>
      <c r="C279" t="s">
        <v>602</v>
      </c>
      <c r="D279">
        <v>75</v>
      </c>
      <c r="E279">
        <v>2025</v>
      </c>
      <c r="F279" t="str" cm="1">
        <f t="array" ref="F279">_xlfn.LET(_xlpm.x,TRIM(B279),_xlpm.base,IFERROR(_xlfn.TEXTBEFORE(_xlpm.x,"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Kyle McCord</v>
      </c>
    </row>
    <row r="280" spans="1:6" x14ac:dyDescent="0.25">
      <c r="A280">
        <v>83</v>
      </c>
      <c r="B280" t="s">
        <v>1203</v>
      </c>
      <c r="C280" t="s">
        <v>596</v>
      </c>
      <c r="D280">
        <v>80.5</v>
      </c>
      <c r="E280">
        <v>2025</v>
      </c>
      <c r="F280" t="str" cm="1">
        <f t="array" ref="F280">_xlfn.LET(_xlpm.x,TRIM(B280),_xlpm.base,IFERROR(_xlfn.TEXTBEFORE(_xlpm.x,"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Elijhah Badger</v>
      </c>
    </row>
    <row r="281" spans="1:6" x14ac:dyDescent="0.25">
      <c r="A281">
        <v>84</v>
      </c>
      <c r="B281" t="s">
        <v>1268</v>
      </c>
      <c r="C281" t="s">
        <v>599</v>
      </c>
      <c r="D281">
        <v>96</v>
      </c>
      <c r="E281">
        <v>2025</v>
      </c>
      <c r="F281" t="str" cm="1">
        <f t="array" ref="F281">_xlfn.LET(_xlpm.x,TRIM(B281),_xlpm.base,IFERROR(_xlfn.TEXTBEFORE(_xlpm.x,"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Dominic Lovett</v>
      </c>
    </row>
    <row r="282" spans="1:6" x14ac:dyDescent="0.25">
      <c r="A282">
        <v>85</v>
      </c>
      <c r="B282" t="s">
        <v>1129</v>
      </c>
      <c r="C282" t="s">
        <v>600</v>
      </c>
      <c r="D282">
        <v>124</v>
      </c>
      <c r="E282">
        <v>2025</v>
      </c>
      <c r="F282" t="str" cm="1">
        <f t="array" ref="F282">_xlfn.LET(_xlpm.x,TRIM(B282),_xlpm.base,IFERROR(_xlfn.TEXTBEFORE(_xlpm.x,"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Beaux Collins</v>
      </c>
    </row>
    <row r="283" spans="1:6" x14ac:dyDescent="0.25">
      <c r="A283">
        <v>86</v>
      </c>
      <c r="B283" t="s">
        <v>1260</v>
      </c>
      <c r="C283" t="s">
        <v>603</v>
      </c>
      <c r="D283">
        <v>118</v>
      </c>
      <c r="E283">
        <v>2025</v>
      </c>
      <c r="F283" t="str" cm="1">
        <f t="array" ref="F283">_xlfn.LET(_xlpm.x,TRIM(B283),_xlpm.base,IFERROR(_xlfn.TEXTBEFORE(_xlpm.x,"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Jackson Meeks</v>
      </c>
    </row>
    <row r="284" spans="1:6" x14ac:dyDescent="0.25">
      <c r="A284">
        <v>87</v>
      </c>
      <c r="B284" t="s">
        <v>1276</v>
      </c>
      <c r="C284" t="s">
        <v>614</v>
      </c>
      <c r="D284">
        <v>79</v>
      </c>
      <c r="E284">
        <v>2025</v>
      </c>
      <c r="F284" t="str" cm="1">
        <f t="array" ref="F284">_xlfn.LET(_xlpm.x,TRIM(B284),_xlpm.base,IFERROR(_xlfn.TEXTBEFORE(_xlpm.x,"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Nathan Carter</v>
      </c>
    </row>
    <row r="285" spans="1:6" x14ac:dyDescent="0.25">
      <c r="A285">
        <v>88</v>
      </c>
      <c r="B285" t="s">
        <v>1329</v>
      </c>
      <c r="C285" t="s">
        <v>610</v>
      </c>
      <c r="D285">
        <v>80</v>
      </c>
      <c r="E285">
        <v>2025</v>
      </c>
      <c r="F285" t="str" cm="1">
        <f t="array" ref="F285">_xlfn.LET(_xlpm.x,TRIM(B285),_xlpm.base,IFERROR(_xlfn.TEXTBEFORE(_xlpm.x,"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Kaden Prather</v>
      </c>
    </row>
    <row r="286" spans="1:6" x14ac:dyDescent="0.25">
      <c r="A286">
        <v>89</v>
      </c>
      <c r="B286" t="s">
        <v>1248</v>
      </c>
      <c r="C286" t="s">
        <v>604</v>
      </c>
      <c r="D286">
        <v>123.5</v>
      </c>
      <c r="E286">
        <v>2025</v>
      </c>
      <c r="F286" t="str" cm="1">
        <f t="array" ref="F286">_xlfn.LET(_xlpm.x,TRIM(B286),_xlpm.base,IFERROR(_xlfn.TEXTBEFORE(_xlpm.x,"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Brady Cook</v>
      </c>
    </row>
    <row r="287" spans="1:6" x14ac:dyDescent="0.25">
      <c r="A287">
        <v>90</v>
      </c>
      <c r="B287" t="s">
        <v>1297</v>
      </c>
      <c r="C287" t="s">
        <v>612</v>
      </c>
      <c r="D287">
        <v>81</v>
      </c>
      <c r="E287">
        <v>2025</v>
      </c>
      <c r="F287" t="str" cm="1">
        <f t="array" ref="F287">_xlfn.LET(_xlpm.x,TRIM(B287),_xlpm.base,IFERROR(_xlfn.TEXTBEFORE(_xlpm.x,"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Luke Lachey</v>
      </c>
    </row>
    <row r="288" spans="1:6" x14ac:dyDescent="0.25">
      <c r="A288">
        <v>91</v>
      </c>
      <c r="B288" t="s">
        <v>1278</v>
      </c>
      <c r="C288" t="s">
        <v>617</v>
      </c>
      <c r="D288">
        <v>81</v>
      </c>
      <c r="E288">
        <v>2025</v>
      </c>
      <c r="F288" t="str" cm="1">
        <f t="array" ref="F288">_xlfn.LET(_xlpm.x,TRIM(B288),_xlpm.base,IFERROR(_xlfn.TEXTBEFORE(_xlpm.x,"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Ben Yurosek</v>
      </c>
    </row>
    <row r="289" spans="1:6" x14ac:dyDescent="0.25">
      <c r="A289">
        <v>92</v>
      </c>
      <c r="B289" t="s">
        <v>1330</v>
      </c>
      <c r="C289" t="s">
        <v>627</v>
      </c>
      <c r="D289">
        <v>82</v>
      </c>
      <c r="E289">
        <v>2025</v>
      </c>
      <c r="F289" t="str" cm="1">
        <f t="array" ref="F289">_xlfn.LET(_xlpm.x,TRIM(B289),_xlpm.base,IFERROR(_xlfn.TEXTBEFORE(_xlpm.x,"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Mitchell Evans</v>
      </c>
    </row>
    <row r="290" spans="1:6" x14ac:dyDescent="0.25">
      <c r="A290">
        <v>93</v>
      </c>
      <c r="B290" t="s">
        <v>1132</v>
      </c>
      <c r="C290" t="s">
        <v>611</v>
      </c>
      <c r="D290">
        <v>83</v>
      </c>
      <c r="E290">
        <v>2025</v>
      </c>
      <c r="F290" t="str" cm="1">
        <f t="array" ref="F290">_xlfn.LET(_xlpm.x,TRIM(B290),_xlpm.base,IFERROR(_xlfn.TEXTBEFORE(_xlpm.x,"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Ja'Corey Brooks</v>
      </c>
    </row>
    <row r="291" spans="1:6" x14ac:dyDescent="0.25">
      <c r="A291">
        <v>94</v>
      </c>
      <c r="B291" t="s">
        <v>1252</v>
      </c>
      <c r="C291" t="s">
        <v>613</v>
      </c>
      <c r="D291">
        <v>86</v>
      </c>
      <c r="E291">
        <v>2025</v>
      </c>
      <c r="F291" t="str" cm="1">
        <f t="array" ref="F291">_xlfn.LET(_xlpm.x,TRIM(B291),_xlpm.base,IFERROR(_xlfn.TEXTBEFORE(_xlpm.x,"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Konata Mumpfield</v>
      </c>
    </row>
    <row r="292" spans="1:6" x14ac:dyDescent="0.25">
      <c r="A292">
        <v>95</v>
      </c>
      <c r="B292" t="s">
        <v>1331</v>
      </c>
      <c r="C292" t="s">
        <v>616</v>
      </c>
      <c r="D292">
        <v>87</v>
      </c>
      <c r="E292">
        <v>2025</v>
      </c>
      <c r="F292" t="str" cm="1">
        <f t="array" ref="F292">_xlfn.LET(_xlpm.x,TRIM(B292),_xlpm.base,IFERROR(_xlfn.TEXTBEFORE(_xlpm.x,"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Juice Wells Jr.</v>
      </c>
    </row>
    <row r="293" spans="1:6" x14ac:dyDescent="0.25">
      <c r="A293">
        <v>96</v>
      </c>
      <c r="B293" t="s">
        <v>1332</v>
      </c>
      <c r="C293" t="s">
        <v>619</v>
      </c>
      <c r="D293">
        <v>88</v>
      </c>
      <c r="E293">
        <v>2025</v>
      </c>
      <c r="F293" t="str" cm="1">
        <f t="array" ref="F293">_xlfn.LET(_xlpm.x,TRIM(B293),_xlpm.base,IFERROR(_xlfn.TEXTBEFORE(_xlpm.x,"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Traeshon Hol</v>
      </c>
    </row>
    <row r="294" spans="1:6" x14ac:dyDescent="0.25">
      <c r="A294">
        <v>97</v>
      </c>
      <c r="B294" t="s">
        <v>1333</v>
      </c>
      <c r="C294" t="s">
        <v>636</v>
      </c>
      <c r="D294">
        <v>90</v>
      </c>
      <c r="E294">
        <v>2025</v>
      </c>
      <c r="F294" t="str" cm="1">
        <f t="array" ref="F294">_xlfn.LET(_xlpm.x,TRIM(B294),_xlpm.base,IFERROR(_xlfn.TEXTBEFORE(_xlpm.x,"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Bryson Nesbit</v>
      </c>
    </row>
    <row r="295" spans="1:6" x14ac:dyDescent="0.25">
      <c r="A295">
        <v>98</v>
      </c>
      <c r="B295" t="s">
        <v>1298</v>
      </c>
      <c r="C295" t="s">
        <v>618</v>
      </c>
      <c r="D295">
        <v>91</v>
      </c>
      <c r="E295">
        <v>2025</v>
      </c>
      <c r="F295" t="str" cm="1">
        <f t="array" ref="F295">_xlfn.LET(_xlpm.x,TRIM(B295),_xlpm.base,IFERROR(_xlfn.TEXTBEFORE(_xlpm.x,"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Montrell Johnson Jr.</v>
      </c>
    </row>
    <row r="296" spans="1:6" x14ac:dyDescent="0.25">
      <c r="A296">
        <v>99</v>
      </c>
      <c r="B296" t="s">
        <v>1299</v>
      </c>
      <c r="C296" t="s">
        <v>622</v>
      </c>
      <c r="D296">
        <v>92</v>
      </c>
      <c r="E296">
        <v>2025</v>
      </c>
      <c r="F296" t="str" cm="1">
        <f t="array" ref="F296">_xlfn.LET(_xlpm.x,TRIM(B296),_xlpm.base,IFERROR(_xlfn.TEXTBEFORE(_xlpm.x,"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Daniel Jackson</v>
      </c>
    </row>
    <row r="297" spans="1:6" x14ac:dyDescent="0.25">
      <c r="A297">
        <v>100</v>
      </c>
      <c r="B297" t="s">
        <v>1334</v>
      </c>
      <c r="C297" t="s">
        <v>624</v>
      </c>
      <c r="D297">
        <v>93</v>
      </c>
      <c r="E297">
        <v>2025</v>
      </c>
      <c r="F297" t="str" cm="1">
        <f t="array" ref="F297">_xlfn.LET(_xlpm.x,TRIM(B297),_xlpm.base,IFERROR(_xlfn.TEXTBEFORE(_xlpm.x,"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Andrew Armstrong</v>
      </c>
    </row>
    <row r="298" spans="1:6" x14ac:dyDescent="0.25">
      <c r="A298">
        <v>101</v>
      </c>
      <c r="B298" t="s">
        <v>1300</v>
      </c>
      <c r="C298" t="s">
        <v>625</v>
      </c>
      <c r="D298">
        <v>95</v>
      </c>
      <c r="E298">
        <v>2025</v>
      </c>
      <c r="F298" t="str" cm="1">
        <f t="array" ref="F298">_xlfn.LET(_xlpm.x,TRIM(B298),_xlpm.base,IFERROR(_xlfn.TEXTBEFORE(_xlpm.x,"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Kobe Hudson</v>
      </c>
    </row>
    <row r="299" spans="1:6" x14ac:dyDescent="0.25">
      <c r="A299">
        <v>102</v>
      </c>
      <c r="B299" t="s">
        <v>1301</v>
      </c>
      <c r="C299" t="s">
        <v>626</v>
      </c>
      <c r="D299">
        <v>96</v>
      </c>
      <c r="E299">
        <v>2025</v>
      </c>
      <c r="F299" t="str" cm="1">
        <f t="array" ref="F299">_xlfn.LET(_xlpm.x,TRIM(B299),_xlpm.base,IFERROR(_xlfn.TEXTBEFORE(_xlpm.x,"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Xzavier Henderson</v>
      </c>
    </row>
    <row r="300" spans="1:6" x14ac:dyDescent="0.25">
      <c r="A300">
        <v>103</v>
      </c>
      <c r="B300" t="s">
        <v>1302</v>
      </c>
      <c r="C300" t="s">
        <v>631</v>
      </c>
      <c r="D300">
        <v>97</v>
      </c>
      <c r="E300">
        <v>2025</v>
      </c>
      <c r="F300" t="str" cm="1">
        <f t="array" ref="F300">_xlfn.LET(_xlpm.x,TRIM(B300),_xlpm.base,IFERROR(_xlfn.TEXTBEFORE(_xlpm.x,"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Bru McCoy</v>
      </c>
    </row>
    <row r="301" spans="1:6" x14ac:dyDescent="0.25">
      <c r="A301">
        <v>104</v>
      </c>
      <c r="B301" t="s">
        <v>1335</v>
      </c>
      <c r="C301" t="s">
        <v>632</v>
      </c>
      <c r="D301">
        <v>98</v>
      </c>
      <c r="E301">
        <v>2025</v>
      </c>
      <c r="F301" t="str" cm="1">
        <f t="array" ref="F301">_xlfn.LET(_xlpm.x,TRIM(B301),_xlpm.base,IFERROR(_xlfn.TEXTBEFORE(_xlpm.x,"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Da'Quan Felton</v>
      </c>
    </row>
    <row r="302" spans="1:6" x14ac:dyDescent="0.25">
      <c r="A302">
        <v>105</v>
      </c>
      <c r="B302" t="s">
        <v>1303</v>
      </c>
      <c r="C302" t="s">
        <v>620</v>
      </c>
      <c r="D302">
        <v>99</v>
      </c>
      <c r="E302">
        <v>2025</v>
      </c>
      <c r="F302" t="str" cm="1">
        <f t="array" ref="F302">_xlfn.LET(_xlpm.x,TRIM(B302),_xlpm.base,IFERROR(_xlfn.TEXTBEFORE(_xlpm.x,"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Micah Bernard</v>
      </c>
    </row>
    <row r="303" spans="1:6" x14ac:dyDescent="0.25">
      <c r="A303">
        <v>106</v>
      </c>
      <c r="B303" t="s">
        <v>1336</v>
      </c>
      <c r="C303" t="s">
        <v>621</v>
      </c>
      <c r="D303">
        <v>102</v>
      </c>
      <c r="E303">
        <v>2025</v>
      </c>
      <c r="F303" t="str" cm="1">
        <f t="array" ref="F303">_xlfn.LET(_xlpm.x,TRIM(B303),_xlpm.base,IFERROR(_xlfn.TEXTBEFORE(_xlpm.x,"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Ja'Quinden Jackson</v>
      </c>
    </row>
    <row r="304" spans="1:6" x14ac:dyDescent="0.25">
      <c r="A304">
        <v>107</v>
      </c>
      <c r="B304" t="s">
        <v>1337</v>
      </c>
      <c r="C304" t="s">
        <v>634</v>
      </c>
      <c r="D304">
        <v>104</v>
      </c>
      <c r="E304">
        <v>2025</v>
      </c>
      <c r="F304" t="str" cm="1">
        <f t="array" ref="F304">_xlfn.LET(_xlpm.x,TRIM(B304),_xlpm.base,IFERROR(_xlfn.TEXTBEFORE(_xlpm.x,"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Mac Dalena</v>
      </c>
    </row>
    <row r="305" spans="1:6" x14ac:dyDescent="0.25">
      <c r="A305">
        <v>108</v>
      </c>
      <c r="B305" t="s">
        <v>1338</v>
      </c>
      <c r="C305" t="s">
        <v>635</v>
      </c>
      <c r="D305">
        <v>105</v>
      </c>
      <c r="E305">
        <v>2025</v>
      </c>
      <c r="F305" t="str" cm="1">
        <f t="array" ref="F305">_xlfn.LET(_xlpm.x,TRIM(B305),_xlpm.base,IFERROR(_xlfn.TEXTBEFORE(_xlpm.x,"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Josh Kelly</v>
      </c>
    </row>
    <row r="306" spans="1:6" x14ac:dyDescent="0.25">
      <c r="A306">
        <v>109</v>
      </c>
      <c r="B306" t="s">
        <v>1304</v>
      </c>
      <c r="C306" t="s">
        <v>643</v>
      </c>
      <c r="D306">
        <v>106</v>
      </c>
      <c r="E306">
        <v>2025</v>
      </c>
      <c r="F306" t="str" cm="1">
        <f t="array" ref="F306">_xlfn.LET(_xlpm.x,TRIM(B306),_xlpm.base,IFERROR(_xlfn.TEXTBEFORE(_xlpm.x,"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Jerjuan Newton</v>
      </c>
    </row>
    <row r="307" spans="1:6" x14ac:dyDescent="0.25">
      <c r="A307">
        <v>110</v>
      </c>
      <c r="B307" t="s">
        <v>1339</v>
      </c>
      <c r="C307" t="s">
        <v>645</v>
      </c>
      <c r="D307">
        <v>107</v>
      </c>
      <c r="E307">
        <v>2025</v>
      </c>
      <c r="F307" t="str" cm="1">
        <f t="array" ref="F307">_xlfn.LET(_xlpm.x,TRIM(B307),_xlpm.base,IFERROR(_xlfn.TEXTBEFORE(_xlpm.x,"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Jamaal Pritchett</v>
      </c>
    </row>
    <row r="308" spans="1:6" x14ac:dyDescent="0.25">
      <c r="A308">
        <v>111</v>
      </c>
      <c r="B308" t="s">
        <v>1305</v>
      </c>
      <c r="C308" t="s">
        <v>647</v>
      </c>
      <c r="D308">
        <v>108</v>
      </c>
      <c r="E308">
        <v>2025</v>
      </c>
      <c r="F308" t="str" cm="1">
        <f t="array" ref="F308">_xlfn.LET(_xlpm.x,TRIM(B308),_xlpm.base,IFERROR(_xlfn.TEXTBEFORE(_xlpm.x,"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Giles Jackson</v>
      </c>
    </row>
    <row r="309" spans="1:6" x14ac:dyDescent="0.25">
      <c r="A309">
        <v>112</v>
      </c>
      <c r="B309" t="s">
        <v>1340</v>
      </c>
      <c r="C309" t="s">
        <v>651</v>
      </c>
      <c r="D309">
        <v>109</v>
      </c>
      <c r="E309">
        <v>2025</v>
      </c>
      <c r="F309" t="str" cm="1">
        <f t="array" ref="F309">_xlfn.LET(_xlpm.x,TRIM(B309),_xlpm.base,IFERROR(_xlfn.TEXTBEFORE(_xlpm.x,"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Jakobie Keeney-James</v>
      </c>
    </row>
    <row r="310" spans="1:6" x14ac:dyDescent="0.25">
      <c r="A310">
        <v>113</v>
      </c>
      <c r="B310" t="s">
        <v>1341</v>
      </c>
      <c r="C310" t="s">
        <v>654</v>
      </c>
      <c r="D310">
        <v>110</v>
      </c>
      <c r="E310">
        <v>2025</v>
      </c>
      <c r="F310" t="str" cm="1">
        <f t="array" ref="F310">_xlfn.LET(_xlpm.x,TRIM(B310),_xlpm.base,IFERROR(_xlfn.TEXTBEFORE(_xlpm.x,"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Jaden Smith</v>
      </c>
    </row>
    <row r="311" spans="1:6" x14ac:dyDescent="0.25">
      <c r="A311">
        <v>114</v>
      </c>
      <c r="B311" t="s">
        <v>1306</v>
      </c>
      <c r="C311" t="s">
        <v>658</v>
      </c>
      <c r="D311">
        <v>111</v>
      </c>
      <c r="E311">
        <v>2025</v>
      </c>
      <c r="F311" t="str" cm="1">
        <f t="array" ref="F311">_xlfn.LET(_xlpm.x,TRIM(B311),_xlpm.base,IFERROR(_xlfn.TEXTBEFORE(_xlpm.x,"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Jacolby George</v>
      </c>
    </row>
    <row r="312" spans="1:6" x14ac:dyDescent="0.25">
      <c r="A312">
        <v>115</v>
      </c>
      <c r="B312" t="s">
        <v>1342</v>
      </c>
      <c r="C312" t="s">
        <v>660</v>
      </c>
      <c r="D312">
        <v>113</v>
      </c>
      <c r="E312">
        <v>2025</v>
      </c>
      <c r="F312" t="str" cm="1">
        <f t="array" ref="F312">_xlfn.LET(_xlpm.x,TRIM(B312),_xlpm.base,IFERROR(_xlfn.TEXTBEFORE(_xlpm.x,"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Coleman Owen</v>
      </c>
    </row>
    <row r="313" spans="1:6" x14ac:dyDescent="0.25">
      <c r="A313">
        <v>116</v>
      </c>
      <c r="B313" t="s">
        <v>1343</v>
      </c>
      <c r="C313" t="s">
        <v>662</v>
      </c>
      <c r="D313">
        <v>114</v>
      </c>
      <c r="E313">
        <v>2025</v>
      </c>
      <c r="F313" t="str" cm="1">
        <f t="array" ref="F313">_xlfn.LET(_xlpm.x,TRIM(B313),_xlpm.base,IFERROR(_xlfn.TEXTBEFORE(_xlpm.x,"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Isaiah Neyor</v>
      </c>
    </row>
    <row r="314" spans="1:6" x14ac:dyDescent="0.25">
      <c r="A314">
        <v>117</v>
      </c>
      <c r="B314" t="s">
        <v>1344</v>
      </c>
      <c r="C314" t="s">
        <v>642</v>
      </c>
      <c r="D314">
        <v>117</v>
      </c>
      <c r="E314">
        <v>2025</v>
      </c>
      <c r="F314" t="str" cm="1">
        <f t="array" ref="F314">_xlfn.LET(_xlpm.x,TRIM(B314),_xlpm.base,IFERROR(_xlfn.TEXTBEFORE(_xlpm.x,"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CJ Dippre</v>
      </c>
    </row>
    <row r="315" spans="1:6" x14ac:dyDescent="0.25">
      <c r="A315">
        <v>118</v>
      </c>
      <c r="B315" t="s">
        <v>1345</v>
      </c>
      <c r="C315" t="s">
        <v>673</v>
      </c>
      <c r="D315">
        <v>118</v>
      </c>
      <c r="E315">
        <v>2025</v>
      </c>
      <c r="F315" t="str" cm="1">
        <f t="array" ref="F315">_xlfn.LET(_xlpm.x,TRIM(B315),_xlpm.base,IFERROR(_xlfn.TEXTBEFORE(_xlpm.x,"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Moliki Matavao</v>
      </c>
    </row>
    <row r="316" spans="1:6" x14ac:dyDescent="0.25">
      <c r="A316">
        <v>119</v>
      </c>
      <c r="B316" t="s">
        <v>1346</v>
      </c>
      <c r="C316" t="s">
        <v>674</v>
      </c>
      <c r="D316">
        <v>119</v>
      </c>
      <c r="E316">
        <v>2025</v>
      </c>
      <c r="F316" t="str" cm="1">
        <f t="array" ref="F316">_xlfn.LET(_xlpm.x,TRIM(B316),_xlpm.base,IFERROR(_xlfn.TEXTBEFORE(_xlpm.x,"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Rivaldo Fairweather</v>
      </c>
    </row>
    <row r="317" spans="1:6" x14ac:dyDescent="0.25">
      <c r="A317">
        <v>120</v>
      </c>
      <c r="B317" t="s">
        <v>1347</v>
      </c>
      <c r="C317" t="s">
        <v>623</v>
      </c>
      <c r="D317">
        <v>120</v>
      </c>
      <c r="E317">
        <v>2025</v>
      </c>
      <c r="F317" t="str" cm="1">
        <f t="array" ref="F317">_xlfn.LET(_xlpm.x,TRIM(B317),_xlpm.base,IFERROR(_xlfn.TEXTBEFORE(_xlpm.x,"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Ulysses Bentley IV</v>
      </c>
    </row>
    <row r="318" spans="1:6" x14ac:dyDescent="0.25">
      <c r="A318">
        <v>121</v>
      </c>
      <c r="B318" t="s">
        <v>1348</v>
      </c>
      <c r="C318" t="s">
        <v>678</v>
      </c>
      <c r="D318">
        <v>121</v>
      </c>
      <c r="E318">
        <v>2025</v>
      </c>
      <c r="F318" t="str" cm="1">
        <f t="array" ref="F318">_xlfn.LET(_xlpm.x,TRIM(B318),_xlpm.base,IFERROR(_xlfn.TEXTBEFORE(_xlpm.x,"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Jake Briningstool</v>
      </c>
    </row>
    <row r="319" spans="1:6" x14ac:dyDescent="0.25">
      <c r="A319">
        <v>122</v>
      </c>
      <c r="B319" t="s">
        <v>1349</v>
      </c>
      <c r="C319" t="s">
        <v>679</v>
      </c>
      <c r="D319">
        <v>123</v>
      </c>
      <c r="E319">
        <v>2025</v>
      </c>
      <c r="F319" t="str" cm="1">
        <f t="array" ref="F319">_xlfn.LET(_xlpm.x,TRIM(B319),_xlpm.base,IFERROR(_xlfn.TEXTBEFORE(_xlpm.x,"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Caden Prieskorn</v>
      </c>
    </row>
    <row r="320" spans="1:6" x14ac:dyDescent="0.25">
      <c r="A320">
        <v>123</v>
      </c>
      <c r="B320" t="s">
        <v>1350</v>
      </c>
      <c r="C320" t="s">
        <v>685</v>
      </c>
      <c r="D320">
        <v>124</v>
      </c>
      <c r="E320">
        <v>2025</v>
      </c>
      <c r="F320" t="str" cm="1">
        <f t="array" ref="F320">_xlfn.LET(_xlpm.x,TRIM(B320),_xlpm.base,IFERROR(_xlfn.TEXTBEFORE(_xlpm.x,"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Gavin Bartholomew</v>
      </c>
    </row>
    <row r="321" spans="1:6" x14ac:dyDescent="0.25">
      <c r="A321">
        <v>124</v>
      </c>
      <c r="B321" t="s">
        <v>1307</v>
      </c>
      <c r="C321" t="s">
        <v>690</v>
      </c>
      <c r="D321">
        <v>125</v>
      </c>
      <c r="E321">
        <v>2025</v>
      </c>
      <c r="F321" t="str" cm="1">
        <f t="array" ref="F321">_xlfn.LET(_xlpm.x,TRIM(B321),_xlpm.base,IFERROR(_xlfn.TEXTBEFORE(_xlpm.x,"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Jalin Conyers</v>
      </c>
    </row>
    <row r="322" spans="1:6" x14ac:dyDescent="0.25">
      <c r="A322">
        <v>125</v>
      </c>
      <c r="B322" t="s">
        <v>1351</v>
      </c>
      <c r="C322" t="s">
        <v>666</v>
      </c>
      <c r="D322">
        <v>126</v>
      </c>
      <c r="E322">
        <v>2025</v>
      </c>
      <c r="F322" t="str" cm="1">
        <f t="array" ref="F322">_xlfn.LET(_xlpm.x,TRIM(B322),_xlpm.base,IFERROR(_xlfn.TEXTBEFORE(_xlpm.x,"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Theo Wease Jr.</v>
      </c>
    </row>
    <row r="323" spans="1:6" x14ac:dyDescent="0.25">
      <c r="A323">
        <v>126</v>
      </c>
      <c r="B323" t="s">
        <v>1352</v>
      </c>
      <c r="C323" t="s">
        <v>667</v>
      </c>
      <c r="D323">
        <v>127</v>
      </c>
      <c r="E323">
        <v>2025</v>
      </c>
      <c r="F323" t="str" cm="1">
        <f t="array" ref="F323">_xlfn.LET(_xlpm.x,TRIM(B323),_xlpm.base,IFERROR(_xlfn.TEXTBEFORE(_xlpm.x,"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Quentin Skinner</v>
      </c>
    </row>
    <row r="324" spans="1:6" x14ac:dyDescent="0.25">
      <c r="A324">
        <v>127</v>
      </c>
      <c r="B324" t="s">
        <v>1353</v>
      </c>
      <c r="C324" t="s">
        <v>669</v>
      </c>
      <c r="D324">
        <v>128</v>
      </c>
      <c r="E324">
        <v>2025</v>
      </c>
      <c r="F324" t="str" cm="1">
        <f t="array" ref="F324">_xlfn.LET(_xlpm.x,TRIM(B324),_xlpm.base,IFERROR(_xlfn.TEXTBEFORE(_xlpm.x,"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Roc Taylor</v>
      </c>
    </row>
    <row r="325" spans="1:6" x14ac:dyDescent="0.25">
      <c r="A325">
        <v>128</v>
      </c>
      <c r="B325" t="s">
        <v>1308</v>
      </c>
      <c r="C325" t="s">
        <v>672</v>
      </c>
      <c r="D325">
        <v>130</v>
      </c>
      <c r="E325">
        <v>2025</v>
      </c>
      <c r="F325" t="str" cm="1">
        <f t="array" ref="F325">_xlfn.LET(_xlpm.x,TRIM(B325),_xlpm.base,IFERROR(_xlfn.TEXTBEFORE(_xlpm.x,"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Dymere Miller</v>
      </c>
    </row>
    <row r="326" spans="1:6" x14ac:dyDescent="0.25">
      <c r="A326">
        <v>129</v>
      </c>
      <c r="B326" t="s">
        <v>1354</v>
      </c>
      <c r="C326" t="s">
        <v>676</v>
      </c>
      <c r="D326">
        <v>131</v>
      </c>
      <c r="E326">
        <v>2025</v>
      </c>
      <c r="F326" t="str" cm="1">
        <f t="array" ref="F326">_xlfn.LET(_xlpm.x,TRIM(B326),_xlpm.base,IFERROR(_xlfn.TEXTBEFORE(_xlpm.x,"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Will Sheppard</v>
      </c>
    </row>
    <row r="327" spans="1:6" x14ac:dyDescent="0.25">
      <c r="A327">
        <v>130</v>
      </c>
      <c r="B327" t="s">
        <v>1355</v>
      </c>
      <c r="C327" t="s">
        <v>693</v>
      </c>
      <c r="D327">
        <v>132</v>
      </c>
      <c r="E327">
        <v>2025</v>
      </c>
      <c r="F327" t="str" cm="1">
        <f t="array" ref="F327">_xlfn.LET(_xlpm.x,TRIM(B327),_xlpm.base,IFERROR(_xlfn.TEXTBEFORE(_xlpm.x,"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Joshua Simon</v>
      </c>
    </row>
    <row r="328" spans="1:6" x14ac:dyDescent="0.25">
      <c r="A328">
        <v>131</v>
      </c>
      <c r="B328" t="s">
        <v>1356</v>
      </c>
      <c r="C328" t="s">
        <v>677</v>
      </c>
      <c r="D328">
        <v>133</v>
      </c>
      <c r="E328">
        <v>2025</v>
      </c>
      <c r="F328" t="str" cm="1">
        <f t="array" ref="F328">_xlfn.LET(_xlpm.x,TRIM(B328),_xlpm.base,IFERROR(_xlfn.TEXTBEFORE(_xlpm.x,"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Montorie Foster Jr.</v>
      </c>
    </row>
    <row r="329" spans="1:6" x14ac:dyDescent="0.25">
      <c r="A329">
        <v>132</v>
      </c>
      <c r="B329" t="s">
        <v>1357</v>
      </c>
      <c r="C329" t="s">
        <v>697</v>
      </c>
      <c r="D329">
        <v>135</v>
      </c>
      <c r="E329">
        <v>2025</v>
      </c>
      <c r="F329" t="str" cm="1">
        <f t="array" ref="F329">_xlfn.LET(_xlpm.x,TRIM(B329),_xlpm.base,IFERROR(_xlfn.TEXTBEFORE(_xlpm.x,"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Robbie Ouzts</v>
      </c>
    </row>
    <row r="330" spans="1:6" x14ac:dyDescent="0.25">
      <c r="A330">
        <v>133</v>
      </c>
      <c r="B330" t="s">
        <v>1309</v>
      </c>
      <c r="C330" t="s">
        <v>628</v>
      </c>
      <c r="D330">
        <v>137</v>
      </c>
      <c r="E330">
        <v>2025</v>
      </c>
      <c r="F330" t="str" cm="1">
        <f t="array" ref="F330">_xlfn.LET(_xlpm.x,TRIM(B330),_xlpm.base,IFERROR(_xlfn.TEXTBEFORE(_xlpm.x,"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ShunDerrick Powell</v>
      </c>
    </row>
    <row r="331" spans="1:6" x14ac:dyDescent="0.25">
      <c r="A331">
        <v>134</v>
      </c>
      <c r="B331" t="s">
        <v>1310</v>
      </c>
      <c r="C331" t="s">
        <v>683</v>
      </c>
      <c r="D331">
        <v>144</v>
      </c>
      <c r="E331">
        <v>2025</v>
      </c>
      <c r="F331" t="str" cm="1">
        <f t="array" ref="F331">_xlfn.LET(_xlpm.x,TRIM(B331),_xlpm.base,IFERROR(_xlfn.TEXTBEFORE(_xlpm.x,"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Phil Lutz</v>
      </c>
    </row>
    <row r="332" spans="1:6" x14ac:dyDescent="0.25">
      <c r="A332">
        <v>135</v>
      </c>
      <c r="B332" t="s">
        <v>1358</v>
      </c>
      <c r="C332" t="s">
        <v>615</v>
      </c>
      <c r="D332">
        <v>145</v>
      </c>
      <c r="E332">
        <v>2025</v>
      </c>
      <c r="F332" t="str" cm="1">
        <f t="array" ref="F332">_xlfn.LET(_xlpm.x,TRIM(B332),_xlpm.base,IFERROR(_xlfn.TEXTBEFORE(_xlpm.x,"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Graham Mertz</v>
      </c>
    </row>
    <row r="333" spans="1:6" x14ac:dyDescent="0.25">
      <c r="A333">
        <v>136</v>
      </c>
      <c r="B333" t="s">
        <v>1311</v>
      </c>
      <c r="C333" t="s">
        <v>687</v>
      </c>
      <c r="D333">
        <v>146</v>
      </c>
      <c r="E333">
        <v>2025</v>
      </c>
      <c r="F333" t="str" cm="1">
        <f t="array" ref="F333">_xlfn.LET(_xlpm.x,TRIM(B333),_xlpm.base,IFERROR(_xlfn.TEXTBEFORE(_xlpm.x,"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Tristan Michaud</v>
      </c>
    </row>
    <row r="334" spans="1:6" x14ac:dyDescent="0.25">
      <c r="A334">
        <v>137</v>
      </c>
      <c r="B334" t="s">
        <v>1312</v>
      </c>
      <c r="C334" t="s">
        <v>630</v>
      </c>
      <c r="D334">
        <v>147</v>
      </c>
      <c r="E334">
        <v>2025</v>
      </c>
      <c r="F334" t="str" cm="1">
        <f t="array" ref="F334">_xlfn.LET(_xlpm.x,TRIM(B334),_xlpm.base,IFERROR(_xlfn.TEXTBEFORE(_xlpm.x,"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Taylor Elgersma</v>
      </c>
    </row>
    <row r="335" spans="1:6" x14ac:dyDescent="0.25">
      <c r="A335">
        <v>138</v>
      </c>
      <c r="B335" t="s">
        <v>1313</v>
      </c>
      <c r="C335" t="s">
        <v>640</v>
      </c>
      <c r="D335">
        <v>148</v>
      </c>
      <c r="E335">
        <v>2025</v>
      </c>
      <c r="F335" t="str" cm="1">
        <f t="array" ref="F335">_xlfn.LET(_xlpm.x,TRIM(B335),_xlpm.base,IFERROR(_xlfn.TEXTBEFORE(_xlpm.x,"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Seth Henigan</v>
      </c>
    </row>
    <row r="336" spans="1:6" x14ac:dyDescent="0.25">
      <c r="A336">
        <v>139</v>
      </c>
      <c r="B336" t="s">
        <v>1359</v>
      </c>
      <c r="C336" t="s">
        <v>691</v>
      </c>
      <c r="D336">
        <v>150</v>
      </c>
      <c r="E336">
        <v>2025</v>
      </c>
      <c r="F336" t="str" cm="1">
        <f t="array" ref="F336">_xlfn.LET(_xlpm.x,TRIM(B336),_xlpm.base,IFERROR(_xlfn.TEXTBEFORE(_xlpm.x,"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Garrett Gree</v>
      </c>
    </row>
    <row r="337" spans="1:6" x14ac:dyDescent="0.25">
      <c r="A337">
        <v>140</v>
      </c>
      <c r="B337" t="s">
        <v>1314</v>
      </c>
      <c r="C337" t="s">
        <v>1315</v>
      </c>
      <c r="D337">
        <v>151</v>
      </c>
      <c r="E337">
        <v>2025</v>
      </c>
      <c r="F337" t="str" cm="1">
        <f t="array" ref="F337">_xlfn.LET(_xlpm.x,TRIM(B337),_xlpm.base,IFERROR(_xlfn.TEXTBEFORE(_xlpm.x,"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Donovan Smith</v>
      </c>
    </row>
    <row r="338" spans="1:6" x14ac:dyDescent="0.25">
      <c r="A338">
        <v>141</v>
      </c>
      <c r="B338" t="s">
        <v>1316</v>
      </c>
      <c r="C338" t="s">
        <v>629</v>
      </c>
      <c r="D338">
        <v>152</v>
      </c>
      <c r="E338">
        <v>2025</v>
      </c>
      <c r="F338" t="str" cm="1">
        <f t="array" ref="F338">_xlfn.LET(_xlpm.x,TRIM(B338),_xlpm.base,IFERROR(_xlfn.TEXTBEFORE(_xlpm.x,"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Nay'Quan Wright</v>
      </c>
    </row>
    <row r="339" spans="1:6" x14ac:dyDescent="0.25">
      <c r="A339">
        <v>142</v>
      </c>
      <c r="B339" t="s">
        <v>1360</v>
      </c>
      <c r="C339" t="s">
        <v>633</v>
      </c>
      <c r="D339">
        <v>153</v>
      </c>
      <c r="E339">
        <v>2025</v>
      </c>
      <c r="F339" t="str" cm="1">
        <f t="array" ref="F339">_xlfn.LET(_xlpm.x,TRIM(B339),_xlpm.base,IFERROR(_xlfn.TEXTBEFORE(_xlpm.x,"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Brock Lampe</v>
      </c>
    </row>
    <row r="340" spans="1:6" x14ac:dyDescent="0.25">
      <c r="A340">
        <v>143</v>
      </c>
      <c r="B340" t="s">
        <v>1361</v>
      </c>
      <c r="C340" t="s">
        <v>637</v>
      </c>
      <c r="D340">
        <v>157</v>
      </c>
      <c r="E340">
        <v>2025</v>
      </c>
      <c r="F340" t="str" cm="1">
        <f t="array" ref="F340">_xlfn.LET(_xlpm.x,TRIM(B340),_xlpm.base,IFERROR(_xlfn.TEXTBEFORE(_xlpm.x,"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Tre Stewart</v>
      </c>
    </row>
    <row r="341" spans="1:6" x14ac:dyDescent="0.25">
      <c r="A341">
        <v>144</v>
      </c>
      <c r="B341" t="s">
        <v>1317</v>
      </c>
      <c r="C341" t="s">
        <v>695</v>
      </c>
      <c r="D341">
        <v>159</v>
      </c>
      <c r="E341">
        <v>2025</v>
      </c>
      <c r="F341" t="str" cm="1">
        <f t="array" ref="F341">_xlfn.LET(_xlpm.x,TRIM(B341),_xlpm.base,IFERROR(_xlfn.TEXTBEFORE(_xlpm.x,"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Joey Hobert</v>
      </c>
    </row>
    <row r="342" spans="1:6" x14ac:dyDescent="0.25">
      <c r="A342">
        <v>145</v>
      </c>
      <c r="B342" t="s">
        <v>1318</v>
      </c>
      <c r="C342" t="s">
        <v>698</v>
      </c>
      <c r="D342">
        <v>160</v>
      </c>
      <c r="E342">
        <v>2025</v>
      </c>
      <c r="F342" t="str" cm="1">
        <f t="array" ref="F342">_xlfn.LET(_xlpm.x,TRIM(B342),_xlpm.base,IFERROR(_xlfn.TEXTBEFORE(_xlpm.x,"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Benjamin Yurosek</v>
      </c>
    </row>
    <row r="343" spans="1:6" x14ac:dyDescent="0.25">
      <c r="A343">
        <v>146</v>
      </c>
      <c r="B343" t="s">
        <v>1362</v>
      </c>
      <c r="C343" t="s">
        <v>710</v>
      </c>
      <c r="D343">
        <v>161</v>
      </c>
      <c r="E343">
        <v>2025</v>
      </c>
      <c r="F343" t="str" cm="1">
        <f t="array" ref="F343">_xlfn.LET(_xlpm.x,TRIM(B343),_xlpm.base,IFERROR(_xlfn.TEXTBEFORE(_xlpm.x,"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Nick Kallerup</v>
      </c>
    </row>
    <row r="344" spans="1:6" x14ac:dyDescent="0.25">
      <c r="A344">
        <v>147</v>
      </c>
      <c r="B344" t="s">
        <v>1363</v>
      </c>
      <c r="C344" t="s">
        <v>715</v>
      </c>
      <c r="D344">
        <v>162</v>
      </c>
      <c r="E344">
        <v>2025</v>
      </c>
      <c r="F344" t="str" cm="1">
        <f t="array" ref="F344">_xlfn.LET(_xlpm.x,TRIM(B344),_xlpm.base,IFERROR(_xlfn.TEXTBEFORE(_xlpm.x,"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Carter Runyon</v>
      </c>
    </row>
    <row r="345" spans="1:6" x14ac:dyDescent="0.25">
      <c r="A345">
        <v>148</v>
      </c>
      <c r="B345" t="s">
        <v>1364</v>
      </c>
      <c r="C345" t="s">
        <v>641</v>
      </c>
      <c r="D345">
        <v>165</v>
      </c>
      <c r="E345">
        <v>2025</v>
      </c>
      <c r="F345" t="str" cm="1">
        <f t="array" ref="F345">_xlfn.LET(_xlpm.x,TRIM(B345),_xlpm.base,IFERROR(_xlfn.TEXTBEFORE(_xlpm.x,"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Kurtis Rourke</v>
      </c>
    </row>
    <row r="346" spans="1:6" x14ac:dyDescent="0.25">
      <c r="A346">
        <v>149</v>
      </c>
      <c r="B346" t="s">
        <v>1255</v>
      </c>
      <c r="C346" t="s">
        <v>644</v>
      </c>
      <c r="D346">
        <v>166</v>
      </c>
      <c r="E346">
        <v>2025</v>
      </c>
      <c r="F346" t="str" cm="1">
        <f t="array" ref="F346">_xlfn.LET(_xlpm.x,TRIM(B346),_xlpm.base,IFERROR(_xlfn.TEXTBEFORE(_xlpm.x,"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Max Brosmer</v>
      </c>
    </row>
    <row r="347" spans="1:6" x14ac:dyDescent="0.25">
      <c r="A347">
        <v>150</v>
      </c>
      <c r="B347" t="s">
        <v>1365</v>
      </c>
      <c r="C347" t="s">
        <v>638</v>
      </c>
      <c r="D347">
        <v>168</v>
      </c>
      <c r="E347">
        <v>2025</v>
      </c>
      <c r="F347" t="str" cm="1">
        <f t="array" ref="F347">_xlfn.LET(_xlpm.x,TRIM(B347),_xlpm.base,IFERROR(_xlfn.TEXTBEFORE(_xlpm.x,"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Josh Williams</v>
      </c>
    </row>
    <row r="348" spans="1:6" x14ac:dyDescent="0.25">
      <c r="A348">
        <v>151</v>
      </c>
      <c r="B348" t="s">
        <v>1366</v>
      </c>
      <c r="C348" t="s">
        <v>708</v>
      </c>
      <c r="D348">
        <v>170</v>
      </c>
      <c r="E348">
        <v>2025</v>
      </c>
      <c r="F348" t="str" cm="1">
        <f t="array" ref="F348">_xlfn.LET(_xlpm.x,TRIM(B348),_xlpm.base,IFERROR(_xlfn.TEXTBEFORE(_xlpm.x,"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Silas Bol</v>
      </c>
    </row>
    <row r="349" spans="1:6" x14ac:dyDescent="0.25">
      <c r="A349">
        <v>152</v>
      </c>
      <c r="B349" t="s">
        <v>1319</v>
      </c>
      <c r="C349" t="s">
        <v>719</v>
      </c>
      <c r="D349">
        <v>172</v>
      </c>
      <c r="E349">
        <v>2025</v>
      </c>
      <c r="F349" t="str" cm="1">
        <f t="array" ref="F349">_xlfn.LET(_xlpm.x,TRIM(B349),_xlpm.base,IFERROR(_xlfn.TEXTBEFORE(_xlpm.x,"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Brant Kuithe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A9AE2-0244-4EE5-AF08-F8CD2B46959A}">
  <sheetPr filterMode="1"/>
  <dimension ref="A1:F510"/>
  <sheetViews>
    <sheetView workbookViewId="0">
      <selection activeCell="B1" sqref="B1"/>
    </sheetView>
  </sheetViews>
  <sheetFormatPr defaultRowHeight="15" x14ac:dyDescent="0.25"/>
  <cols>
    <col min="2" max="2" width="17" customWidth="1"/>
  </cols>
  <sheetData>
    <row r="1" spans="1:6" x14ac:dyDescent="0.25">
      <c r="A1" t="s">
        <v>521</v>
      </c>
      <c r="B1" t="s">
        <v>522</v>
      </c>
      <c r="C1" t="s">
        <v>523</v>
      </c>
      <c r="D1" t="s">
        <v>931</v>
      </c>
      <c r="E1" t="s">
        <v>523</v>
      </c>
      <c r="F1" t="s">
        <v>928</v>
      </c>
    </row>
    <row r="2" spans="1:6" hidden="1" x14ac:dyDescent="0.25">
      <c r="A2">
        <v>1</v>
      </c>
      <c r="B2" t="s">
        <v>224</v>
      </c>
      <c r="C2" t="s">
        <v>524</v>
      </c>
      <c r="D2">
        <v>1</v>
      </c>
      <c r="E2" t="str">
        <f>LEFT(C2,2)</f>
        <v>RB</v>
      </c>
      <c r="F2">
        <f>VALUE(MID(C2,3,LEN(C2)))</f>
        <v>1</v>
      </c>
    </row>
    <row r="3" spans="1:6" hidden="1" x14ac:dyDescent="0.25">
      <c r="A3">
        <v>2</v>
      </c>
      <c r="B3" t="s">
        <v>221</v>
      </c>
      <c r="C3" t="s">
        <v>531</v>
      </c>
      <c r="D3">
        <v>2</v>
      </c>
      <c r="E3" t="str">
        <f t="shared" ref="E3:E66" si="0">LEFT(C3,2)</f>
        <v>RB</v>
      </c>
      <c r="F3">
        <f t="shared" ref="F3:F66" si="1">VALUE(MID(C3,3,LEN(C3)))</f>
        <v>2</v>
      </c>
    </row>
    <row r="4" spans="1:6" hidden="1" x14ac:dyDescent="0.25">
      <c r="A4">
        <v>3</v>
      </c>
      <c r="B4" t="s">
        <v>120</v>
      </c>
      <c r="C4" t="s">
        <v>525</v>
      </c>
      <c r="D4">
        <v>3</v>
      </c>
      <c r="E4" t="str">
        <f t="shared" si="0"/>
        <v>WR</v>
      </c>
      <c r="F4">
        <f t="shared" si="1"/>
        <v>1</v>
      </c>
    </row>
    <row r="5" spans="1:6" hidden="1" x14ac:dyDescent="0.25">
      <c r="A5">
        <v>4</v>
      </c>
      <c r="B5" t="s">
        <v>152</v>
      </c>
      <c r="C5" t="s">
        <v>527</v>
      </c>
      <c r="D5">
        <v>4</v>
      </c>
      <c r="E5" t="str">
        <f t="shared" si="0"/>
        <v>WR</v>
      </c>
      <c r="F5">
        <f t="shared" si="1"/>
        <v>2</v>
      </c>
    </row>
    <row r="6" spans="1:6" hidden="1" x14ac:dyDescent="0.25">
      <c r="A6">
        <v>5</v>
      </c>
      <c r="B6" t="s">
        <v>321</v>
      </c>
      <c r="C6" t="s">
        <v>540</v>
      </c>
      <c r="D6">
        <v>5</v>
      </c>
      <c r="E6" t="str">
        <f t="shared" si="0"/>
        <v>RB</v>
      </c>
      <c r="F6">
        <f t="shared" si="1"/>
        <v>3</v>
      </c>
    </row>
    <row r="7" spans="1:6" hidden="1" x14ac:dyDescent="0.25">
      <c r="A7">
        <v>6</v>
      </c>
      <c r="B7" t="s">
        <v>103</v>
      </c>
      <c r="C7" t="s">
        <v>528</v>
      </c>
      <c r="D7">
        <v>6</v>
      </c>
      <c r="E7" t="str">
        <f t="shared" si="0"/>
        <v>WR</v>
      </c>
      <c r="F7">
        <f t="shared" si="1"/>
        <v>3</v>
      </c>
    </row>
    <row r="8" spans="1:6" hidden="1" x14ac:dyDescent="0.25">
      <c r="A8">
        <v>7</v>
      </c>
      <c r="B8" t="s">
        <v>500</v>
      </c>
      <c r="C8" t="s">
        <v>544</v>
      </c>
      <c r="D8">
        <v>7</v>
      </c>
      <c r="E8" t="str">
        <f t="shared" si="0"/>
        <v>RB</v>
      </c>
      <c r="F8">
        <f t="shared" si="1"/>
        <v>4</v>
      </c>
    </row>
    <row r="9" spans="1:6" hidden="1" x14ac:dyDescent="0.25">
      <c r="A9">
        <v>8</v>
      </c>
      <c r="B9" t="s">
        <v>323</v>
      </c>
      <c r="C9" t="s">
        <v>545</v>
      </c>
      <c r="D9">
        <v>8</v>
      </c>
      <c r="E9" t="str">
        <f t="shared" si="0"/>
        <v>RB</v>
      </c>
      <c r="F9">
        <f t="shared" si="1"/>
        <v>5</v>
      </c>
    </row>
    <row r="10" spans="1:6" hidden="1" x14ac:dyDescent="0.25">
      <c r="A10">
        <v>9</v>
      </c>
      <c r="B10" t="s">
        <v>228</v>
      </c>
      <c r="C10" t="s">
        <v>547</v>
      </c>
      <c r="D10">
        <v>9</v>
      </c>
      <c r="E10" t="str">
        <f t="shared" si="0"/>
        <v>RB</v>
      </c>
      <c r="F10">
        <f t="shared" si="1"/>
        <v>6</v>
      </c>
    </row>
    <row r="11" spans="1:6" hidden="1" x14ac:dyDescent="0.25">
      <c r="A11">
        <v>10</v>
      </c>
      <c r="B11" t="s">
        <v>116</v>
      </c>
      <c r="C11" t="s">
        <v>529</v>
      </c>
      <c r="D11">
        <v>10</v>
      </c>
      <c r="E11" t="str">
        <f t="shared" si="0"/>
        <v>WR</v>
      </c>
      <c r="F11">
        <f t="shared" si="1"/>
        <v>4</v>
      </c>
    </row>
    <row r="12" spans="1:6" hidden="1" x14ac:dyDescent="0.25">
      <c r="A12">
        <v>11</v>
      </c>
      <c r="B12" t="s">
        <v>108</v>
      </c>
      <c r="C12" t="s">
        <v>530</v>
      </c>
      <c r="D12">
        <v>11</v>
      </c>
      <c r="E12" t="str">
        <f t="shared" si="0"/>
        <v>WR</v>
      </c>
      <c r="F12">
        <f t="shared" si="1"/>
        <v>5</v>
      </c>
    </row>
    <row r="13" spans="1:6" hidden="1" x14ac:dyDescent="0.25">
      <c r="A13">
        <v>12</v>
      </c>
      <c r="B13" t="s">
        <v>389</v>
      </c>
      <c r="C13" t="s">
        <v>550</v>
      </c>
      <c r="D13">
        <v>12</v>
      </c>
      <c r="E13" t="str">
        <f t="shared" si="0"/>
        <v>RB</v>
      </c>
      <c r="F13">
        <f t="shared" si="1"/>
        <v>7</v>
      </c>
    </row>
    <row r="14" spans="1:6" hidden="1" x14ac:dyDescent="0.25">
      <c r="A14">
        <v>13</v>
      </c>
      <c r="B14" t="s">
        <v>25</v>
      </c>
      <c r="C14" t="s">
        <v>526</v>
      </c>
      <c r="D14">
        <v>13</v>
      </c>
      <c r="E14" t="str">
        <f t="shared" si="0"/>
        <v>TE</v>
      </c>
      <c r="F14">
        <f t="shared" si="1"/>
        <v>1</v>
      </c>
    </row>
    <row r="15" spans="1:6" hidden="1" x14ac:dyDescent="0.25">
      <c r="A15">
        <v>14</v>
      </c>
      <c r="B15" t="s">
        <v>235</v>
      </c>
      <c r="C15" t="s">
        <v>552</v>
      </c>
      <c r="D15">
        <v>14</v>
      </c>
      <c r="E15" t="str">
        <f t="shared" si="0"/>
        <v>RB</v>
      </c>
      <c r="F15">
        <f t="shared" si="1"/>
        <v>8</v>
      </c>
    </row>
    <row r="16" spans="1:6" hidden="1" x14ac:dyDescent="0.25">
      <c r="A16">
        <v>15</v>
      </c>
      <c r="B16" t="s">
        <v>234</v>
      </c>
      <c r="C16" t="s">
        <v>553</v>
      </c>
      <c r="D16">
        <v>15</v>
      </c>
      <c r="E16" t="str">
        <f t="shared" si="0"/>
        <v>RB</v>
      </c>
      <c r="F16">
        <f t="shared" si="1"/>
        <v>9</v>
      </c>
    </row>
    <row r="17" spans="1:6" hidden="1" x14ac:dyDescent="0.25">
      <c r="A17">
        <v>16</v>
      </c>
      <c r="B17" t="s">
        <v>266</v>
      </c>
      <c r="C17" t="s">
        <v>554</v>
      </c>
      <c r="D17">
        <v>16</v>
      </c>
      <c r="E17" t="str">
        <f t="shared" si="0"/>
        <v>RB</v>
      </c>
      <c r="F17">
        <f t="shared" si="1"/>
        <v>10</v>
      </c>
    </row>
    <row r="18" spans="1:6" hidden="1" x14ac:dyDescent="0.25">
      <c r="A18">
        <v>17</v>
      </c>
      <c r="B18" t="s">
        <v>121</v>
      </c>
      <c r="C18" t="s">
        <v>535</v>
      </c>
      <c r="D18">
        <v>17</v>
      </c>
      <c r="E18" t="str">
        <f t="shared" si="0"/>
        <v>WR</v>
      </c>
      <c r="F18">
        <f t="shared" si="1"/>
        <v>6</v>
      </c>
    </row>
    <row r="19" spans="1:6" hidden="1" x14ac:dyDescent="0.25">
      <c r="A19">
        <v>18</v>
      </c>
      <c r="B19" t="s">
        <v>232</v>
      </c>
      <c r="C19" t="s">
        <v>563</v>
      </c>
      <c r="D19">
        <v>18</v>
      </c>
      <c r="E19" t="str">
        <f t="shared" si="0"/>
        <v>RB</v>
      </c>
      <c r="F19">
        <f t="shared" si="1"/>
        <v>11</v>
      </c>
    </row>
    <row r="20" spans="1:6" hidden="1" x14ac:dyDescent="0.25">
      <c r="A20">
        <v>19</v>
      </c>
      <c r="B20" t="s">
        <v>1476</v>
      </c>
      <c r="C20" t="s">
        <v>536</v>
      </c>
      <c r="D20">
        <v>19</v>
      </c>
      <c r="E20" t="str">
        <f t="shared" si="0"/>
        <v>WR</v>
      </c>
      <c r="F20">
        <f t="shared" si="1"/>
        <v>7</v>
      </c>
    </row>
    <row r="21" spans="1:6" hidden="1" x14ac:dyDescent="0.25">
      <c r="A21">
        <v>20</v>
      </c>
      <c r="B21" t="s">
        <v>261</v>
      </c>
      <c r="C21" t="s">
        <v>565</v>
      </c>
      <c r="D21">
        <v>20</v>
      </c>
      <c r="E21" t="str">
        <f t="shared" si="0"/>
        <v>RB</v>
      </c>
      <c r="F21">
        <f t="shared" si="1"/>
        <v>12</v>
      </c>
    </row>
    <row r="22" spans="1:6" hidden="1" x14ac:dyDescent="0.25">
      <c r="A22">
        <v>21</v>
      </c>
      <c r="B22" t="s">
        <v>204</v>
      </c>
      <c r="C22" t="s">
        <v>538</v>
      </c>
      <c r="D22">
        <v>21</v>
      </c>
      <c r="E22" t="str">
        <f t="shared" si="0"/>
        <v>WR</v>
      </c>
      <c r="F22">
        <f t="shared" si="1"/>
        <v>8</v>
      </c>
    </row>
    <row r="23" spans="1:6" hidden="1" x14ac:dyDescent="0.25">
      <c r="A23">
        <v>22</v>
      </c>
      <c r="B23" t="s">
        <v>52</v>
      </c>
      <c r="C23" t="s">
        <v>542</v>
      </c>
      <c r="D23">
        <v>22</v>
      </c>
      <c r="E23" t="str">
        <f t="shared" si="0"/>
        <v>TE</v>
      </c>
      <c r="F23">
        <f t="shared" si="1"/>
        <v>2</v>
      </c>
    </row>
    <row r="24" spans="1:6" hidden="1" x14ac:dyDescent="0.25">
      <c r="A24">
        <v>23</v>
      </c>
      <c r="B24" t="s">
        <v>701</v>
      </c>
      <c r="C24" t="s">
        <v>568</v>
      </c>
      <c r="D24">
        <v>23</v>
      </c>
      <c r="E24" t="str">
        <f t="shared" si="0"/>
        <v>RB</v>
      </c>
      <c r="F24">
        <f t="shared" si="1"/>
        <v>13</v>
      </c>
    </row>
    <row r="25" spans="1:6" hidden="1" x14ac:dyDescent="0.25">
      <c r="A25">
        <v>24</v>
      </c>
      <c r="B25" t="s">
        <v>332</v>
      </c>
      <c r="C25" t="s">
        <v>532</v>
      </c>
      <c r="D25">
        <v>24</v>
      </c>
      <c r="E25" t="str">
        <f t="shared" si="0"/>
        <v>QB</v>
      </c>
      <c r="F25">
        <f t="shared" si="1"/>
        <v>1</v>
      </c>
    </row>
    <row r="26" spans="1:6" hidden="1" x14ac:dyDescent="0.25">
      <c r="A26">
        <v>25</v>
      </c>
      <c r="B26" t="s">
        <v>274</v>
      </c>
      <c r="C26" t="s">
        <v>569</v>
      </c>
      <c r="D26">
        <v>25</v>
      </c>
      <c r="E26" t="str">
        <f t="shared" si="0"/>
        <v>RB</v>
      </c>
      <c r="F26">
        <f t="shared" si="1"/>
        <v>14</v>
      </c>
    </row>
    <row r="27" spans="1:6" hidden="1" x14ac:dyDescent="0.25">
      <c r="A27">
        <v>26</v>
      </c>
      <c r="B27" t="s">
        <v>174</v>
      </c>
      <c r="C27" t="s">
        <v>539</v>
      </c>
      <c r="D27">
        <v>26</v>
      </c>
      <c r="E27" t="str">
        <f t="shared" si="0"/>
        <v>WR</v>
      </c>
      <c r="F27">
        <f t="shared" si="1"/>
        <v>9</v>
      </c>
    </row>
    <row r="28" spans="1:6" hidden="1" x14ac:dyDescent="0.25">
      <c r="A28">
        <v>27</v>
      </c>
      <c r="B28" t="s">
        <v>110</v>
      </c>
      <c r="C28" t="s">
        <v>541</v>
      </c>
      <c r="D28">
        <v>27</v>
      </c>
      <c r="E28" t="str">
        <f t="shared" si="0"/>
        <v>WR</v>
      </c>
      <c r="F28">
        <f t="shared" si="1"/>
        <v>10</v>
      </c>
    </row>
    <row r="29" spans="1:6" hidden="1" x14ac:dyDescent="0.25">
      <c r="A29">
        <v>28</v>
      </c>
      <c r="B29" t="s">
        <v>23</v>
      </c>
      <c r="C29" t="s">
        <v>546</v>
      </c>
      <c r="D29">
        <v>28</v>
      </c>
      <c r="E29" t="str">
        <f t="shared" si="0"/>
        <v>TE</v>
      </c>
      <c r="F29">
        <f t="shared" si="1"/>
        <v>3</v>
      </c>
    </row>
    <row r="30" spans="1:6" hidden="1" x14ac:dyDescent="0.25">
      <c r="A30">
        <v>29</v>
      </c>
      <c r="B30" t="s">
        <v>117</v>
      </c>
      <c r="C30" t="s">
        <v>543</v>
      </c>
      <c r="D30">
        <v>29</v>
      </c>
      <c r="E30" t="str">
        <f t="shared" si="0"/>
        <v>WR</v>
      </c>
      <c r="F30">
        <f t="shared" si="1"/>
        <v>11</v>
      </c>
    </row>
    <row r="31" spans="1:6" hidden="1" x14ac:dyDescent="0.25">
      <c r="A31">
        <v>30</v>
      </c>
      <c r="B31" t="s">
        <v>114</v>
      </c>
      <c r="C31" t="s">
        <v>548</v>
      </c>
      <c r="D31">
        <v>30</v>
      </c>
      <c r="E31" t="str">
        <f t="shared" si="0"/>
        <v>WR</v>
      </c>
      <c r="F31">
        <f t="shared" si="1"/>
        <v>12</v>
      </c>
    </row>
    <row r="32" spans="1:6" hidden="1" x14ac:dyDescent="0.25">
      <c r="A32">
        <v>31</v>
      </c>
      <c r="B32" t="s">
        <v>128</v>
      </c>
      <c r="C32" t="s">
        <v>549</v>
      </c>
      <c r="D32">
        <v>31</v>
      </c>
      <c r="E32" t="str">
        <f t="shared" si="0"/>
        <v>WR</v>
      </c>
      <c r="F32">
        <f t="shared" si="1"/>
        <v>13</v>
      </c>
    </row>
    <row r="33" spans="1:6" hidden="1" x14ac:dyDescent="0.25">
      <c r="A33">
        <v>32</v>
      </c>
      <c r="B33" t="s">
        <v>299</v>
      </c>
      <c r="C33" t="s">
        <v>571</v>
      </c>
      <c r="D33">
        <v>32</v>
      </c>
      <c r="E33" t="str">
        <f t="shared" si="0"/>
        <v>RB</v>
      </c>
      <c r="F33">
        <f t="shared" si="1"/>
        <v>15</v>
      </c>
    </row>
    <row r="34" spans="1:6" hidden="1" x14ac:dyDescent="0.25">
      <c r="A34">
        <v>33</v>
      </c>
      <c r="B34" t="s">
        <v>134</v>
      </c>
      <c r="C34" t="s">
        <v>555</v>
      </c>
      <c r="D34">
        <v>33</v>
      </c>
      <c r="E34" t="str">
        <f t="shared" si="0"/>
        <v>WR</v>
      </c>
      <c r="F34">
        <f t="shared" si="1"/>
        <v>14</v>
      </c>
    </row>
    <row r="35" spans="1:6" hidden="1" x14ac:dyDescent="0.25">
      <c r="A35">
        <v>34</v>
      </c>
      <c r="B35" t="s">
        <v>428</v>
      </c>
      <c r="C35" t="s">
        <v>556</v>
      </c>
      <c r="D35">
        <v>34</v>
      </c>
      <c r="E35" t="str">
        <f t="shared" si="0"/>
        <v>WR</v>
      </c>
      <c r="F35">
        <f t="shared" si="1"/>
        <v>15</v>
      </c>
    </row>
    <row r="36" spans="1:6" hidden="1" x14ac:dyDescent="0.25">
      <c r="A36">
        <v>35</v>
      </c>
      <c r="B36" t="s">
        <v>1477</v>
      </c>
      <c r="C36" t="s">
        <v>575</v>
      </c>
      <c r="D36">
        <v>35</v>
      </c>
      <c r="E36" t="str">
        <f t="shared" si="0"/>
        <v>RB</v>
      </c>
      <c r="F36">
        <f t="shared" si="1"/>
        <v>16</v>
      </c>
    </row>
    <row r="37" spans="1:6" hidden="1" x14ac:dyDescent="0.25">
      <c r="A37">
        <v>36</v>
      </c>
      <c r="B37" t="s">
        <v>341</v>
      </c>
      <c r="C37" t="s">
        <v>533</v>
      </c>
      <c r="D37">
        <v>36</v>
      </c>
      <c r="E37" t="str">
        <f t="shared" si="0"/>
        <v>QB</v>
      </c>
      <c r="F37">
        <f t="shared" si="1"/>
        <v>2</v>
      </c>
    </row>
    <row r="38" spans="1:6" hidden="1" x14ac:dyDescent="0.25">
      <c r="A38">
        <v>37</v>
      </c>
      <c r="B38" t="s">
        <v>112</v>
      </c>
      <c r="C38" t="s">
        <v>557</v>
      </c>
      <c r="D38">
        <v>37</v>
      </c>
      <c r="E38" t="str">
        <f t="shared" si="0"/>
        <v>WR</v>
      </c>
      <c r="F38">
        <f t="shared" si="1"/>
        <v>16</v>
      </c>
    </row>
    <row r="39" spans="1:6" hidden="1" x14ac:dyDescent="0.25">
      <c r="A39">
        <v>38</v>
      </c>
      <c r="B39" t="s">
        <v>396</v>
      </c>
      <c r="C39" t="s">
        <v>576</v>
      </c>
      <c r="D39">
        <v>38</v>
      </c>
      <c r="E39" t="str">
        <f t="shared" si="0"/>
        <v>RB</v>
      </c>
      <c r="F39">
        <f t="shared" si="1"/>
        <v>17</v>
      </c>
    </row>
    <row r="40" spans="1:6" hidden="1" x14ac:dyDescent="0.25">
      <c r="A40">
        <v>39</v>
      </c>
      <c r="B40" t="s">
        <v>1478</v>
      </c>
      <c r="C40" t="s">
        <v>534</v>
      </c>
      <c r="D40">
        <v>39</v>
      </c>
      <c r="E40" t="str">
        <f t="shared" si="0"/>
        <v>QB</v>
      </c>
      <c r="F40">
        <f t="shared" si="1"/>
        <v>3</v>
      </c>
    </row>
    <row r="41" spans="1:6" hidden="1" x14ac:dyDescent="0.25">
      <c r="A41">
        <v>40</v>
      </c>
      <c r="B41" t="s">
        <v>123</v>
      </c>
      <c r="C41" t="s">
        <v>558</v>
      </c>
      <c r="D41">
        <v>40</v>
      </c>
      <c r="E41" t="str">
        <f t="shared" si="0"/>
        <v>WR</v>
      </c>
      <c r="F41">
        <f t="shared" si="1"/>
        <v>17</v>
      </c>
    </row>
    <row r="42" spans="1:6" hidden="1" x14ac:dyDescent="0.25">
      <c r="A42">
        <v>41</v>
      </c>
      <c r="B42" t="s">
        <v>155</v>
      </c>
      <c r="C42" t="s">
        <v>560</v>
      </c>
      <c r="D42">
        <v>41</v>
      </c>
      <c r="E42" t="str">
        <f t="shared" si="0"/>
        <v>WR</v>
      </c>
      <c r="F42">
        <f t="shared" si="1"/>
        <v>18</v>
      </c>
    </row>
    <row r="43" spans="1:6" hidden="1" x14ac:dyDescent="0.25">
      <c r="A43">
        <v>42</v>
      </c>
      <c r="B43" t="s">
        <v>429</v>
      </c>
      <c r="C43" t="s">
        <v>562</v>
      </c>
      <c r="D43">
        <v>42</v>
      </c>
      <c r="E43" t="str">
        <f t="shared" si="0"/>
        <v>WR</v>
      </c>
      <c r="F43">
        <f t="shared" si="1"/>
        <v>19</v>
      </c>
    </row>
    <row r="44" spans="1:6" hidden="1" x14ac:dyDescent="0.25">
      <c r="A44">
        <v>43</v>
      </c>
      <c r="B44" t="s">
        <v>351</v>
      </c>
      <c r="C44" t="s">
        <v>537</v>
      </c>
      <c r="D44">
        <v>43</v>
      </c>
      <c r="E44" t="str">
        <f t="shared" si="0"/>
        <v>QB</v>
      </c>
      <c r="F44">
        <f t="shared" si="1"/>
        <v>4</v>
      </c>
    </row>
    <row r="45" spans="1:6" hidden="1" x14ac:dyDescent="0.25">
      <c r="A45">
        <v>44</v>
      </c>
      <c r="B45" t="s">
        <v>418</v>
      </c>
      <c r="C45" t="s">
        <v>566</v>
      </c>
      <c r="D45">
        <v>44</v>
      </c>
      <c r="E45" t="str">
        <f t="shared" si="0"/>
        <v>WR</v>
      </c>
      <c r="F45">
        <f t="shared" si="1"/>
        <v>20</v>
      </c>
    </row>
    <row r="46" spans="1:6" hidden="1" x14ac:dyDescent="0.25">
      <c r="A46">
        <v>45</v>
      </c>
      <c r="B46" t="s">
        <v>239</v>
      </c>
      <c r="C46" t="s">
        <v>579</v>
      </c>
      <c r="D46">
        <v>45</v>
      </c>
      <c r="E46" t="str">
        <f t="shared" si="0"/>
        <v>RB</v>
      </c>
      <c r="F46">
        <f t="shared" si="1"/>
        <v>18</v>
      </c>
    </row>
    <row r="47" spans="1:6" hidden="1" x14ac:dyDescent="0.25">
      <c r="A47">
        <v>46</v>
      </c>
      <c r="B47" t="s">
        <v>1479</v>
      </c>
      <c r="C47" t="s">
        <v>567</v>
      </c>
      <c r="D47">
        <v>46</v>
      </c>
      <c r="E47" t="str">
        <f t="shared" si="0"/>
        <v>WR</v>
      </c>
      <c r="F47">
        <f t="shared" si="1"/>
        <v>21</v>
      </c>
    </row>
    <row r="48" spans="1:6" hidden="1" x14ac:dyDescent="0.25">
      <c r="A48">
        <v>47</v>
      </c>
      <c r="B48" t="s">
        <v>142</v>
      </c>
      <c r="C48" t="s">
        <v>570</v>
      </c>
      <c r="D48">
        <v>47</v>
      </c>
      <c r="E48" t="str">
        <f t="shared" si="0"/>
        <v>WR</v>
      </c>
      <c r="F48">
        <f t="shared" si="1"/>
        <v>22</v>
      </c>
    </row>
    <row r="49" spans="1:6" hidden="1" x14ac:dyDescent="0.25">
      <c r="A49">
        <v>48</v>
      </c>
      <c r="B49" t="s">
        <v>46</v>
      </c>
      <c r="C49" t="s">
        <v>551</v>
      </c>
      <c r="D49">
        <v>48</v>
      </c>
      <c r="E49" t="str">
        <f t="shared" si="0"/>
        <v>TE</v>
      </c>
      <c r="F49">
        <f t="shared" si="1"/>
        <v>4</v>
      </c>
    </row>
    <row r="50" spans="1:6" hidden="1" x14ac:dyDescent="0.25">
      <c r="A50">
        <v>49</v>
      </c>
      <c r="B50" t="s">
        <v>102</v>
      </c>
      <c r="C50" t="s">
        <v>573</v>
      </c>
      <c r="D50">
        <v>49</v>
      </c>
      <c r="E50" t="str">
        <f t="shared" si="0"/>
        <v>WR</v>
      </c>
      <c r="F50">
        <f t="shared" si="1"/>
        <v>23</v>
      </c>
    </row>
    <row r="51" spans="1:6" hidden="1" x14ac:dyDescent="0.25">
      <c r="A51">
        <v>50</v>
      </c>
      <c r="B51" t="s">
        <v>392</v>
      </c>
      <c r="C51" t="s">
        <v>582</v>
      </c>
      <c r="D51">
        <v>50</v>
      </c>
      <c r="E51" t="str">
        <f t="shared" si="0"/>
        <v>RB</v>
      </c>
      <c r="F51">
        <f t="shared" si="1"/>
        <v>19</v>
      </c>
    </row>
    <row r="52" spans="1:6" hidden="1" x14ac:dyDescent="0.25">
      <c r="A52">
        <v>51</v>
      </c>
      <c r="B52" t="s">
        <v>247</v>
      </c>
      <c r="C52" t="s">
        <v>586</v>
      </c>
      <c r="D52">
        <v>51</v>
      </c>
      <c r="E52" t="str">
        <f t="shared" si="0"/>
        <v>RB</v>
      </c>
      <c r="F52">
        <f t="shared" si="1"/>
        <v>20</v>
      </c>
    </row>
    <row r="53" spans="1:6" hidden="1" x14ac:dyDescent="0.25">
      <c r="A53">
        <v>52</v>
      </c>
      <c r="B53" t="s">
        <v>340</v>
      </c>
      <c r="C53" t="s">
        <v>559</v>
      </c>
      <c r="D53">
        <v>52</v>
      </c>
      <c r="E53" t="str">
        <f t="shared" si="0"/>
        <v>QB</v>
      </c>
      <c r="F53">
        <f t="shared" si="1"/>
        <v>5</v>
      </c>
    </row>
    <row r="54" spans="1:6" hidden="1" x14ac:dyDescent="0.25">
      <c r="A54">
        <v>53</v>
      </c>
      <c r="B54" t="s">
        <v>206</v>
      </c>
      <c r="C54" t="s">
        <v>574</v>
      </c>
      <c r="D54">
        <v>53</v>
      </c>
      <c r="E54" t="str">
        <f t="shared" si="0"/>
        <v>WR</v>
      </c>
      <c r="F54">
        <f t="shared" si="1"/>
        <v>24</v>
      </c>
    </row>
    <row r="55" spans="1:6" hidden="1" x14ac:dyDescent="0.25">
      <c r="A55">
        <v>54</v>
      </c>
      <c r="B55" t="s">
        <v>83</v>
      </c>
      <c r="C55" t="s">
        <v>564</v>
      </c>
      <c r="D55">
        <v>54</v>
      </c>
      <c r="E55" t="str">
        <f t="shared" si="0"/>
        <v>TE</v>
      </c>
      <c r="F55">
        <f t="shared" si="1"/>
        <v>5</v>
      </c>
    </row>
    <row r="56" spans="1:6" hidden="1" x14ac:dyDescent="0.25">
      <c r="A56">
        <v>55</v>
      </c>
      <c r="B56" t="s">
        <v>185</v>
      </c>
      <c r="C56" t="s">
        <v>578</v>
      </c>
      <c r="D56">
        <v>55</v>
      </c>
      <c r="E56" t="str">
        <f t="shared" si="0"/>
        <v>WR</v>
      </c>
      <c r="F56">
        <f t="shared" si="1"/>
        <v>25</v>
      </c>
    </row>
    <row r="57" spans="1:6" hidden="1" x14ac:dyDescent="0.25">
      <c r="A57">
        <v>56</v>
      </c>
      <c r="B57" t="s">
        <v>125</v>
      </c>
      <c r="C57" t="s">
        <v>580</v>
      </c>
      <c r="D57">
        <v>56</v>
      </c>
      <c r="E57" t="str">
        <f t="shared" si="0"/>
        <v>WR</v>
      </c>
      <c r="F57">
        <f t="shared" si="1"/>
        <v>26</v>
      </c>
    </row>
    <row r="58" spans="1:6" x14ac:dyDescent="0.25">
      <c r="A58">
        <v>57</v>
      </c>
      <c r="B58" t="s">
        <v>1480</v>
      </c>
      <c r="C58" t="s">
        <v>581</v>
      </c>
      <c r="D58">
        <v>57</v>
      </c>
      <c r="E58" t="str">
        <f t="shared" si="0"/>
        <v>WR</v>
      </c>
      <c r="F58">
        <f t="shared" si="1"/>
        <v>27</v>
      </c>
    </row>
    <row r="59" spans="1:6" hidden="1" x14ac:dyDescent="0.25">
      <c r="A59">
        <v>58</v>
      </c>
      <c r="B59" t="s">
        <v>488</v>
      </c>
      <c r="C59" t="s">
        <v>587</v>
      </c>
      <c r="D59">
        <v>58</v>
      </c>
      <c r="E59" t="str">
        <f t="shared" si="0"/>
        <v>RB</v>
      </c>
      <c r="F59">
        <f t="shared" si="1"/>
        <v>21</v>
      </c>
    </row>
    <row r="60" spans="1:6" hidden="1" x14ac:dyDescent="0.25">
      <c r="A60">
        <v>59</v>
      </c>
      <c r="B60" t="s">
        <v>369</v>
      </c>
      <c r="C60" t="s">
        <v>561</v>
      </c>
      <c r="D60">
        <v>59</v>
      </c>
      <c r="E60" t="str">
        <f t="shared" si="0"/>
        <v>QB</v>
      </c>
      <c r="F60">
        <f t="shared" si="1"/>
        <v>6</v>
      </c>
    </row>
    <row r="61" spans="1:6" hidden="1" x14ac:dyDescent="0.25">
      <c r="A61">
        <v>60</v>
      </c>
      <c r="B61" t="s">
        <v>151</v>
      </c>
      <c r="C61" t="s">
        <v>583</v>
      </c>
      <c r="D61">
        <v>60</v>
      </c>
      <c r="E61" t="str">
        <f t="shared" si="0"/>
        <v>WR</v>
      </c>
      <c r="F61">
        <f t="shared" si="1"/>
        <v>28</v>
      </c>
    </row>
    <row r="62" spans="1:6" hidden="1" x14ac:dyDescent="0.25">
      <c r="A62">
        <v>61</v>
      </c>
      <c r="B62" t="s">
        <v>178</v>
      </c>
      <c r="C62" t="s">
        <v>585</v>
      </c>
      <c r="D62">
        <v>61</v>
      </c>
      <c r="E62" t="str">
        <f t="shared" si="0"/>
        <v>WR</v>
      </c>
      <c r="F62">
        <f t="shared" si="1"/>
        <v>29</v>
      </c>
    </row>
    <row r="63" spans="1:6" hidden="1" x14ac:dyDescent="0.25">
      <c r="A63">
        <v>62</v>
      </c>
      <c r="B63" t="s">
        <v>263</v>
      </c>
      <c r="C63" t="s">
        <v>591</v>
      </c>
      <c r="D63">
        <v>62</v>
      </c>
      <c r="E63" t="str">
        <f t="shared" si="0"/>
        <v>RB</v>
      </c>
      <c r="F63">
        <f t="shared" si="1"/>
        <v>22</v>
      </c>
    </row>
    <row r="64" spans="1:6" hidden="1" x14ac:dyDescent="0.25">
      <c r="A64">
        <v>63</v>
      </c>
      <c r="B64" t="s">
        <v>360</v>
      </c>
      <c r="C64" t="s">
        <v>572</v>
      </c>
      <c r="D64">
        <v>63</v>
      </c>
      <c r="E64" t="str">
        <f t="shared" si="0"/>
        <v>QB</v>
      </c>
      <c r="F64">
        <f t="shared" si="1"/>
        <v>7</v>
      </c>
    </row>
    <row r="65" spans="1:6" hidden="1" x14ac:dyDescent="0.25">
      <c r="A65">
        <v>64</v>
      </c>
      <c r="B65" t="s">
        <v>202</v>
      </c>
      <c r="C65" t="s">
        <v>590</v>
      </c>
      <c r="D65">
        <v>64</v>
      </c>
      <c r="E65" t="str">
        <f t="shared" si="0"/>
        <v>WR</v>
      </c>
      <c r="F65">
        <f t="shared" si="1"/>
        <v>30</v>
      </c>
    </row>
    <row r="66" spans="1:6" hidden="1" x14ac:dyDescent="0.25">
      <c r="A66">
        <v>65</v>
      </c>
      <c r="B66" t="s">
        <v>494</v>
      </c>
      <c r="C66" t="s">
        <v>593</v>
      </c>
      <c r="D66">
        <v>65</v>
      </c>
      <c r="E66" t="str">
        <f t="shared" si="0"/>
        <v>RB</v>
      </c>
      <c r="F66">
        <f t="shared" si="1"/>
        <v>23</v>
      </c>
    </row>
    <row r="67" spans="1:6" hidden="1" x14ac:dyDescent="0.25">
      <c r="A67">
        <v>66</v>
      </c>
      <c r="B67" t="s">
        <v>464</v>
      </c>
      <c r="C67" t="s">
        <v>592</v>
      </c>
      <c r="D67">
        <v>66</v>
      </c>
      <c r="E67" t="str">
        <f t="shared" ref="E67:E130" si="2">LEFT(C67,2)</f>
        <v>WR</v>
      </c>
      <c r="F67">
        <f t="shared" ref="F67:F130" si="3">VALUE(MID(C67,3,LEN(C67)))</f>
        <v>31</v>
      </c>
    </row>
    <row r="68" spans="1:6" hidden="1" x14ac:dyDescent="0.25">
      <c r="A68">
        <v>67</v>
      </c>
      <c r="B68" t="s">
        <v>399</v>
      </c>
      <c r="C68" t="s">
        <v>597</v>
      </c>
      <c r="D68">
        <v>67</v>
      </c>
      <c r="E68" t="str">
        <f t="shared" si="2"/>
        <v>RB</v>
      </c>
      <c r="F68">
        <f t="shared" si="3"/>
        <v>24</v>
      </c>
    </row>
    <row r="69" spans="1:6" hidden="1" x14ac:dyDescent="0.25">
      <c r="A69">
        <v>68</v>
      </c>
      <c r="B69" t="s">
        <v>411</v>
      </c>
      <c r="C69" t="s">
        <v>595</v>
      </c>
      <c r="D69">
        <v>68</v>
      </c>
      <c r="E69" t="str">
        <f t="shared" si="2"/>
        <v>WR</v>
      </c>
      <c r="F69">
        <f t="shared" si="3"/>
        <v>32</v>
      </c>
    </row>
    <row r="70" spans="1:6" hidden="1" x14ac:dyDescent="0.25">
      <c r="A70">
        <v>69</v>
      </c>
      <c r="B70" t="s">
        <v>40</v>
      </c>
      <c r="C70" t="s">
        <v>577</v>
      </c>
      <c r="D70">
        <v>69</v>
      </c>
      <c r="E70" t="str">
        <f t="shared" si="2"/>
        <v>TE</v>
      </c>
      <c r="F70">
        <f t="shared" si="3"/>
        <v>6</v>
      </c>
    </row>
    <row r="71" spans="1:6" hidden="1" x14ac:dyDescent="0.25">
      <c r="A71">
        <v>70</v>
      </c>
      <c r="B71" t="s">
        <v>233</v>
      </c>
      <c r="C71" t="s">
        <v>598</v>
      </c>
      <c r="D71">
        <v>70</v>
      </c>
      <c r="E71" t="str">
        <f t="shared" si="2"/>
        <v>RB</v>
      </c>
      <c r="F71">
        <f t="shared" si="3"/>
        <v>25</v>
      </c>
    </row>
    <row r="72" spans="1:6" hidden="1" x14ac:dyDescent="0.25">
      <c r="A72">
        <v>71</v>
      </c>
      <c r="B72" t="s">
        <v>416</v>
      </c>
      <c r="C72" t="s">
        <v>596</v>
      </c>
      <c r="D72">
        <v>71</v>
      </c>
      <c r="E72" t="str">
        <f t="shared" si="2"/>
        <v>WR</v>
      </c>
      <c r="F72">
        <f t="shared" si="3"/>
        <v>33</v>
      </c>
    </row>
    <row r="73" spans="1:6" hidden="1" x14ac:dyDescent="0.25">
      <c r="A73">
        <v>72</v>
      </c>
      <c r="B73" t="s">
        <v>375</v>
      </c>
      <c r="C73" t="s">
        <v>594</v>
      </c>
      <c r="D73">
        <v>72</v>
      </c>
      <c r="E73" t="str">
        <f t="shared" si="2"/>
        <v>QB</v>
      </c>
      <c r="F73">
        <f t="shared" si="3"/>
        <v>8</v>
      </c>
    </row>
    <row r="74" spans="1:6" hidden="1" x14ac:dyDescent="0.25">
      <c r="A74">
        <v>73</v>
      </c>
      <c r="B74" t="s">
        <v>501</v>
      </c>
      <c r="C74" t="s">
        <v>605</v>
      </c>
      <c r="D74">
        <v>73</v>
      </c>
      <c r="E74" t="str">
        <f t="shared" si="2"/>
        <v>RB</v>
      </c>
      <c r="F74">
        <f t="shared" si="3"/>
        <v>26</v>
      </c>
    </row>
    <row r="75" spans="1:6" hidden="1" x14ac:dyDescent="0.25">
      <c r="A75">
        <v>74</v>
      </c>
      <c r="B75" t="s">
        <v>898</v>
      </c>
      <c r="C75" t="s">
        <v>601</v>
      </c>
      <c r="D75">
        <v>74</v>
      </c>
      <c r="E75" t="str">
        <f t="shared" si="2"/>
        <v>QB</v>
      </c>
      <c r="F75">
        <f t="shared" si="3"/>
        <v>9</v>
      </c>
    </row>
    <row r="76" spans="1:6" hidden="1" x14ac:dyDescent="0.25">
      <c r="A76">
        <v>75</v>
      </c>
      <c r="B76" t="s">
        <v>414</v>
      </c>
      <c r="C76" t="s">
        <v>599</v>
      </c>
      <c r="D76">
        <v>75</v>
      </c>
      <c r="E76" t="str">
        <f t="shared" si="2"/>
        <v>WR</v>
      </c>
      <c r="F76">
        <f t="shared" si="3"/>
        <v>34</v>
      </c>
    </row>
    <row r="77" spans="1:6" hidden="1" x14ac:dyDescent="0.25">
      <c r="A77">
        <v>76</v>
      </c>
      <c r="B77" t="s">
        <v>426</v>
      </c>
      <c r="C77" t="s">
        <v>600</v>
      </c>
      <c r="D77">
        <v>76</v>
      </c>
      <c r="E77" t="str">
        <f t="shared" si="2"/>
        <v>WR</v>
      </c>
      <c r="F77">
        <f t="shared" si="3"/>
        <v>35</v>
      </c>
    </row>
    <row r="78" spans="1:6" hidden="1" x14ac:dyDescent="0.25">
      <c r="A78">
        <v>77</v>
      </c>
      <c r="B78" t="s">
        <v>915</v>
      </c>
      <c r="C78" t="s">
        <v>602</v>
      </c>
      <c r="D78">
        <v>77</v>
      </c>
      <c r="E78" t="str">
        <f t="shared" si="2"/>
        <v>QB</v>
      </c>
      <c r="F78">
        <f t="shared" si="3"/>
        <v>10</v>
      </c>
    </row>
    <row r="79" spans="1:6" hidden="1" x14ac:dyDescent="0.25">
      <c r="A79">
        <v>78</v>
      </c>
      <c r="B79" t="s">
        <v>245</v>
      </c>
      <c r="C79" t="s">
        <v>607</v>
      </c>
      <c r="D79">
        <v>78</v>
      </c>
      <c r="E79" t="str">
        <f t="shared" si="2"/>
        <v>RB</v>
      </c>
      <c r="F79">
        <f t="shared" si="3"/>
        <v>27</v>
      </c>
    </row>
    <row r="80" spans="1:6" hidden="1" x14ac:dyDescent="0.25">
      <c r="A80">
        <v>79</v>
      </c>
      <c r="B80" t="s">
        <v>415</v>
      </c>
      <c r="C80" t="s">
        <v>603</v>
      </c>
      <c r="D80">
        <v>79</v>
      </c>
      <c r="E80" t="str">
        <f t="shared" si="2"/>
        <v>WR</v>
      </c>
      <c r="F80">
        <f t="shared" si="3"/>
        <v>36</v>
      </c>
    </row>
    <row r="81" spans="1:6" hidden="1" x14ac:dyDescent="0.25">
      <c r="A81">
        <v>80</v>
      </c>
      <c r="B81" t="s">
        <v>310</v>
      </c>
      <c r="C81" t="s">
        <v>608</v>
      </c>
      <c r="D81">
        <v>80</v>
      </c>
      <c r="E81" t="str">
        <f t="shared" si="2"/>
        <v>RB</v>
      </c>
      <c r="F81">
        <f t="shared" si="3"/>
        <v>28</v>
      </c>
    </row>
    <row r="82" spans="1:6" hidden="1" x14ac:dyDescent="0.25">
      <c r="A82">
        <v>81</v>
      </c>
      <c r="B82" t="s">
        <v>200</v>
      </c>
      <c r="C82" t="s">
        <v>610</v>
      </c>
      <c r="D82">
        <v>81</v>
      </c>
      <c r="E82" t="str">
        <f t="shared" si="2"/>
        <v>WR</v>
      </c>
      <c r="F82">
        <f t="shared" si="3"/>
        <v>37</v>
      </c>
    </row>
    <row r="83" spans="1:6" hidden="1" x14ac:dyDescent="0.25">
      <c r="A83">
        <v>82</v>
      </c>
      <c r="B83" t="s">
        <v>243</v>
      </c>
      <c r="C83" t="s">
        <v>609</v>
      </c>
      <c r="D83">
        <v>82</v>
      </c>
      <c r="E83" t="str">
        <f t="shared" si="2"/>
        <v>RB</v>
      </c>
      <c r="F83">
        <f t="shared" si="3"/>
        <v>29</v>
      </c>
    </row>
    <row r="84" spans="1:6" hidden="1" x14ac:dyDescent="0.25">
      <c r="A84">
        <v>83</v>
      </c>
      <c r="B84" t="s">
        <v>492</v>
      </c>
      <c r="C84" t="s">
        <v>614</v>
      </c>
      <c r="D84">
        <v>83</v>
      </c>
      <c r="E84" t="str">
        <f t="shared" si="2"/>
        <v>RB</v>
      </c>
      <c r="F84">
        <f t="shared" si="3"/>
        <v>30</v>
      </c>
    </row>
    <row r="85" spans="1:6" hidden="1" x14ac:dyDescent="0.25">
      <c r="A85">
        <v>84</v>
      </c>
      <c r="B85" t="s">
        <v>336</v>
      </c>
      <c r="C85" t="s">
        <v>604</v>
      </c>
      <c r="D85">
        <v>84</v>
      </c>
      <c r="E85" t="str">
        <f t="shared" si="2"/>
        <v>QB</v>
      </c>
      <c r="F85">
        <f t="shared" si="3"/>
        <v>11</v>
      </c>
    </row>
    <row r="86" spans="1:6" hidden="1" x14ac:dyDescent="0.25">
      <c r="A86">
        <v>85</v>
      </c>
      <c r="B86" t="s">
        <v>119</v>
      </c>
      <c r="C86" t="s">
        <v>611</v>
      </c>
      <c r="D86">
        <v>85</v>
      </c>
      <c r="E86" t="str">
        <f t="shared" si="2"/>
        <v>WR</v>
      </c>
      <c r="F86">
        <f t="shared" si="3"/>
        <v>38</v>
      </c>
    </row>
    <row r="87" spans="1:6" hidden="1" x14ac:dyDescent="0.25">
      <c r="A87">
        <v>86</v>
      </c>
      <c r="B87" t="s">
        <v>484</v>
      </c>
      <c r="C87" t="s">
        <v>613</v>
      </c>
      <c r="D87">
        <v>86</v>
      </c>
      <c r="E87" t="str">
        <f t="shared" si="2"/>
        <v>WR</v>
      </c>
      <c r="F87">
        <f t="shared" si="3"/>
        <v>39</v>
      </c>
    </row>
    <row r="88" spans="1:6" hidden="1" x14ac:dyDescent="0.25">
      <c r="A88">
        <v>87</v>
      </c>
      <c r="B88" t="s">
        <v>34</v>
      </c>
      <c r="C88" t="s">
        <v>584</v>
      </c>
      <c r="D88">
        <v>87</v>
      </c>
      <c r="E88" t="str">
        <f t="shared" si="2"/>
        <v>TE</v>
      </c>
      <c r="F88">
        <f t="shared" si="3"/>
        <v>7</v>
      </c>
    </row>
    <row r="89" spans="1:6" hidden="1" x14ac:dyDescent="0.25">
      <c r="A89">
        <v>88</v>
      </c>
      <c r="B89" t="s">
        <v>192</v>
      </c>
      <c r="C89" t="s">
        <v>616</v>
      </c>
      <c r="D89">
        <v>88</v>
      </c>
      <c r="E89" t="str">
        <f t="shared" si="2"/>
        <v>WR</v>
      </c>
      <c r="F89">
        <f t="shared" si="3"/>
        <v>40</v>
      </c>
    </row>
    <row r="90" spans="1:6" hidden="1" x14ac:dyDescent="0.25">
      <c r="A90">
        <v>89</v>
      </c>
      <c r="B90" t="s">
        <v>72</v>
      </c>
      <c r="C90" t="s">
        <v>588</v>
      </c>
      <c r="D90">
        <v>89</v>
      </c>
      <c r="E90" t="str">
        <f t="shared" si="2"/>
        <v>TE</v>
      </c>
      <c r="F90">
        <f t="shared" si="3"/>
        <v>8</v>
      </c>
    </row>
    <row r="91" spans="1:6" hidden="1" x14ac:dyDescent="0.25">
      <c r="A91">
        <v>90</v>
      </c>
      <c r="B91" t="s">
        <v>118</v>
      </c>
      <c r="C91" t="s">
        <v>619</v>
      </c>
      <c r="D91">
        <v>90</v>
      </c>
      <c r="E91" t="str">
        <f t="shared" si="2"/>
        <v>WR</v>
      </c>
      <c r="F91">
        <f t="shared" si="3"/>
        <v>41</v>
      </c>
    </row>
    <row r="92" spans="1:6" hidden="1" x14ac:dyDescent="0.25">
      <c r="A92">
        <v>91</v>
      </c>
      <c r="B92" t="s">
        <v>655</v>
      </c>
      <c r="C92" t="s">
        <v>618</v>
      </c>
      <c r="D92">
        <v>91</v>
      </c>
      <c r="E92" t="str">
        <f t="shared" si="2"/>
        <v>RB</v>
      </c>
      <c r="F92">
        <f t="shared" si="3"/>
        <v>31</v>
      </c>
    </row>
    <row r="93" spans="1:6" hidden="1" x14ac:dyDescent="0.25">
      <c r="A93">
        <v>92</v>
      </c>
      <c r="B93" t="s">
        <v>265</v>
      </c>
      <c r="C93" t="s">
        <v>620</v>
      </c>
      <c r="D93">
        <v>92</v>
      </c>
      <c r="E93" t="str">
        <f t="shared" si="2"/>
        <v>RB</v>
      </c>
      <c r="F93">
        <f t="shared" si="3"/>
        <v>32</v>
      </c>
    </row>
    <row r="94" spans="1:6" hidden="1" x14ac:dyDescent="0.25">
      <c r="A94">
        <v>93</v>
      </c>
      <c r="B94" t="s">
        <v>664</v>
      </c>
      <c r="C94" t="s">
        <v>621</v>
      </c>
      <c r="D94">
        <v>93</v>
      </c>
      <c r="E94" t="str">
        <f t="shared" si="2"/>
        <v>RB</v>
      </c>
      <c r="F94">
        <f t="shared" si="3"/>
        <v>33</v>
      </c>
    </row>
    <row r="95" spans="1:6" hidden="1" x14ac:dyDescent="0.25">
      <c r="A95">
        <v>94</v>
      </c>
      <c r="B95" t="s">
        <v>251</v>
      </c>
      <c r="C95" t="s">
        <v>623</v>
      </c>
      <c r="D95">
        <v>94</v>
      </c>
      <c r="E95" t="str">
        <f t="shared" si="2"/>
        <v>RB</v>
      </c>
      <c r="F95">
        <f t="shared" si="3"/>
        <v>34</v>
      </c>
    </row>
    <row r="96" spans="1:6" hidden="1" x14ac:dyDescent="0.25">
      <c r="A96">
        <v>95</v>
      </c>
      <c r="B96" t="s">
        <v>334</v>
      </c>
      <c r="C96" t="s">
        <v>615</v>
      </c>
      <c r="D96">
        <v>95</v>
      </c>
      <c r="E96" t="str">
        <f t="shared" si="2"/>
        <v>QB</v>
      </c>
      <c r="F96">
        <f t="shared" si="3"/>
        <v>12</v>
      </c>
    </row>
    <row r="97" spans="1:6" hidden="1" x14ac:dyDescent="0.25">
      <c r="A97">
        <v>96</v>
      </c>
      <c r="B97" t="s">
        <v>305</v>
      </c>
      <c r="C97" t="s">
        <v>628</v>
      </c>
      <c r="D97">
        <v>96</v>
      </c>
      <c r="E97" t="str">
        <f t="shared" si="2"/>
        <v>RB</v>
      </c>
      <c r="F97">
        <f t="shared" si="3"/>
        <v>35</v>
      </c>
    </row>
    <row r="98" spans="1:6" hidden="1" x14ac:dyDescent="0.25">
      <c r="A98">
        <v>97</v>
      </c>
      <c r="B98" t="s">
        <v>105</v>
      </c>
      <c r="C98" t="s">
        <v>622</v>
      </c>
      <c r="D98">
        <v>97</v>
      </c>
      <c r="E98" t="str">
        <f t="shared" si="2"/>
        <v>WR</v>
      </c>
      <c r="F98">
        <f t="shared" si="3"/>
        <v>42</v>
      </c>
    </row>
    <row r="99" spans="1:6" hidden="1" x14ac:dyDescent="0.25">
      <c r="A99">
        <v>98</v>
      </c>
      <c r="B99" t="s">
        <v>349</v>
      </c>
      <c r="C99" t="s">
        <v>630</v>
      </c>
      <c r="D99">
        <v>98</v>
      </c>
      <c r="E99" t="str">
        <f t="shared" si="2"/>
        <v>QB</v>
      </c>
      <c r="F99">
        <f t="shared" si="3"/>
        <v>13</v>
      </c>
    </row>
    <row r="100" spans="1:6" hidden="1" x14ac:dyDescent="0.25">
      <c r="A100">
        <v>99</v>
      </c>
      <c r="B100" t="s">
        <v>378</v>
      </c>
      <c r="C100" t="s">
        <v>640</v>
      </c>
      <c r="D100">
        <v>99</v>
      </c>
      <c r="E100" t="str">
        <f t="shared" si="2"/>
        <v>QB</v>
      </c>
      <c r="F100">
        <f t="shared" si="3"/>
        <v>14</v>
      </c>
    </row>
    <row r="101" spans="1:6" hidden="1" x14ac:dyDescent="0.25">
      <c r="A101">
        <v>100</v>
      </c>
      <c r="B101" t="s">
        <v>400</v>
      </c>
      <c r="C101" t="s">
        <v>629</v>
      </c>
      <c r="D101">
        <v>100</v>
      </c>
      <c r="E101" t="str">
        <f t="shared" si="2"/>
        <v>RB</v>
      </c>
      <c r="F101">
        <f t="shared" si="3"/>
        <v>36</v>
      </c>
    </row>
    <row r="102" spans="1:6" hidden="1" x14ac:dyDescent="0.25">
      <c r="A102">
        <v>101</v>
      </c>
      <c r="B102" t="s">
        <v>482</v>
      </c>
      <c r="C102" t="s">
        <v>624</v>
      </c>
      <c r="D102">
        <v>101</v>
      </c>
      <c r="E102" t="str">
        <f t="shared" si="2"/>
        <v>WR</v>
      </c>
      <c r="F102">
        <f t="shared" si="3"/>
        <v>43</v>
      </c>
    </row>
    <row r="103" spans="1:6" hidden="1" x14ac:dyDescent="0.25">
      <c r="A103">
        <v>102</v>
      </c>
      <c r="B103" t="s">
        <v>465</v>
      </c>
      <c r="C103" t="s">
        <v>625</v>
      </c>
      <c r="D103">
        <v>102</v>
      </c>
      <c r="E103" t="str">
        <f t="shared" si="2"/>
        <v>WR</v>
      </c>
      <c r="F103">
        <f t="shared" si="3"/>
        <v>44</v>
      </c>
    </row>
    <row r="104" spans="1:6" hidden="1" x14ac:dyDescent="0.25">
      <c r="A104">
        <v>103</v>
      </c>
      <c r="B104" t="s">
        <v>76</v>
      </c>
      <c r="C104" t="s">
        <v>589</v>
      </c>
      <c r="D104">
        <v>103</v>
      </c>
      <c r="E104" t="str">
        <f t="shared" si="2"/>
        <v>TE</v>
      </c>
      <c r="F104">
        <f t="shared" si="3"/>
        <v>9</v>
      </c>
    </row>
    <row r="105" spans="1:6" hidden="1" x14ac:dyDescent="0.25">
      <c r="A105">
        <v>104</v>
      </c>
      <c r="B105" t="s">
        <v>186</v>
      </c>
      <c r="C105" t="s">
        <v>626</v>
      </c>
      <c r="D105">
        <v>104</v>
      </c>
      <c r="E105" t="str">
        <f t="shared" si="2"/>
        <v>WR</v>
      </c>
      <c r="F105">
        <f t="shared" si="3"/>
        <v>45</v>
      </c>
    </row>
    <row r="106" spans="1:6" hidden="1" x14ac:dyDescent="0.25">
      <c r="A106">
        <v>105</v>
      </c>
      <c r="B106" t="s">
        <v>366</v>
      </c>
      <c r="C106" t="s">
        <v>641</v>
      </c>
      <c r="D106">
        <v>105</v>
      </c>
      <c r="E106" t="str">
        <f t="shared" si="2"/>
        <v>QB</v>
      </c>
      <c r="F106">
        <f t="shared" si="3"/>
        <v>15</v>
      </c>
    </row>
    <row r="107" spans="1:6" hidden="1" x14ac:dyDescent="0.25">
      <c r="A107">
        <v>106</v>
      </c>
      <c r="B107" t="s">
        <v>58</v>
      </c>
      <c r="C107" t="s">
        <v>606</v>
      </c>
      <c r="D107">
        <v>106</v>
      </c>
      <c r="E107" t="str">
        <f t="shared" si="2"/>
        <v>TE</v>
      </c>
      <c r="F107">
        <f t="shared" si="3"/>
        <v>10</v>
      </c>
    </row>
    <row r="108" spans="1:6" hidden="1" x14ac:dyDescent="0.25">
      <c r="A108">
        <v>107</v>
      </c>
      <c r="B108" t="s">
        <v>226</v>
      </c>
      <c r="C108" t="s">
        <v>633</v>
      </c>
      <c r="D108">
        <v>107</v>
      </c>
      <c r="E108" t="str">
        <f t="shared" si="2"/>
        <v>RB</v>
      </c>
      <c r="F108">
        <f t="shared" si="3"/>
        <v>37</v>
      </c>
    </row>
    <row r="109" spans="1:6" hidden="1" x14ac:dyDescent="0.25">
      <c r="A109">
        <v>108</v>
      </c>
      <c r="B109" t="s">
        <v>481</v>
      </c>
      <c r="C109" t="s">
        <v>631</v>
      </c>
      <c r="D109">
        <v>108</v>
      </c>
      <c r="E109" t="str">
        <f t="shared" si="2"/>
        <v>WR</v>
      </c>
      <c r="F109">
        <f t="shared" si="3"/>
        <v>46</v>
      </c>
    </row>
    <row r="110" spans="1:6" hidden="1" x14ac:dyDescent="0.25">
      <c r="A110">
        <v>109</v>
      </c>
      <c r="B110" t="s">
        <v>907</v>
      </c>
      <c r="C110" t="s">
        <v>632</v>
      </c>
      <c r="D110">
        <v>109</v>
      </c>
      <c r="E110" t="str">
        <f t="shared" si="2"/>
        <v>WR</v>
      </c>
      <c r="F110">
        <f t="shared" si="3"/>
        <v>47</v>
      </c>
    </row>
    <row r="111" spans="1:6" hidden="1" x14ac:dyDescent="0.25">
      <c r="A111">
        <v>110</v>
      </c>
      <c r="B111" t="s">
        <v>1481</v>
      </c>
      <c r="C111" t="s">
        <v>637</v>
      </c>
      <c r="D111">
        <v>110</v>
      </c>
      <c r="E111" t="str">
        <f t="shared" si="2"/>
        <v>RB</v>
      </c>
      <c r="F111">
        <f t="shared" si="3"/>
        <v>38</v>
      </c>
    </row>
    <row r="112" spans="1:6" hidden="1" x14ac:dyDescent="0.25">
      <c r="A112">
        <v>111</v>
      </c>
      <c r="B112" t="s">
        <v>104</v>
      </c>
      <c r="C112" t="s">
        <v>634</v>
      </c>
      <c r="D112">
        <v>111</v>
      </c>
      <c r="E112" t="str">
        <f t="shared" si="2"/>
        <v>WR</v>
      </c>
      <c r="F112">
        <f t="shared" si="3"/>
        <v>48</v>
      </c>
    </row>
    <row r="113" spans="1:6" hidden="1" x14ac:dyDescent="0.25">
      <c r="A113">
        <v>112</v>
      </c>
      <c r="B113" t="s">
        <v>1482</v>
      </c>
      <c r="C113" t="s">
        <v>638</v>
      </c>
      <c r="D113">
        <v>112</v>
      </c>
      <c r="E113" t="str">
        <f t="shared" si="2"/>
        <v>RB</v>
      </c>
      <c r="F113">
        <f t="shared" si="3"/>
        <v>39</v>
      </c>
    </row>
    <row r="114" spans="1:6" hidden="1" x14ac:dyDescent="0.25">
      <c r="A114">
        <v>113</v>
      </c>
      <c r="B114" t="s">
        <v>87</v>
      </c>
      <c r="C114" t="s">
        <v>612</v>
      </c>
      <c r="D114">
        <v>113</v>
      </c>
      <c r="E114" t="str">
        <f t="shared" si="2"/>
        <v>TE</v>
      </c>
      <c r="F114">
        <f t="shared" si="3"/>
        <v>11</v>
      </c>
    </row>
    <row r="115" spans="1:6" hidden="1" x14ac:dyDescent="0.25">
      <c r="A115">
        <v>114</v>
      </c>
      <c r="B115" t="s">
        <v>769</v>
      </c>
      <c r="C115" t="s">
        <v>635</v>
      </c>
      <c r="D115">
        <v>114</v>
      </c>
      <c r="E115" t="str">
        <f t="shared" si="2"/>
        <v>WR</v>
      </c>
      <c r="F115">
        <f t="shared" si="3"/>
        <v>49</v>
      </c>
    </row>
    <row r="116" spans="1:6" hidden="1" x14ac:dyDescent="0.25">
      <c r="A116">
        <v>115</v>
      </c>
      <c r="B116" t="s">
        <v>421</v>
      </c>
      <c r="C116" t="s">
        <v>643</v>
      </c>
      <c r="D116">
        <v>115</v>
      </c>
      <c r="E116" t="str">
        <f t="shared" si="2"/>
        <v>WR</v>
      </c>
      <c r="F116">
        <f t="shared" si="3"/>
        <v>50</v>
      </c>
    </row>
    <row r="117" spans="1:6" hidden="1" x14ac:dyDescent="0.25">
      <c r="A117">
        <v>116</v>
      </c>
      <c r="B117" t="s">
        <v>422</v>
      </c>
      <c r="C117" t="s">
        <v>645</v>
      </c>
      <c r="D117">
        <v>116</v>
      </c>
      <c r="E117" t="str">
        <f t="shared" si="2"/>
        <v>WR</v>
      </c>
      <c r="F117">
        <f t="shared" si="3"/>
        <v>51</v>
      </c>
    </row>
    <row r="118" spans="1:6" hidden="1" x14ac:dyDescent="0.25">
      <c r="A118">
        <v>117</v>
      </c>
      <c r="B118" t="s">
        <v>1483</v>
      </c>
      <c r="C118" t="s">
        <v>639</v>
      </c>
      <c r="D118">
        <v>117</v>
      </c>
      <c r="E118" t="str">
        <f t="shared" si="2"/>
        <v>RB</v>
      </c>
      <c r="F118">
        <f t="shared" si="3"/>
        <v>40</v>
      </c>
    </row>
    <row r="119" spans="1:6" hidden="1" x14ac:dyDescent="0.25">
      <c r="A119">
        <v>118</v>
      </c>
      <c r="B119" t="s">
        <v>359</v>
      </c>
      <c r="C119" t="s">
        <v>644</v>
      </c>
      <c r="D119">
        <v>118</v>
      </c>
      <c r="E119" t="str">
        <f t="shared" si="2"/>
        <v>QB</v>
      </c>
      <c r="F119">
        <f t="shared" si="3"/>
        <v>16</v>
      </c>
    </row>
    <row r="120" spans="1:6" hidden="1" x14ac:dyDescent="0.25">
      <c r="A120">
        <v>119</v>
      </c>
      <c r="B120" t="s">
        <v>1386</v>
      </c>
      <c r="C120" t="s">
        <v>648</v>
      </c>
      <c r="D120">
        <v>119</v>
      </c>
      <c r="E120" t="str">
        <f t="shared" si="2"/>
        <v>RB</v>
      </c>
      <c r="F120">
        <f t="shared" si="3"/>
        <v>41</v>
      </c>
    </row>
    <row r="121" spans="1:6" hidden="1" x14ac:dyDescent="0.25">
      <c r="A121">
        <v>120</v>
      </c>
      <c r="B121" t="s">
        <v>356</v>
      </c>
      <c r="C121" t="s">
        <v>646</v>
      </c>
      <c r="D121">
        <v>120</v>
      </c>
      <c r="E121" t="str">
        <f t="shared" si="2"/>
        <v>QB</v>
      </c>
      <c r="F121">
        <f t="shared" si="3"/>
        <v>17</v>
      </c>
    </row>
    <row r="122" spans="1:6" hidden="1" x14ac:dyDescent="0.25">
      <c r="A122">
        <v>121</v>
      </c>
      <c r="B122" t="s">
        <v>268</v>
      </c>
      <c r="C122" t="s">
        <v>650</v>
      </c>
      <c r="D122">
        <v>121</v>
      </c>
      <c r="E122" t="str">
        <f t="shared" si="2"/>
        <v>RB</v>
      </c>
      <c r="F122">
        <f t="shared" si="3"/>
        <v>42</v>
      </c>
    </row>
    <row r="123" spans="1:6" hidden="1" x14ac:dyDescent="0.25">
      <c r="A123">
        <v>122</v>
      </c>
      <c r="B123" t="s">
        <v>70</v>
      </c>
      <c r="C123" t="s">
        <v>617</v>
      </c>
      <c r="D123">
        <v>122</v>
      </c>
      <c r="E123" t="str">
        <f t="shared" si="2"/>
        <v>TE</v>
      </c>
      <c r="F123">
        <f t="shared" si="3"/>
        <v>12</v>
      </c>
    </row>
    <row r="124" spans="1:6" hidden="1" x14ac:dyDescent="0.25">
      <c r="A124">
        <v>123</v>
      </c>
      <c r="B124" t="s">
        <v>335</v>
      </c>
      <c r="C124" t="s">
        <v>649</v>
      </c>
      <c r="D124">
        <v>123</v>
      </c>
      <c r="E124" t="str">
        <f t="shared" si="2"/>
        <v>QB</v>
      </c>
      <c r="F124">
        <f t="shared" si="3"/>
        <v>18</v>
      </c>
    </row>
    <row r="125" spans="1:6" hidden="1" x14ac:dyDescent="0.25">
      <c r="A125">
        <v>125</v>
      </c>
      <c r="B125" t="s">
        <v>236</v>
      </c>
      <c r="C125" t="s">
        <v>652</v>
      </c>
      <c r="D125">
        <v>124</v>
      </c>
      <c r="E125" t="str">
        <f t="shared" si="2"/>
        <v>RB</v>
      </c>
      <c r="F125">
        <f t="shared" si="3"/>
        <v>43</v>
      </c>
    </row>
    <row r="126" spans="1:6" hidden="1" x14ac:dyDescent="0.25">
      <c r="A126">
        <v>126</v>
      </c>
      <c r="B126" t="s">
        <v>1484</v>
      </c>
      <c r="C126" t="s">
        <v>647</v>
      </c>
      <c r="D126">
        <v>125</v>
      </c>
      <c r="E126" t="str">
        <f t="shared" si="2"/>
        <v>WR</v>
      </c>
      <c r="F126">
        <f t="shared" si="3"/>
        <v>52</v>
      </c>
    </row>
    <row r="127" spans="1:6" hidden="1" x14ac:dyDescent="0.25">
      <c r="A127">
        <v>127</v>
      </c>
      <c r="B127" t="s">
        <v>466</v>
      </c>
      <c r="C127" t="s">
        <v>651</v>
      </c>
      <c r="D127">
        <v>126</v>
      </c>
      <c r="E127" t="str">
        <f t="shared" si="2"/>
        <v>WR</v>
      </c>
      <c r="F127">
        <f t="shared" si="3"/>
        <v>53</v>
      </c>
    </row>
    <row r="128" spans="1:6" hidden="1" x14ac:dyDescent="0.25">
      <c r="A128">
        <v>128</v>
      </c>
      <c r="B128" t="s">
        <v>252</v>
      </c>
      <c r="C128" t="s">
        <v>653</v>
      </c>
      <c r="D128">
        <v>127</v>
      </c>
      <c r="E128" t="str">
        <f t="shared" si="2"/>
        <v>RB</v>
      </c>
      <c r="F128">
        <f t="shared" si="3"/>
        <v>44</v>
      </c>
    </row>
    <row r="129" spans="1:6" hidden="1" x14ac:dyDescent="0.25">
      <c r="A129">
        <v>129</v>
      </c>
      <c r="B129" t="s">
        <v>864</v>
      </c>
      <c r="C129" t="s">
        <v>656</v>
      </c>
      <c r="D129">
        <v>128</v>
      </c>
      <c r="E129" t="str">
        <f t="shared" si="2"/>
        <v>RB</v>
      </c>
      <c r="F129">
        <f t="shared" si="3"/>
        <v>45</v>
      </c>
    </row>
    <row r="130" spans="1:6" hidden="1" x14ac:dyDescent="0.25">
      <c r="A130">
        <v>130</v>
      </c>
      <c r="B130" t="s">
        <v>161</v>
      </c>
      <c r="C130" t="s">
        <v>654</v>
      </c>
      <c r="D130">
        <v>129</v>
      </c>
      <c r="E130" t="str">
        <f t="shared" si="2"/>
        <v>WR</v>
      </c>
      <c r="F130">
        <f t="shared" si="3"/>
        <v>54</v>
      </c>
    </row>
    <row r="131" spans="1:6" hidden="1" x14ac:dyDescent="0.25">
      <c r="A131">
        <v>131</v>
      </c>
      <c r="B131" t="s">
        <v>390</v>
      </c>
      <c r="C131" t="s">
        <v>661</v>
      </c>
      <c r="D131">
        <v>130</v>
      </c>
      <c r="E131" t="str">
        <f t="shared" ref="E131:E194" si="4">LEFT(C131,2)</f>
        <v>RB</v>
      </c>
      <c r="F131">
        <f t="shared" ref="F131:F194" si="5">VALUE(MID(C131,3,LEN(C131)))</f>
        <v>46</v>
      </c>
    </row>
    <row r="132" spans="1:6" hidden="1" x14ac:dyDescent="0.25">
      <c r="A132">
        <v>132</v>
      </c>
      <c r="B132" t="s">
        <v>209</v>
      </c>
      <c r="C132" t="s">
        <v>658</v>
      </c>
      <c r="D132">
        <v>131</v>
      </c>
      <c r="E132" t="str">
        <f t="shared" si="4"/>
        <v>WR</v>
      </c>
      <c r="F132">
        <f t="shared" si="5"/>
        <v>55</v>
      </c>
    </row>
    <row r="133" spans="1:6" hidden="1" x14ac:dyDescent="0.25">
      <c r="A133">
        <v>133</v>
      </c>
      <c r="B133" t="s">
        <v>379</v>
      </c>
      <c r="C133" t="s">
        <v>657</v>
      </c>
      <c r="D133">
        <v>132</v>
      </c>
      <c r="E133" t="str">
        <f t="shared" si="4"/>
        <v>QB</v>
      </c>
      <c r="F133">
        <f t="shared" si="5"/>
        <v>19</v>
      </c>
    </row>
    <row r="134" spans="1:6" hidden="1" x14ac:dyDescent="0.25">
      <c r="A134">
        <v>134</v>
      </c>
      <c r="B134" t="s">
        <v>1485</v>
      </c>
      <c r="C134" t="s">
        <v>627</v>
      </c>
      <c r="D134">
        <v>133</v>
      </c>
      <c r="E134" t="str">
        <f t="shared" si="4"/>
        <v>TE</v>
      </c>
      <c r="F134">
        <f t="shared" si="5"/>
        <v>13</v>
      </c>
    </row>
    <row r="135" spans="1:6" hidden="1" x14ac:dyDescent="0.25">
      <c r="A135">
        <v>135</v>
      </c>
      <c r="B135" t="s">
        <v>1393</v>
      </c>
      <c r="C135" t="s">
        <v>659</v>
      </c>
      <c r="D135">
        <v>134</v>
      </c>
      <c r="E135" t="str">
        <f t="shared" si="4"/>
        <v>QB</v>
      </c>
      <c r="F135">
        <f t="shared" si="5"/>
        <v>20</v>
      </c>
    </row>
    <row r="136" spans="1:6" hidden="1" x14ac:dyDescent="0.25">
      <c r="A136">
        <v>136</v>
      </c>
      <c r="B136" t="s">
        <v>131</v>
      </c>
      <c r="C136" t="s">
        <v>660</v>
      </c>
      <c r="D136">
        <v>135</v>
      </c>
      <c r="E136" t="str">
        <f t="shared" si="4"/>
        <v>WR</v>
      </c>
      <c r="F136">
        <f t="shared" si="5"/>
        <v>56</v>
      </c>
    </row>
    <row r="137" spans="1:6" hidden="1" x14ac:dyDescent="0.25">
      <c r="A137">
        <v>137</v>
      </c>
      <c r="B137" t="s">
        <v>786</v>
      </c>
      <c r="C137" t="s">
        <v>662</v>
      </c>
      <c r="D137">
        <v>136</v>
      </c>
      <c r="E137" t="str">
        <f t="shared" si="4"/>
        <v>WR</v>
      </c>
      <c r="F137">
        <f t="shared" si="5"/>
        <v>57</v>
      </c>
    </row>
    <row r="138" spans="1:6" hidden="1" x14ac:dyDescent="0.25">
      <c r="A138">
        <v>138</v>
      </c>
      <c r="B138" t="s">
        <v>1486</v>
      </c>
      <c r="C138" t="s">
        <v>666</v>
      </c>
      <c r="D138">
        <v>137</v>
      </c>
      <c r="E138" t="str">
        <f t="shared" si="4"/>
        <v>WR</v>
      </c>
      <c r="F138">
        <f t="shared" si="5"/>
        <v>58</v>
      </c>
    </row>
    <row r="139" spans="1:6" hidden="1" x14ac:dyDescent="0.25">
      <c r="A139">
        <v>139</v>
      </c>
      <c r="B139" t="s">
        <v>205</v>
      </c>
      <c r="C139" t="s">
        <v>667</v>
      </c>
      <c r="D139">
        <v>138</v>
      </c>
      <c r="E139" t="str">
        <f t="shared" si="4"/>
        <v>WR</v>
      </c>
      <c r="F139">
        <f t="shared" si="5"/>
        <v>59</v>
      </c>
    </row>
    <row r="140" spans="1:6" hidden="1" x14ac:dyDescent="0.25">
      <c r="A140">
        <v>140</v>
      </c>
      <c r="B140" t="s">
        <v>909</v>
      </c>
      <c r="C140" t="s">
        <v>669</v>
      </c>
      <c r="D140">
        <v>139</v>
      </c>
      <c r="E140" t="str">
        <f t="shared" si="4"/>
        <v>WR</v>
      </c>
      <c r="F140">
        <f t="shared" si="5"/>
        <v>60</v>
      </c>
    </row>
    <row r="141" spans="1:6" hidden="1" x14ac:dyDescent="0.25">
      <c r="A141">
        <v>141</v>
      </c>
      <c r="B141" t="s">
        <v>38</v>
      </c>
      <c r="C141" t="s">
        <v>636</v>
      </c>
      <c r="D141">
        <v>140</v>
      </c>
      <c r="E141" t="str">
        <f t="shared" si="4"/>
        <v>TE</v>
      </c>
      <c r="F141">
        <f t="shared" si="5"/>
        <v>14</v>
      </c>
    </row>
    <row r="142" spans="1:6" hidden="1" x14ac:dyDescent="0.25">
      <c r="A142">
        <v>142</v>
      </c>
      <c r="B142" t="s">
        <v>1373</v>
      </c>
      <c r="C142" t="s">
        <v>672</v>
      </c>
      <c r="D142">
        <v>141</v>
      </c>
      <c r="E142" t="str">
        <f t="shared" si="4"/>
        <v>WR</v>
      </c>
      <c r="F142">
        <f t="shared" si="5"/>
        <v>61</v>
      </c>
    </row>
    <row r="143" spans="1:6" hidden="1" x14ac:dyDescent="0.25">
      <c r="A143">
        <v>143</v>
      </c>
      <c r="B143" t="s">
        <v>136</v>
      </c>
      <c r="C143" t="s">
        <v>676</v>
      </c>
      <c r="D143">
        <v>142</v>
      </c>
      <c r="E143" t="str">
        <f t="shared" si="4"/>
        <v>WR</v>
      </c>
      <c r="F143">
        <f t="shared" si="5"/>
        <v>62</v>
      </c>
    </row>
    <row r="144" spans="1:6" hidden="1" x14ac:dyDescent="0.25">
      <c r="A144">
        <v>144</v>
      </c>
      <c r="B144" t="s">
        <v>259</v>
      </c>
      <c r="C144" t="s">
        <v>665</v>
      </c>
      <c r="D144">
        <v>143</v>
      </c>
      <c r="E144" t="str">
        <f t="shared" si="4"/>
        <v>RB</v>
      </c>
      <c r="F144">
        <f t="shared" si="5"/>
        <v>47</v>
      </c>
    </row>
    <row r="145" spans="1:6" hidden="1" x14ac:dyDescent="0.25">
      <c r="A145">
        <v>198</v>
      </c>
      <c r="B145" t="s">
        <v>276</v>
      </c>
      <c r="C145" t="s">
        <v>707</v>
      </c>
      <c r="D145">
        <v>144</v>
      </c>
      <c r="E145" t="str">
        <f t="shared" si="4"/>
        <v>RB</v>
      </c>
      <c r="F145">
        <f t="shared" si="5"/>
        <v>61</v>
      </c>
    </row>
    <row r="146" spans="1:6" hidden="1" x14ac:dyDescent="0.25">
      <c r="A146">
        <v>145</v>
      </c>
      <c r="B146" t="s">
        <v>1487</v>
      </c>
      <c r="C146" t="s">
        <v>642</v>
      </c>
      <c r="D146">
        <v>145</v>
      </c>
      <c r="E146" t="str">
        <f t="shared" si="4"/>
        <v>TE</v>
      </c>
      <c r="F146">
        <f t="shared" si="5"/>
        <v>15</v>
      </c>
    </row>
    <row r="147" spans="1:6" hidden="1" x14ac:dyDescent="0.25">
      <c r="A147">
        <v>146</v>
      </c>
      <c r="B147" t="s">
        <v>93</v>
      </c>
      <c r="C147" t="s">
        <v>673</v>
      </c>
      <c r="D147">
        <v>146</v>
      </c>
      <c r="E147" t="str">
        <f t="shared" si="4"/>
        <v>TE</v>
      </c>
      <c r="F147">
        <f t="shared" si="5"/>
        <v>16</v>
      </c>
    </row>
    <row r="148" spans="1:6" hidden="1" x14ac:dyDescent="0.25">
      <c r="A148">
        <v>147</v>
      </c>
      <c r="B148" t="s">
        <v>304</v>
      </c>
      <c r="C148" t="s">
        <v>668</v>
      </c>
      <c r="D148">
        <v>147</v>
      </c>
      <c r="E148" t="str">
        <f t="shared" si="4"/>
        <v>RB</v>
      </c>
      <c r="F148">
        <f t="shared" si="5"/>
        <v>48</v>
      </c>
    </row>
    <row r="149" spans="1:6" hidden="1" x14ac:dyDescent="0.25">
      <c r="A149">
        <v>148</v>
      </c>
      <c r="B149" t="s">
        <v>405</v>
      </c>
      <c r="C149" t="s">
        <v>670</v>
      </c>
      <c r="D149">
        <v>148</v>
      </c>
      <c r="E149" t="str">
        <f t="shared" si="4"/>
        <v>RB</v>
      </c>
      <c r="F149">
        <f t="shared" si="5"/>
        <v>49</v>
      </c>
    </row>
    <row r="150" spans="1:6" hidden="1" x14ac:dyDescent="0.25">
      <c r="A150">
        <v>149</v>
      </c>
      <c r="B150" t="s">
        <v>1368</v>
      </c>
      <c r="C150" t="s">
        <v>677</v>
      </c>
      <c r="D150">
        <v>149</v>
      </c>
      <c r="E150" t="str">
        <f t="shared" si="4"/>
        <v>WR</v>
      </c>
      <c r="F150">
        <f t="shared" si="5"/>
        <v>63</v>
      </c>
    </row>
    <row r="151" spans="1:6" hidden="1" x14ac:dyDescent="0.25">
      <c r="A151">
        <v>150</v>
      </c>
      <c r="B151" t="s">
        <v>85</v>
      </c>
      <c r="C151" t="s">
        <v>674</v>
      </c>
      <c r="D151">
        <v>150</v>
      </c>
      <c r="E151" t="str">
        <f t="shared" si="4"/>
        <v>TE</v>
      </c>
      <c r="F151">
        <f t="shared" si="5"/>
        <v>17</v>
      </c>
    </row>
    <row r="152" spans="1:6" hidden="1" x14ac:dyDescent="0.25">
      <c r="A152">
        <v>151</v>
      </c>
      <c r="B152" t="s">
        <v>1389</v>
      </c>
      <c r="C152" t="s">
        <v>675</v>
      </c>
      <c r="D152">
        <v>151</v>
      </c>
      <c r="E152" t="str">
        <f t="shared" si="4"/>
        <v>RB</v>
      </c>
      <c r="F152">
        <f t="shared" si="5"/>
        <v>50</v>
      </c>
    </row>
    <row r="153" spans="1:6" hidden="1" x14ac:dyDescent="0.25">
      <c r="A153">
        <v>152</v>
      </c>
      <c r="B153" t="s">
        <v>348</v>
      </c>
      <c r="C153" t="s">
        <v>663</v>
      </c>
      <c r="D153">
        <v>152</v>
      </c>
      <c r="E153" t="str">
        <f t="shared" si="4"/>
        <v>QB</v>
      </c>
      <c r="F153">
        <f t="shared" si="5"/>
        <v>21</v>
      </c>
    </row>
    <row r="154" spans="1:6" hidden="1" x14ac:dyDescent="0.25">
      <c r="A154">
        <v>153</v>
      </c>
      <c r="B154" t="s">
        <v>401</v>
      </c>
      <c r="C154" t="s">
        <v>680</v>
      </c>
      <c r="D154">
        <v>153</v>
      </c>
      <c r="E154" t="str">
        <f t="shared" si="4"/>
        <v>RB</v>
      </c>
      <c r="F154">
        <f t="shared" si="5"/>
        <v>51</v>
      </c>
    </row>
    <row r="155" spans="1:6" hidden="1" x14ac:dyDescent="0.25">
      <c r="A155">
        <v>154</v>
      </c>
      <c r="B155" t="s">
        <v>107</v>
      </c>
      <c r="C155" t="s">
        <v>683</v>
      </c>
      <c r="D155">
        <v>154</v>
      </c>
      <c r="E155" t="str">
        <f t="shared" si="4"/>
        <v>WR</v>
      </c>
      <c r="F155">
        <f t="shared" si="5"/>
        <v>64</v>
      </c>
    </row>
    <row r="156" spans="1:6" hidden="1" x14ac:dyDescent="0.25">
      <c r="A156">
        <v>155</v>
      </c>
      <c r="B156" t="s">
        <v>470</v>
      </c>
      <c r="C156" t="s">
        <v>687</v>
      </c>
      <c r="D156">
        <v>155</v>
      </c>
      <c r="E156" t="str">
        <f t="shared" si="4"/>
        <v>WR</v>
      </c>
      <c r="F156">
        <f t="shared" si="5"/>
        <v>65</v>
      </c>
    </row>
    <row r="157" spans="1:6" hidden="1" x14ac:dyDescent="0.25">
      <c r="A157">
        <v>156</v>
      </c>
      <c r="B157" t="s">
        <v>283</v>
      </c>
      <c r="C157" t="s">
        <v>681</v>
      </c>
      <c r="D157">
        <v>156</v>
      </c>
      <c r="E157" t="str">
        <f t="shared" si="4"/>
        <v>RB</v>
      </c>
      <c r="F157">
        <f t="shared" si="5"/>
        <v>52</v>
      </c>
    </row>
    <row r="158" spans="1:6" hidden="1" x14ac:dyDescent="0.25">
      <c r="A158">
        <v>157</v>
      </c>
      <c r="B158" t="s">
        <v>451</v>
      </c>
      <c r="C158" t="s">
        <v>678</v>
      </c>
      <c r="D158">
        <v>157</v>
      </c>
      <c r="E158" t="str">
        <f t="shared" si="4"/>
        <v>TE</v>
      </c>
      <c r="F158">
        <f t="shared" si="5"/>
        <v>18</v>
      </c>
    </row>
    <row r="159" spans="1:6" hidden="1" x14ac:dyDescent="0.25">
      <c r="A159">
        <v>158</v>
      </c>
      <c r="B159" t="s">
        <v>339</v>
      </c>
      <c r="C159" t="s">
        <v>671</v>
      </c>
      <c r="D159">
        <v>158</v>
      </c>
      <c r="E159" t="str">
        <f t="shared" si="4"/>
        <v>QB</v>
      </c>
      <c r="F159">
        <f t="shared" si="5"/>
        <v>22</v>
      </c>
    </row>
    <row r="160" spans="1:6" hidden="1" x14ac:dyDescent="0.25">
      <c r="A160">
        <v>159</v>
      </c>
      <c r="B160" t="s">
        <v>217</v>
      </c>
      <c r="C160" t="s">
        <v>691</v>
      </c>
      <c r="D160">
        <v>159</v>
      </c>
      <c r="E160" t="str">
        <f t="shared" si="4"/>
        <v>WR</v>
      </c>
      <c r="F160">
        <f t="shared" si="5"/>
        <v>66</v>
      </c>
    </row>
    <row r="161" spans="1:6" hidden="1" x14ac:dyDescent="0.25">
      <c r="A161">
        <v>160</v>
      </c>
      <c r="B161" t="s">
        <v>923</v>
      </c>
      <c r="C161" t="s">
        <v>679</v>
      </c>
      <c r="D161">
        <v>160</v>
      </c>
      <c r="E161" t="str">
        <f t="shared" si="4"/>
        <v>TE</v>
      </c>
      <c r="F161">
        <f t="shared" si="5"/>
        <v>19</v>
      </c>
    </row>
    <row r="162" spans="1:6" hidden="1" x14ac:dyDescent="0.25">
      <c r="A162">
        <v>161</v>
      </c>
      <c r="B162" t="s">
        <v>92</v>
      </c>
      <c r="C162" t="s">
        <v>685</v>
      </c>
      <c r="D162">
        <v>161</v>
      </c>
      <c r="E162" t="str">
        <f t="shared" si="4"/>
        <v>TE</v>
      </c>
      <c r="F162">
        <f t="shared" si="5"/>
        <v>20</v>
      </c>
    </row>
    <row r="163" spans="1:6" hidden="1" x14ac:dyDescent="0.25">
      <c r="A163">
        <v>162</v>
      </c>
      <c r="B163" t="s">
        <v>460</v>
      </c>
      <c r="C163" t="s">
        <v>695</v>
      </c>
      <c r="D163">
        <v>162</v>
      </c>
      <c r="E163" t="str">
        <f t="shared" si="4"/>
        <v>WR</v>
      </c>
      <c r="F163">
        <f t="shared" si="5"/>
        <v>67</v>
      </c>
    </row>
    <row r="164" spans="1:6" hidden="1" x14ac:dyDescent="0.25">
      <c r="A164">
        <v>163</v>
      </c>
      <c r="B164" t="s">
        <v>513</v>
      </c>
      <c r="C164" t="s">
        <v>682</v>
      </c>
      <c r="D164">
        <v>163</v>
      </c>
      <c r="E164" t="str">
        <f t="shared" si="4"/>
        <v>QB</v>
      </c>
      <c r="F164">
        <f t="shared" si="5"/>
        <v>23</v>
      </c>
    </row>
    <row r="165" spans="1:6" hidden="1" x14ac:dyDescent="0.25">
      <c r="A165">
        <v>164</v>
      </c>
      <c r="B165" t="s">
        <v>362</v>
      </c>
      <c r="C165" t="s">
        <v>692</v>
      </c>
      <c r="D165">
        <v>164</v>
      </c>
      <c r="E165" t="str">
        <f t="shared" si="4"/>
        <v>QB</v>
      </c>
      <c r="F165">
        <f t="shared" si="5"/>
        <v>24</v>
      </c>
    </row>
    <row r="166" spans="1:6" hidden="1" x14ac:dyDescent="0.25">
      <c r="A166">
        <v>165</v>
      </c>
      <c r="B166" t="s">
        <v>797</v>
      </c>
      <c r="C166" t="s">
        <v>684</v>
      </c>
      <c r="D166">
        <v>165</v>
      </c>
      <c r="E166" t="str">
        <f t="shared" si="4"/>
        <v>RB</v>
      </c>
      <c r="F166">
        <f t="shared" si="5"/>
        <v>53</v>
      </c>
    </row>
    <row r="167" spans="1:6" hidden="1" x14ac:dyDescent="0.25">
      <c r="A167">
        <v>166</v>
      </c>
      <c r="B167" t="s">
        <v>328</v>
      </c>
      <c r="C167" t="s">
        <v>688</v>
      </c>
      <c r="D167">
        <v>166</v>
      </c>
      <c r="E167" t="str">
        <f t="shared" si="4"/>
        <v>RB</v>
      </c>
      <c r="F167">
        <f t="shared" si="5"/>
        <v>54</v>
      </c>
    </row>
    <row r="168" spans="1:6" hidden="1" x14ac:dyDescent="0.25">
      <c r="A168">
        <v>167</v>
      </c>
      <c r="B168" t="s">
        <v>88</v>
      </c>
      <c r="C168" t="s">
        <v>690</v>
      </c>
      <c r="D168">
        <v>167</v>
      </c>
      <c r="E168" t="str">
        <f t="shared" si="4"/>
        <v>TE</v>
      </c>
      <c r="F168">
        <f t="shared" si="5"/>
        <v>21</v>
      </c>
    </row>
    <row r="169" spans="1:6" hidden="1" x14ac:dyDescent="0.25">
      <c r="A169">
        <v>168</v>
      </c>
      <c r="B169" t="s">
        <v>113</v>
      </c>
      <c r="C169" t="s">
        <v>708</v>
      </c>
      <c r="D169">
        <v>168</v>
      </c>
      <c r="E169" t="str">
        <f t="shared" si="4"/>
        <v>WR</v>
      </c>
      <c r="F169">
        <f t="shared" si="5"/>
        <v>68</v>
      </c>
    </row>
    <row r="170" spans="1:6" hidden="1" x14ac:dyDescent="0.25">
      <c r="A170">
        <v>169</v>
      </c>
      <c r="B170" t="s">
        <v>1394</v>
      </c>
      <c r="C170" t="s">
        <v>711</v>
      </c>
      <c r="D170">
        <v>169</v>
      </c>
      <c r="E170" t="str">
        <f t="shared" si="4"/>
        <v>WR</v>
      </c>
      <c r="F170">
        <f t="shared" si="5"/>
        <v>69</v>
      </c>
    </row>
    <row r="171" spans="1:6" hidden="1" x14ac:dyDescent="0.25">
      <c r="A171">
        <v>170</v>
      </c>
      <c r="B171" t="s">
        <v>343</v>
      </c>
      <c r="C171" t="s">
        <v>700</v>
      </c>
      <c r="D171">
        <v>170</v>
      </c>
      <c r="E171" t="str">
        <f t="shared" si="4"/>
        <v>QB</v>
      </c>
      <c r="F171">
        <f t="shared" si="5"/>
        <v>25</v>
      </c>
    </row>
    <row r="172" spans="1:6" hidden="1" x14ac:dyDescent="0.25">
      <c r="A172">
        <v>238</v>
      </c>
      <c r="B172" t="s">
        <v>1494</v>
      </c>
      <c r="C172" t="s">
        <v>803</v>
      </c>
      <c r="D172">
        <v>171</v>
      </c>
      <c r="E172" t="str">
        <f t="shared" si="4"/>
        <v>DS</v>
      </c>
      <c r="F172" t="e">
        <f t="shared" si="5"/>
        <v>#VALUE!</v>
      </c>
    </row>
    <row r="173" spans="1:6" hidden="1" x14ac:dyDescent="0.25">
      <c r="A173">
        <v>171</v>
      </c>
      <c r="B173" t="s">
        <v>77</v>
      </c>
      <c r="C173" t="s">
        <v>693</v>
      </c>
      <c r="D173">
        <v>172</v>
      </c>
      <c r="E173" t="str">
        <f t="shared" si="4"/>
        <v>TE</v>
      </c>
      <c r="F173">
        <f t="shared" si="5"/>
        <v>22</v>
      </c>
    </row>
    <row r="174" spans="1:6" hidden="1" x14ac:dyDescent="0.25">
      <c r="A174">
        <v>172</v>
      </c>
      <c r="B174" t="s">
        <v>127</v>
      </c>
      <c r="C174" t="s">
        <v>713</v>
      </c>
      <c r="D174">
        <v>173</v>
      </c>
      <c r="E174" t="str">
        <f t="shared" si="4"/>
        <v>WR</v>
      </c>
      <c r="F174">
        <f t="shared" si="5"/>
        <v>70</v>
      </c>
    </row>
    <row r="175" spans="1:6" hidden="1" x14ac:dyDescent="0.25">
      <c r="A175">
        <v>173</v>
      </c>
      <c r="B175" t="s">
        <v>1375</v>
      </c>
      <c r="C175" t="s">
        <v>717</v>
      </c>
      <c r="D175">
        <v>174</v>
      </c>
      <c r="E175" t="str">
        <f t="shared" si="4"/>
        <v>WR</v>
      </c>
      <c r="F175">
        <f t="shared" si="5"/>
        <v>71</v>
      </c>
    </row>
    <row r="176" spans="1:6" hidden="1" x14ac:dyDescent="0.25">
      <c r="A176">
        <v>174</v>
      </c>
      <c r="B176" t="s">
        <v>111</v>
      </c>
      <c r="C176" t="s">
        <v>721</v>
      </c>
      <c r="D176">
        <v>175</v>
      </c>
      <c r="E176" t="str">
        <f t="shared" si="4"/>
        <v>WR</v>
      </c>
      <c r="F176">
        <f t="shared" si="5"/>
        <v>72</v>
      </c>
    </row>
    <row r="177" spans="1:6" hidden="1" x14ac:dyDescent="0.25">
      <c r="A177">
        <v>175</v>
      </c>
      <c r="B177" t="s">
        <v>1488</v>
      </c>
      <c r="C177" t="s">
        <v>722</v>
      </c>
      <c r="D177">
        <v>176</v>
      </c>
      <c r="E177" t="str">
        <f t="shared" si="4"/>
        <v>WR</v>
      </c>
      <c r="F177">
        <f t="shared" si="5"/>
        <v>73</v>
      </c>
    </row>
    <row r="178" spans="1:6" hidden="1" x14ac:dyDescent="0.25">
      <c r="A178">
        <v>176</v>
      </c>
      <c r="B178" t="s">
        <v>372</v>
      </c>
      <c r="C178" t="s">
        <v>709</v>
      </c>
      <c r="D178">
        <v>177</v>
      </c>
      <c r="E178" t="str">
        <f t="shared" si="4"/>
        <v>QB</v>
      </c>
      <c r="F178">
        <f t="shared" si="5"/>
        <v>26</v>
      </c>
    </row>
    <row r="179" spans="1:6" hidden="1" x14ac:dyDescent="0.25">
      <c r="A179">
        <v>177</v>
      </c>
      <c r="B179" t="s">
        <v>145</v>
      </c>
      <c r="C179" t="s">
        <v>723</v>
      </c>
      <c r="D179">
        <v>178</v>
      </c>
      <c r="E179" t="str">
        <f t="shared" si="4"/>
        <v>WR</v>
      </c>
      <c r="F179">
        <f t="shared" si="5"/>
        <v>74</v>
      </c>
    </row>
    <row r="180" spans="1:6" hidden="1" x14ac:dyDescent="0.25">
      <c r="A180">
        <v>178</v>
      </c>
      <c r="B180" t="s">
        <v>749</v>
      </c>
      <c r="C180" t="s">
        <v>697</v>
      </c>
      <c r="D180">
        <v>179</v>
      </c>
      <c r="E180" t="str">
        <f t="shared" si="4"/>
        <v>TE</v>
      </c>
      <c r="F180">
        <f t="shared" si="5"/>
        <v>23</v>
      </c>
    </row>
    <row r="181" spans="1:6" hidden="1" x14ac:dyDescent="0.25">
      <c r="A181">
        <v>244</v>
      </c>
      <c r="B181" t="s">
        <v>1495</v>
      </c>
      <c r="C181" t="s">
        <v>811</v>
      </c>
      <c r="D181">
        <v>180</v>
      </c>
      <c r="E181" t="str">
        <f t="shared" si="4"/>
        <v>DS</v>
      </c>
      <c r="F181" t="e">
        <f t="shared" si="5"/>
        <v>#VALUE!</v>
      </c>
    </row>
    <row r="182" spans="1:6" hidden="1" x14ac:dyDescent="0.25">
      <c r="A182">
        <v>179</v>
      </c>
      <c r="B182" t="s">
        <v>1369</v>
      </c>
      <c r="C182" t="s">
        <v>725</v>
      </c>
      <c r="D182">
        <v>181</v>
      </c>
      <c r="E182" t="str">
        <f t="shared" si="4"/>
        <v>WR</v>
      </c>
      <c r="F182">
        <f t="shared" si="5"/>
        <v>75</v>
      </c>
    </row>
    <row r="183" spans="1:6" hidden="1" x14ac:dyDescent="0.25">
      <c r="A183">
        <v>180</v>
      </c>
      <c r="B183" t="s">
        <v>370</v>
      </c>
      <c r="C183" t="s">
        <v>720</v>
      </c>
      <c r="D183">
        <v>182</v>
      </c>
      <c r="E183" t="str">
        <f t="shared" si="4"/>
        <v>QB</v>
      </c>
      <c r="F183">
        <f t="shared" si="5"/>
        <v>27</v>
      </c>
    </row>
    <row r="184" spans="1:6" hidden="1" x14ac:dyDescent="0.25">
      <c r="A184">
        <v>248</v>
      </c>
      <c r="B184" t="s">
        <v>1496</v>
      </c>
      <c r="C184" t="s">
        <v>812</v>
      </c>
      <c r="D184">
        <v>183</v>
      </c>
      <c r="E184" t="str">
        <f t="shared" si="4"/>
        <v>DS</v>
      </c>
      <c r="F184" t="e">
        <f t="shared" si="5"/>
        <v>#VALUE!</v>
      </c>
    </row>
    <row r="185" spans="1:6" hidden="1" x14ac:dyDescent="0.25">
      <c r="A185">
        <v>181</v>
      </c>
      <c r="B185" t="s">
        <v>439</v>
      </c>
      <c r="C185" t="s">
        <v>698</v>
      </c>
      <c r="D185">
        <v>184</v>
      </c>
      <c r="E185" t="str">
        <f t="shared" si="4"/>
        <v>TE</v>
      </c>
      <c r="F185">
        <f t="shared" si="5"/>
        <v>24</v>
      </c>
    </row>
    <row r="186" spans="1:6" hidden="1" x14ac:dyDescent="0.25">
      <c r="A186">
        <v>182</v>
      </c>
      <c r="B186" t="s">
        <v>1057</v>
      </c>
      <c r="C186" t="s">
        <v>727</v>
      </c>
      <c r="D186">
        <v>185</v>
      </c>
      <c r="E186" t="str">
        <f t="shared" si="4"/>
        <v>WR</v>
      </c>
      <c r="F186">
        <f t="shared" si="5"/>
        <v>76</v>
      </c>
    </row>
    <row r="187" spans="1:6" hidden="1" x14ac:dyDescent="0.25">
      <c r="A187">
        <v>183</v>
      </c>
      <c r="B187" t="s">
        <v>98</v>
      </c>
      <c r="C187" t="s">
        <v>710</v>
      </c>
      <c r="D187">
        <v>186</v>
      </c>
      <c r="E187" t="str">
        <f t="shared" si="4"/>
        <v>TE</v>
      </c>
      <c r="F187">
        <f t="shared" si="5"/>
        <v>25</v>
      </c>
    </row>
    <row r="188" spans="1:6" hidden="1" x14ac:dyDescent="0.25">
      <c r="A188">
        <v>184</v>
      </c>
      <c r="B188" t="s">
        <v>757</v>
      </c>
      <c r="C188" t="s">
        <v>728</v>
      </c>
      <c r="D188">
        <v>187</v>
      </c>
      <c r="E188" t="str">
        <f t="shared" si="4"/>
        <v>WR</v>
      </c>
      <c r="F188">
        <f t="shared" si="5"/>
        <v>77</v>
      </c>
    </row>
    <row r="189" spans="1:6" hidden="1" x14ac:dyDescent="0.25">
      <c r="A189">
        <v>185</v>
      </c>
      <c r="B189" t="s">
        <v>490</v>
      </c>
      <c r="C189" t="s">
        <v>689</v>
      </c>
      <c r="D189">
        <v>188</v>
      </c>
      <c r="E189" t="str">
        <f t="shared" si="4"/>
        <v>RB</v>
      </c>
      <c r="F189">
        <f t="shared" si="5"/>
        <v>55</v>
      </c>
    </row>
    <row r="190" spans="1:6" hidden="1" x14ac:dyDescent="0.25">
      <c r="A190">
        <v>186</v>
      </c>
      <c r="B190" t="s">
        <v>509</v>
      </c>
      <c r="C190" t="s">
        <v>734</v>
      </c>
      <c r="D190">
        <v>189</v>
      </c>
      <c r="E190" t="str">
        <f t="shared" si="4"/>
        <v>QB</v>
      </c>
      <c r="F190">
        <f t="shared" si="5"/>
        <v>28</v>
      </c>
    </row>
    <row r="191" spans="1:6" hidden="1" x14ac:dyDescent="0.25">
      <c r="A191">
        <v>187</v>
      </c>
      <c r="B191" t="s">
        <v>458</v>
      </c>
      <c r="C191" t="s">
        <v>715</v>
      </c>
      <c r="D191">
        <v>190</v>
      </c>
      <c r="E191" t="str">
        <f t="shared" si="4"/>
        <v>TE</v>
      </c>
      <c r="F191">
        <f t="shared" si="5"/>
        <v>26</v>
      </c>
    </row>
    <row r="192" spans="1:6" hidden="1" x14ac:dyDescent="0.25">
      <c r="A192">
        <v>188</v>
      </c>
      <c r="B192" t="s">
        <v>386</v>
      </c>
      <c r="C192" t="s">
        <v>739</v>
      </c>
      <c r="D192">
        <v>191</v>
      </c>
      <c r="E192" t="str">
        <f t="shared" si="4"/>
        <v>QB</v>
      </c>
      <c r="F192">
        <f t="shared" si="5"/>
        <v>29</v>
      </c>
    </row>
    <row r="193" spans="1:6" hidden="1" x14ac:dyDescent="0.25">
      <c r="A193">
        <v>189</v>
      </c>
      <c r="B193" t="s">
        <v>363</v>
      </c>
      <c r="C193" t="s">
        <v>742</v>
      </c>
      <c r="D193">
        <v>192</v>
      </c>
      <c r="E193" t="str">
        <f t="shared" si="4"/>
        <v>QB</v>
      </c>
      <c r="F193">
        <f t="shared" si="5"/>
        <v>30</v>
      </c>
    </row>
    <row r="194" spans="1:6" hidden="1" x14ac:dyDescent="0.25">
      <c r="A194">
        <v>190</v>
      </c>
      <c r="B194" t="s">
        <v>1284</v>
      </c>
      <c r="C194" t="s">
        <v>694</v>
      </c>
      <c r="D194">
        <v>193</v>
      </c>
      <c r="E194" t="str">
        <f t="shared" si="4"/>
        <v>RB</v>
      </c>
      <c r="F194">
        <f t="shared" si="5"/>
        <v>56</v>
      </c>
    </row>
    <row r="195" spans="1:6" hidden="1" x14ac:dyDescent="0.25">
      <c r="A195">
        <v>191</v>
      </c>
      <c r="B195" t="s">
        <v>1377</v>
      </c>
      <c r="C195" t="s">
        <v>729</v>
      </c>
      <c r="D195">
        <v>194</v>
      </c>
      <c r="E195" t="str">
        <f t="shared" ref="E195:E258" si="6">LEFT(C195,2)</f>
        <v>WR</v>
      </c>
      <c r="F195">
        <f t="shared" ref="F195:F258" si="7">VALUE(MID(C195,3,LEN(C195)))</f>
        <v>78</v>
      </c>
    </row>
    <row r="196" spans="1:6" hidden="1" x14ac:dyDescent="0.25">
      <c r="A196">
        <v>217</v>
      </c>
      <c r="B196" t="s">
        <v>468</v>
      </c>
      <c r="C196" t="s">
        <v>741</v>
      </c>
      <c r="D196">
        <v>195</v>
      </c>
      <c r="E196" t="str">
        <f t="shared" si="6"/>
        <v>WR</v>
      </c>
      <c r="F196">
        <f t="shared" si="7"/>
        <v>86</v>
      </c>
    </row>
    <row r="197" spans="1:6" hidden="1" x14ac:dyDescent="0.25">
      <c r="A197">
        <v>260</v>
      </c>
      <c r="B197" t="s">
        <v>1497</v>
      </c>
      <c r="C197" t="s">
        <v>814</v>
      </c>
      <c r="D197">
        <v>196</v>
      </c>
      <c r="E197" t="str">
        <f t="shared" si="6"/>
        <v>DS</v>
      </c>
      <c r="F197" t="e">
        <f t="shared" si="7"/>
        <v>#VALUE!</v>
      </c>
    </row>
    <row r="198" spans="1:6" hidden="1" x14ac:dyDescent="0.25">
      <c r="A198">
        <v>192</v>
      </c>
      <c r="B198" t="s">
        <v>189</v>
      </c>
      <c r="C198" t="s">
        <v>730</v>
      </c>
      <c r="D198">
        <v>197</v>
      </c>
      <c r="E198" t="str">
        <f t="shared" si="6"/>
        <v>WR</v>
      </c>
      <c r="F198">
        <f t="shared" si="7"/>
        <v>79</v>
      </c>
    </row>
    <row r="199" spans="1:6" hidden="1" x14ac:dyDescent="0.25">
      <c r="A199">
        <v>193</v>
      </c>
      <c r="B199" t="s">
        <v>449</v>
      </c>
      <c r="C199" t="s">
        <v>719</v>
      </c>
      <c r="D199">
        <v>198</v>
      </c>
      <c r="E199" t="str">
        <f t="shared" si="6"/>
        <v>TE</v>
      </c>
      <c r="F199">
        <f t="shared" si="7"/>
        <v>27</v>
      </c>
    </row>
    <row r="200" spans="1:6" hidden="1" x14ac:dyDescent="0.25">
      <c r="A200">
        <v>194</v>
      </c>
      <c r="B200" t="s">
        <v>1489</v>
      </c>
      <c r="C200" t="s">
        <v>699</v>
      </c>
      <c r="D200">
        <v>199</v>
      </c>
      <c r="E200" t="str">
        <f t="shared" si="6"/>
        <v>RB</v>
      </c>
      <c r="F200">
        <f t="shared" si="7"/>
        <v>57</v>
      </c>
    </row>
    <row r="201" spans="1:6" hidden="1" x14ac:dyDescent="0.25">
      <c r="A201">
        <v>195</v>
      </c>
      <c r="B201" t="s">
        <v>1395</v>
      </c>
      <c r="C201" t="s">
        <v>702</v>
      </c>
      <c r="D201">
        <v>200</v>
      </c>
      <c r="E201" t="str">
        <f t="shared" si="6"/>
        <v>RB</v>
      </c>
      <c r="F201">
        <f t="shared" si="7"/>
        <v>58</v>
      </c>
    </row>
    <row r="202" spans="1:6" hidden="1" x14ac:dyDescent="0.25">
      <c r="A202">
        <v>196</v>
      </c>
      <c r="B202" t="s">
        <v>1385</v>
      </c>
      <c r="C202" t="s">
        <v>703</v>
      </c>
      <c r="D202">
        <v>201</v>
      </c>
      <c r="E202" t="str">
        <f t="shared" si="6"/>
        <v>RB</v>
      </c>
      <c r="F202">
        <f t="shared" si="7"/>
        <v>59</v>
      </c>
    </row>
    <row r="203" spans="1:6" hidden="1" x14ac:dyDescent="0.25">
      <c r="A203">
        <v>197</v>
      </c>
      <c r="B203" t="s">
        <v>1490</v>
      </c>
      <c r="C203" t="s">
        <v>705</v>
      </c>
      <c r="D203">
        <v>202</v>
      </c>
      <c r="E203" t="str">
        <f t="shared" si="6"/>
        <v>RB</v>
      </c>
      <c r="F203">
        <f t="shared" si="7"/>
        <v>60</v>
      </c>
    </row>
    <row r="204" spans="1:6" hidden="1" x14ac:dyDescent="0.25">
      <c r="A204">
        <v>219</v>
      </c>
      <c r="B204" t="s">
        <v>1398</v>
      </c>
      <c r="C204" t="s">
        <v>744</v>
      </c>
      <c r="D204">
        <v>203</v>
      </c>
      <c r="E204" t="str">
        <f t="shared" si="6"/>
        <v>WR</v>
      </c>
      <c r="F204">
        <f t="shared" si="7"/>
        <v>87</v>
      </c>
    </row>
    <row r="205" spans="1:6" hidden="1" x14ac:dyDescent="0.25">
      <c r="A205">
        <v>220</v>
      </c>
      <c r="B205" t="s">
        <v>1399</v>
      </c>
      <c r="C205" t="s">
        <v>754</v>
      </c>
      <c r="D205">
        <v>204</v>
      </c>
      <c r="E205" t="str">
        <f t="shared" si="6"/>
        <v>RB</v>
      </c>
      <c r="F205">
        <f t="shared" si="7"/>
        <v>70</v>
      </c>
    </row>
    <row r="206" spans="1:6" hidden="1" x14ac:dyDescent="0.25">
      <c r="A206">
        <v>264</v>
      </c>
      <c r="B206" t="s">
        <v>1498</v>
      </c>
      <c r="C206" t="s">
        <v>818</v>
      </c>
      <c r="D206">
        <v>205</v>
      </c>
      <c r="E206" t="str">
        <f t="shared" si="6"/>
        <v>DS</v>
      </c>
      <c r="F206" t="e">
        <f t="shared" si="7"/>
        <v>#VALUE!</v>
      </c>
    </row>
    <row r="207" spans="1:6" hidden="1" x14ac:dyDescent="0.25">
      <c r="A207">
        <v>266</v>
      </c>
      <c r="B207" t="s">
        <v>1499</v>
      </c>
      <c r="C207" t="s">
        <v>819</v>
      </c>
      <c r="D207">
        <v>206</v>
      </c>
      <c r="E207" t="str">
        <f t="shared" si="6"/>
        <v>DS</v>
      </c>
      <c r="F207" t="e">
        <f t="shared" si="7"/>
        <v>#VALUE!</v>
      </c>
    </row>
    <row r="208" spans="1:6" hidden="1" x14ac:dyDescent="0.25">
      <c r="A208">
        <v>199</v>
      </c>
      <c r="B208" t="s">
        <v>404</v>
      </c>
      <c r="C208" t="s">
        <v>714</v>
      </c>
      <c r="D208">
        <v>207</v>
      </c>
      <c r="E208" t="str">
        <f t="shared" si="6"/>
        <v>RB</v>
      </c>
      <c r="F208">
        <f t="shared" si="7"/>
        <v>62</v>
      </c>
    </row>
    <row r="209" spans="1:6" hidden="1" x14ac:dyDescent="0.25">
      <c r="A209">
        <v>200</v>
      </c>
      <c r="B209" t="s">
        <v>1396</v>
      </c>
      <c r="C209" t="s">
        <v>716</v>
      </c>
      <c r="D209">
        <v>208</v>
      </c>
      <c r="E209" t="str">
        <f t="shared" si="6"/>
        <v>RB</v>
      </c>
      <c r="F209">
        <f t="shared" si="7"/>
        <v>63</v>
      </c>
    </row>
    <row r="210" spans="1:6" hidden="1" x14ac:dyDescent="0.25">
      <c r="A210">
        <v>201</v>
      </c>
      <c r="B210" t="s">
        <v>1384</v>
      </c>
      <c r="C210" t="s">
        <v>718</v>
      </c>
      <c r="D210">
        <v>209</v>
      </c>
      <c r="E210" t="str">
        <f t="shared" si="6"/>
        <v>RB</v>
      </c>
      <c r="F210">
        <f t="shared" si="7"/>
        <v>64</v>
      </c>
    </row>
    <row r="211" spans="1:6" hidden="1" x14ac:dyDescent="0.25">
      <c r="A211">
        <v>222</v>
      </c>
      <c r="B211" t="s">
        <v>1492</v>
      </c>
      <c r="C211" t="s">
        <v>767</v>
      </c>
      <c r="D211">
        <v>210</v>
      </c>
      <c r="E211" t="str">
        <f t="shared" si="6"/>
        <v>RB</v>
      </c>
      <c r="F211">
        <f t="shared" si="7"/>
        <v>71</v>
      </c>
    </row>
    <row r="212" spans="1:6" hidden="1" x14ac:dyDescent="0.25">
      <c r="A212">
        <v>202</v>
      </c>
      <c r="B212" t="s">
        <v>686</v>
      </c>
      <c r="C212" t="s">
        <v>732</v>
      </c>
      <c r="D212">
        <v>211</v>
      </c>
      <c r="E212" t="str">
        <f t="shared" si="6"/>
        <v>WR</v>
      </c>
      <c r="F212">
        <f t="shared" si="7"/>
        <v>80</v>
      </c>
    </row>
    <row r="213" spans="1:6" hidden="1" x14ac:dyDescent="0.25">
      <c r="A213">
        <v>223</v>
      </c>
      <c r="B213" t="s">
        <v>1372</v>
      </c>
      <c r="C213" t="s">
        <v>748</v>
      </c>
      <c r="D213">
        <v>212</v>
      </c>
      <c r="E213" t="str">
        <f t="shared" si="6"/>
        <v>WR</v>
      </c>
      <c r="F213">
        <f t="shared" si="7"/>
        <v>88</v>
      </c>
    </row>
    <row r="214" spans="1:6" hidden="1" x14ac:dyDescent="0.25">
      <c r="A214">
        <v>203</v>
      </c>
      <c r="B214" t="s">
        <v>1091</v>
      </c>
      <c r="C214" t="s">
        <v>724</v>
      </c>
      <c r="D214">
        <v>213</v>
      </c>
      <c r="E214" t="str">
        <f t="shared" si="6"/>
        <v>TE</v>
      </c>
      <c r="F214">
        <f t="shared" si="7"/>
        <v>28</v>
      </c>
    </row>
    <row r="215" spans="1:6" hidden="1" x14ac:dyDescent="0.25">
      <c r="A215">
        <v>269</v>
      </c>
      <c r="B215" t="s">
        <v>1501</v>
      </c>
      <c r="C215" t="s">
        <v>822</v>
      </c>
      <c r="D215">
        <v>214</v>
      </c>
      <c r="E215" t="str">
        <f t="shared" si="6"/>
        <v>DS</v>
      </c>
      <c r="F215" t="e">
        <f t="shared" si="7"/>
        <v>#VALUE!</v>
      </c>
    </row>
    <row r="216" spans="1:6" hidden="1" x14ac:dyDescent="0.25">
      <c r="A216">
        <v>271</v>
      </c>
      <c r="B216" t="s">
        <v>1502</v>
      </c>
      <c r="C216" t="s">
        <v>826</v>
      </c>
      <c r="D216">
        <v>215</v>
      </c>
      <c r="E216" t="str">
        <f t="shared" si="6"/>
        <v>DS</v>
      </c>
      <c r="F216" t="e">
        <f t="shared" si="7"/>
        <v>#VALUE!</v>
      </c>
    </row>
    <row r="217" spans="1:6" hidden="1" x14ac:dyDescent="0.25">
      <c r="A217">
        <v>204</v>
      </c>
      <c r="B217" t="s">
        <v>483</v>
      </c>
      <c r="C217" t="s">
        <v>735</v>
      </c>
      <c r="D217">
        <v>216</v>
      </c>
      <c r="E217" t="str">
        <f t="shared" si="6"/>
        <v>WR</v>
      </c>
      <c r="F217">
        <f t="shared" si="7"/>
        <v>81</v>
      </c>
    </row>
    <row r="218" spans="1:6" hidden="1" x14ac:dyDescent="0.25">
      <c r="A218">
        <v>274</v>
      </c>
      <c r="B218" t="s">
        <v>1503</v>
      </c>
      <c r="C218" t="s">
        <v>828</v>
      </c>
      <c r="D218">
        <v>217</v>
      </c>
      <c r="E218" t="str">
        <f t="shared" si="6"/>
        <v>DS</v>
      </c>
      <c r="F218" t="e">
        <f t="shared" si="7"/>
        <v>#VALUE!</v>
      </c>
    </row>
    <row r="219" spans="1:6" hidden="1" x14ac:dyDescent="0.25">
      <c r="A219">
        <v>205</v>
      </c>
      <c r="B219" t="s">
        <v>1272</v>
      </c>
      <c r="C219" t="s">
        <v>755</v>
      </c>
      <c r="D219">
        <v>218</v>
      </c>
      <c r="E219" t="str">
        <f t="shared" si="6"/>
        <v>QB</v>
      </c>
      <c r="F219">
        <f t="shared" si="7"/>
        <v>31</v>
      </c>
    </row>
    <row r="220" spans="1:6" hidden="1" x14ac:dyDescent="0.25">
      <c r="A220">
        <v>206</v>
      </c>
      <c r="B220" t="s">
        <v>511</v>
      </c>
      <c r="C220" t="s">
        <v>759</v>
      </c>
      <c r="D220">
        <v>219</v>
      </c>
      <c r="E220" t="str">
        <f t="shared" si="6"/>
        <v>QB</v>
      </c>
      <c r="F220">
        <f t="shared" si="7"/>
        <v>32</v>
      </c>
    </row>
    <row r="221" spans="1:6" hidden="1" x14ac:dyDescent="0.25">
      <c r="A221">
        <v>276</v>
      </c>
      <c r="B221" t="s">
        <v>1504</v>
      </c>
      <c r="C221" t="s">
        <v>831</v>
      </c>
      <c r="D221">
        <v>220</v>
      </c>
      <c r="E221" t="str">
        <f t="shared" si="6"/>
        <v>DS</v>
      </c>
      <c r="F221" t="e">
        <f t="shared" si="7"/>
        <v>#VALUE!</v>
      </c>
    </row>
    <row r="222" spans="1:6" hidden="1" x14ac:dyDescent="0.25">
      <c r="A222">
        <v>277</v>
      </c>
      <c r="B222" t="s">
        <v>1505</v>
      </c>
      <c r="C222" t="s">
        <v>834</v>
      </c>
      <c r="D222">
        <v>221</v>
      </c>
      <c r="E222" t="str">
        <f t="shared" si="6"/>
        <v>DS</v>
      </c>
      <c r="F222" t="e">
        <f t="shared" si="7"/>
        <v>#VALUE!</v>
      </c>
    </row>
    <row r="223" spans="1:6" hidden="1" x14ac:dyDescent="0.25">
      <c r="A223">
        <v>278</v>
      </c>
      <c r="B223" t="s">
        <v>1506</v>
      </c>
      <c r="C223" t="s">
        <v>835</v>
      </c>
      <c r="D223">
        <v>222</v>
      </c>
      <c r="E223" t="str">
        <f t="shared" si="6"/>
        <v>DS</v>
      </c>
      <c r="F223" t="e">
        <f t="shared" si="7"/>
        <v>#VALUE!</v>
      </c>
    </row>
    <row r="224" spans="1:6" hidden="1" x14ac:dyDescent="0.25">
      <c r="A224">
        <v>207</v>
      </c>
      <c r="B224" t="s">
        <v>167</v>
      </c>
      <c r="C224" t="s">
        <v>736</v>
      </c>
      <c r="D224">
        <v>223</v>
      </c>
      <c r="E224" t="str">
        <f t="shared" si="6"/>
        <v>WR</v>
      </c>
      <c r="F224">
        <f t="shared" si="7"/>
        <v>82</v>
      </c>
    </row>
    <row r="225" spans="1:6" hidden="1" x14ac:dyDescent="0.25">
      <c r="A225">
        <v>279</v>
      </c>
      <c r="B225" t="s">
        <v>1507</v>
      </c>
      <c r="C225" t="s">
        <v>836</v>
      </c>
      <c r="D225">
        <v>224</v>
      </c>
      <c r="E225" t="str">
        <f t="shared" si="6"/>
        <v>DS</v>
      </c>
      <c r="F225" t="e">
        <f t="shared" si="7"/>
        <v>#VALUE!</v>
      </c>
    </row>
    <row r="226" spans="1:6" hidden="1" x14ac:dyDescent="0.25">
      <c r="A226">
        <v>208</v>
      </c>
      <c r="B226" t="s">
        <v>1397</v>
      </c>
      <c r="C226" t="s">
        <v>743</v>
      </c>
      <c r="D226">
        <v>225</v>
      </c>
      <c r="E226" t="str">
        <f t="shared" si="6"/>
        <v>TE</v>
      </c>
      <c r="F226">
        <f t="shared" si="7"/>
        <v>29</v>
      </c>
    </row>
    <row r="227" spans="1:6" hidden="1" x14ac:dyDescent="0.25">
      <c r="A227">
        <v>224</v>
      </c>
      <c r="B227" t="s">
        <v>921</v>
      </c>
      <c r="C227" t="s">
        <v>751</v>
      </c>
      <c r="D227">
        <v>226</v>
      </c>
      <c r="E227" t="str">
        <f t="shared" si="6"/>
        <v>WR</v>
      </c>
      <c r="F227">
        <f t="shared" si="7"/>
        <v>89</v>
      </c>
    </row>
    <row r="228" spans="1:6" hidden="1" x14ac:dyDescent="0.25">
      <c r="A228">
        <v>209</v>
      </c>
      <c r="B228" t="s">
        <v>424</v>
      </c>
      <c r="C228" t="s">
        <v>737</v>
      </c>
      <c r="D228">
        <v>227</v>
      </c>
      <c r="E228" t="str">
        <f t="shared" si="6"/>
        <v>WR</v>
      </c>
      <c r="F228">
        <f t="shared" si="7"/>
        <v>83</v>
      </c>
    </row>
    <row r="229" spans="1:6" hidden="1" x14ac:dyDescent="0.25">
      <c r="A229">
        <v>280</v>
      </c>
      <c r="B229" t="s">
        <v>1508</v>
      </c>
      <c r="C229" t="s">
        <v>844</v>
      </c>
      <c r="D229">
        <v>228</v>
      </c>
      <c r="E229" t="str">
        <f t="shared" si="6"/>
        <v>DS</v>
      </c>
      <c r="F229" t="e">
        <f t="shared" si="7"/>
        <v>#VALUE!</v>
      </c>
    </row>
    <row r="230" spans="1:6" hidden="1" x14ac:dyDescent="0.25">
      <c r="A230">
        <v>281</v>
      </c>
      <c r="B230" t="s">
        <v>1509</v>
      </c>
      <c r="C230" t="s">
        <v>845</v>
      </c>
      <c r="D230">
        <v>229</v>
      </c>
      <c r="E230" t="str">
        <f t="shared" si="6"/>
        <v>DS</v>
      </c>
      <c r="F230" t="e">
        <f t="shared" si="7"/>
        <v>#VALUE!</v>
      </c>
    </row>
    <row r="231" spans="1:6" hidden="1" x14ac:dyDescent="0.25">
      <c r="A231">
        <v>225</v>
      </c>
      <c r="B231" t="s">
        <v>395</v>
      </c>
      <c r="C231" t="s">
        <v>768</v>
      </c>
      <c r="D231">
        <v>230</v>
      </c>
      <c r="E231" t="str">
        <f t="shared" si="6"/>
        <v>RB</v>
      </c>
      <c r="F231">
        <f t="shared" si="7"/>
        <v>72</v>
      </c>
    </row>
    <row r="232" spans="1:6" hidden="1" x14ac:dyDescent="0.25">
      <c r="A232">
        <v>210</v>
      </c>
      <c r="B232" t="s">
        <v>1388</v>
      </c>
      <c r="C232" t="s">
        <v>726</v>
      </c>
      <c r="D232">
        <v>231</v>
      </c>
      <c r="E232" t="str">
        <f t="shared" si="6"/>
        <v>RB</v>
      </c>
      <c r="F232">
        <f t="shared" si="7"/>
        <v>65</v>
      </c>
    </row>
    <row r="233" spans="1:6" hidden="1" x14ac:dyDescent="0.25">
      <c r="A233">
        <v>284</v>
      </c>
      <c r="B233" t="s">
        <v>1510</v>
      </c>
      <c r="C233" t="s">
        <v>846</v>
      </c>
      <c r="D233">
        <v>232</v>
      </c>
      <c r="E233" t="str">
        <f t="shared" si="6"/>
        <v>DS</v>
      </c>
      <c r="F233" t="e">
        <f t="shared" si="7"/>
        <v>#VALUE!</v>
      </c>
    </row>
    <row r="234" spans="1:6" hidden="1" x14ac:dyDescent="0.25">
      <c r="A234">
        <v>211</v>
      </c>
      <c r="B234" t="s">
        <v>462</v>
      </c>
      <c r="C234" t="s">
        <v>738</v>
      </c>
      <c r="D234">
        <v>233</v>
      </c>
      <c r="E234" t="str">
        <f t="shared" si="6"/>
        <v>WR</v>
      </c>
      <c r="F234">
        <f t="shared" si="7"/>
        <v>84</v>
      </c>
    </row>
    <row r="235" spans="1:6" hidden="1" x14ac:dyDescent="0.25">
      <c r="A235">
        <v>212</v>
      </c>
      <c r="B235" t="s">
        <v>296</v>
      </c>
      <c r="C235" t="s">
        <v>731</v>
      </c>
      <c r="D235">
        <v>234</v>
      </c>
      <c r="E235" t="str">
        <f t="shared" si="6"/>
        <v>RB</v>
      </c>
      <c r="F235">
        <f t="shared" si="7"/>
        <v>66</v>
      </c>
    </row>
    <row r="236" spans="1:6" hidden="1" x14ac:dyDescent="0.25">
      <c r="A236">
        <v>286</v>
      </c>
      <c r="B236" t="s">
        <v>1511</v>
      </c>
      <c r="C236" t="s">
        <v>850</v>
      </c>
      <c r="D236">
        <v>235</v>
      </c>
      <c r="E236" t="str">
        <f t="shared" si="6"/>
        <v>DS</v>
      </c>
      <c r="F236" t="e">
        <f t="shared" si="7"/>
        <v>#VALUE!</v>
      </c>
    </row>
    <row r="237" spans="1:6" hidden="1" x14ac:dyDescent="0.25">
      <c r="A237">
        <v>213</v>
      </c>
      <c r="B237" t="s">
        <v>258</v>
      </c>
      <c r="C237" t="s">
        <v>733</v>
      </c>
      <c r="D237">
        <v>236</v>
      </c>
      <c r="E237" t="str">
        <f t="shared" si="6"/>
        <v>RB</v>
      </c>
      <c r="F237">
        <f t="shared" si="7"/>
        <v>67</v>
      </c>
    </row>
    <row r="238" spans="1:6" hidden="1" x14ac:dyDescent="0.25">
      <c r="A238">
        <v>288</v>
      </c>
      <c r="B238" t="s">
        <v>1513</v>
      </c>
      <c r="C238" t="s">
        <v>852</v>
      </c>
      <c r="D238">
        <v>237</v>
      </c>
      <c r="E238" t="str">
        <f t="shared" si="6"/>
        <v>DS</v>
      </c>
      <c r="F238" t="e">
        <f t="shared" si="7"/>
        <v>#VALUE!</v>
      </c>
    </row>
    <row r="239" spans="1:6" hidden="1" x14ac:dyDescent="0.25">
      <c r="A239">
        <v>227</v>
      </c>
      <c r="B239" t="s">
        <v>823</v>
      </c>
      <c r="C239" t="s">
        <v>758</v>
      </c>
      <c r="D239">
        <v>238</v>
      </c>
      <c r="E239" t="str">
        <f t="shared" si="6"/>
        <v>WR</v>
      </c>
      <c r="F239">
        <f t="shared" si="7"/>
        <v>91</v>
      </c>
    </row>
    <row r="240" spans="1:6" hidden="1" x14ac:dyDescent="0.25">
      <c r="A240">
        <v>228</v>
      </c>
      <c r="B240" t="s">
        <v>393</v>
      </c>
      <c r="C240" t="s">
        <v>772</v>
      </c>
      <c r="D240">
        <v>239</v>
      </c>
      <c r="E240" t="str">
        <f t="shared" si="6"/>
        <v>RB</v>
      </c>
      <c r="F240">
        <f t="shared" si="7"/>
        <v>73</v>
      </c>
    </row>
    <row r="241" spans="1:6" hidden="1" x14ac:dyDescent="0.25">
      <c r="A241">
        <v>229</v>
      </c>
      <c r="B241" t="s">
        <v>402</v>
      </c>
      <c r="C241" t="s">
        <v>775</v>
      </c>
      <c r="D241">
        <v>240</v>
      </c>
      <c r="E241" t="str">
        <f t="shared" si="6"/>
        <v>RB</v>
      </c>
      <c r="F241">
        <f t="shared" si="7"/>
        <v>74</v>
      </c>
    </row>
    <row r="242" spans="1:6" hidden="1" x14ac:dyDescent="0.25">
      <c r="A242">
        <v>291</v>
      </c>
      <c r="B242" t="s">
        <v>1515</v>
      </c>
      <c r="C242" t="s">
        <v>853</v>
      </c>
      <c r="D242">
        <v>241</v>
      </c>
      <c r="E242" t="str">
        <f t="shared" si="6"/>
        <v>DS</v>
      </c>
      <c r="F242" t="e">
        <f t="shared" si="7"/>
        <v>#VALUE!</v>
      </c>
    </row>
    <row r="243" spans="1:6" hidden="1" x14ac:dyDescent="0.25">
      <c r="A243">
        <v>214</v>
      </c>
      <c r="B243" t="s">
        <v>1491</v>
      </c>
      <c r="C243" t="s">
        <v>740</v>
      </c>
      <c r="D243">
        <v>242</v>
      </c>
      <c r="E243" t="str">
        <f t="shared" si="6"/>
        <v>WR</v>
      </c>
      <c r="F243">
        <f t="shared" si="7"/>
        <v>85</v>
      </c>
    </row>
    <row r="244" spans="1:6" hidden="1" x14ac:dyDescent="0.25">
      <c r="A244">
        <v>292</v>
      </c>
      <c r="B244" t="s">
        <v>1516</v>
      </c>
      <c r="C244" t="s">
        <v>858</v>
      </c>
      <c r="D244">
        <v>243</v>
      </c>
      <c r="E244" t="str">
        <f t="shared" si="6"/>
        <v>DS</v>
      </c>
      <c r="F244" t="e">
        <f t="shared" si="7"/>
        <v>#VALUE!</v>
      </c>
    </row>
    <row r="245" spans="1:6" hidden="1" x14ac:dyDescent="0.25">
      <c r="A245">
        <v>293</v>
      </c>
      <c r="B245" t="s">
        <v>1517</v>
      </c>
      <c r="C245" t="s">
        <v>863</v>
      </c>
      <c r="D245">
        <v>244</v>
      </c>
      <c r="E245" t="str">
        <f t="shared" si="6"/>
        <v>DS</v>
      </c>
      <c r="F245" t="e">
        <f t="shared" si="7"/>
        <v>#VALUE!</v>
      </c>
    </row>
    <row r="246" spans="1:6" hidden="1" x14ac:dyDescent="0.25">
      <c r="A246">
        <v>215</v>
      </c>
      <c r="B246" t="s">
        <v>1392</v>
      </c>
      <c r="C246" t="s">
        <v>747</v>
      </c>
      <c r="D246">
        <v>245</v>
      </c>
      <c r="E246" t="str">
        <f t="shared" si="6"/>
        <v>RB</v>
      </c>
      <c r="F246">
        <f t="shared" si="7"/>
        <v>68</v>
      </c>
    </row>
    <row r="247" spans="1:6" hidden="1" x14ac:dyDescent="0.25">
      <c r="A247">
        <v>230</v>
      </c>
      <c r="B247" t="s">
        <v>412</v>
      </c>
      <c r="C247" t="s">
        <v>761</v>
      </c>
      <c r="D247">
        <v>246</v>
      </c>
      <c r="E247" t="str">
        <f t="shared" si="6"/>
        <v>WR</v>
      </c>
      <c r="F247">
        <f t="shared" si="7"/>
        <v>92</v>
      </c>
    </row>
    <row r="248" spans="1:6" hidden="1" x14ac:dyDescent="0.25">
      <c r="A248">
        <v>231</v>
      </c>
      <c r="B248" t="s">
        <v>237</v>
      </c>
      <c r="C248" t="s">
        <v>777</v>
      </c>
      <c r="D248">
        <v>247</v>
      </c>
      <c r="E248" t="str">
        <f t="shared" si="6"/>
        <v>RB</v>
      </c>
      <c r="F248">
        <f t="shared" si="7"/>
        <v>75</v>
      </c>
    </row>
    <row r="249" spans="1:6" hidden="1" x14ac:dyDescent="0.25">
      <c r="A249">
        <v>295</v>
      </c>
      <c r="B249" t="s">
        <v>1518</v>
      </c>
      <c r="C249" t="s">
        <v>866</v>
      </c>
      <c r="D249">
        <v>248</v>
      </c>
      <c r="E249" t="str">
        <f t="shared" si="6"/>
        <v>DS</v>
      </c>
      <c r="F249" t="e">
        <f t="shared" si="7"/>
        <v>#VALUE!</v>
      </c>
    </row>
    <row r="250" spans="1:6" hidden="1" x14ac:dyDescent="0.25">
      <c r="A250">
        <v>232</v>
      </c>
      <c r="B250" t="s">
        <v>436</v>
      </c>
      <c r="C250" t="s">
        <v>756</v>
      </c>
      <c r="D250">
        <v>249</v>
      </c>
      <c r="E250" t="str">
        <f t="shared" si="6"/>
        <v>TE</v>
      </c>
      <c r="F250">
        <f t="shared" si="7"/>
        <v>32</v>
      </c>
    </row>
    <row r="251" spans="1:6" hidden="1" x14ac:dyDescent="0.25">
      <c r="A251">
        <v>233</v>
      </c>
      <c r="B251" t="s">
        <v>431</v>
      </c>
      <c r="C251" t="s">
        <v>763</v>
      </c>
      <c r="D251">
        <v>250</v>
      </c>
      <c r="E251" t="str">
        <f t="shared" si="6"/>
        <v>WR</v>
      </c>
      <c r="F251">
        <f t="shared" si="7"/>
        <v>93</v>
      </c>
    </row>
    <row r="252" spans="1:6" hidden="1" x14ac:dyDescent="0.25">
      <c r="A252">
        <v>234</v>
      </c>
      <c r="B252" t="s">
        <v>135</v>
      </c>
      <c r="C252" t="s">
        <v>765</v>
      </c>
      <c r="D252">
        <v>251</v>
      </c>
      <c r="E252" t="str">
        <f t="shared" si="6"/>
        <v>WR</v>
      </c>
      <c r="F252">
        <f t="shared" si="7"/>
        <v>94</v>
      </c>
    </row>
    <row r="253" spans="1:6" hidden="1" x14ac:dyDescent="0.25">
      <c r="A253">
        <v>323</v>
      </c>
      <c r="B253" t="s">
        <v>1525</v>
      </c>
      <c r="C253" t="s">
        <v>878</v>
      </c>
      <c r="D253">
        <v>252</v>
      </c>
      <c r="E253" t="str">
        <f t="shared" si="6"/>
        <v>DS</v>
      </c>
      <c r="F253" t="e">
        <f t="shared" si="7"/>
        <v>#VALUE!</v>
      </c>
    </row>
    <row r="254" spans="1:6" hidden="1" x14ac:dyDescent="0.25">
      <c r="A254">
        <v>216</v>
      </c>
      <c r="B254" t="s">
        <v>1387</v>
      </c>
      <c r="C254" t="s">
        <v>753</v>
      </c>
      <c r="D254">
        <v>253</v>
      </c>
      <c r="E254" t="str">
        <f t="shared" si="6"/>
        <v>RB</v>
      </c>
      <c r="F254">
        <f t="shared" si="7"/>
        <v>69</v>
      </c>
    </row>
    <row r="255" spans="1:6" hidden="1" x14ac:dyDescent="0.25">
      <c r="A255">
        <v>235</v>
      </c>
      <c r="B255" t="s">
        <v>805</v>
      </c>
      <c r="C255" t="s">
        <v>780</v>
      </c>
      <c r="D255">
        <v>254</v>
      </c>
      <c r="E255" t="str">
        <f t="shared" si="6"/>
        <v>RB</v>
      </c>
      <c r="F255">
        <f t="shared" si="7"/>
        <v>76</v>
      </c>
    </row>
    <row r="256" spans="1:6" hidden="1" x14ac:dyDescent="0.25">
      <c r="A256">
        <v>236</v>
      </c>
      <c r="B256" t="s">
        <v>86</v>
      </c>
      <c r="C256" t="s">
        <v>760</v>
      </c>
      <c r="D256">
        <v>255</v>
      </c>
      <c r="E256" t="str">
        <f t="shared" si="6"/>
        <v>TE</v>
      </c>
      <c r="F256">
        <f t="shared" si="7"/>
        <v>33</v>
      </c>
    </row>
    <row r="257" spans="1:6" hidden="1" x14ac:dyDescent="0.25">
      <c r="A257">
        <v>237</v>
      </c>
      <c r="B257" t="s">
        <v>1493</v>
      </c>
      <c r="C257" t="s">
        <v>770</v>
      </c>
      <c r="D257">
        <v>256</v>
      </c>
      <c r="E257" t="str">
        <f t="shared" si="6"/>
        <v>WR</v>
      </c>
      <c r="F257">
        <f t="shared" si="7"/>
        <v>95</v>
      </c>
    </row>
    <row r="258" spans="1:6" hidden="1" x14ac:dyDescent="0.25">
      <c r="A258">
        <v>239</v>
      </c>
      <c r="B258" t="s">
        <v>397</v>
      </c>
      <c r="C258" t="s">
        <v>789</v>
      </c>
      <c r="D258">
        <v>257</v>
      </c>
      <c r="E258" t="str">
        <f t="shared" si="6"/>
        <v>RB</v>
      </c>
      <c r="F258">
        <f t="shared" si="7"/>
        <v>77</v>
      </c>
    </row>
    <row r="259" spans="1:6" hidden="1" x14ac:dyDescent="0.25">
      <c r="A259">
        <v>325</v>
      </c>
      <c r="B259" t="s">
        <v>1526</v>
      </c>
      <c r="C259" t="s">
        <v>885</v>
      </c>
      <c r="D259">
        <v>258</v>
      </c>
      <c r="E259" t="str">
        <f t="shared" ref="E259:E322" si="8">LEFT(C259,2)</f>
        <v>DS</v>
      </c>
      <c r="F259" t="e">
        <f t="shared" ref="F259:F322" si="9">VALUE(MID(C259,3,LEN(C259)))</f>
        <v>#VALUE!</v>
      </c>
    </row>
    <row r="260" spans="1:6" hidden="1" x14ac:dyDescent="0.25">
      <c r="A260">
        <v>240</v>
      </c>
      <c r="B260" t="s">
        <v>1286</v>
      </c>
      <c r="C260" t="s">
        <v>771</v>
      </c>
      <c r="D260">
        <v>259</v>
      </c>
      <c r="E260" t="str">
        <f t="shared" si="8"/>
        <v>WR</v>
      </c>
      <c r="F260">
        <f t="shared" si="9"/>
        <v>96</v>
      </c>
    </row>
    <row r="261" spans="1:6" hidden="1" x14ac:dyDescent="0.25">
      <c r="A261">
        <v>241</v>
      </c>
      <c r="B261" t="s">
        <v>1400</v>
      </c>
      <c r="C261" t="s">
        <v>798</v>
      </c>
      <c r="D261">
        <v>260</v>
      </c>
      <c r="E261" t="str">
        <f t="shared" si="8"/>
        <v>RB</v>
      </c>
      <c r="F261">
        <f t="shared" si="9"/>
        <v>78</v>
      </c>
    </row>
    <row r="262" spans="1:6" hidden="1" x14ac:dyDescent="0.25">
      <c r="A262">
        <v>218</v>
      </c>
      <c r="B262" t="s">
        <v>440</v>
      </c>
      <c r="C262" t="s">
        <v>745</v>
      </c>
      <c r="D262">
        <v>261</v>
      </c>
      <c r="E262" t="str">
        <f t="shared" si="8"/>
        <v>TE</v>
      </c>
      <c r="F262">
        <f t="shared" si="9"/>
        <v>30</v>
      </c>
    </row>
    <row r="263" spans="1:6" hidden="1" x14ac:dyDescent="0.25">
      <c r="A263">
        <v>242</v>
      </c>
      <c r="B263" t="s">
        <v>179</v>
      </c>
      <c r="C263" t="s">
        <v>774</v>
      </c>
      <c r="D263">
        <v>262</v>
      </c>
      <c r="E263" t="str">
        <f t="shared" si="8"/>
        <v>WR</v>
      </c>
      <c r="F263">
        <f t="shared" si="9"/>
        <v>97</v>
      </c>
    </row>
    <row r="264" spans="1:6" hidden="1" x14ac:dyDescent="0.25">
      <c r="A264">
        <v>243</v>
      </c>
      <c r="B264" t="s">
        <v>912</v>
      </c>
      <c r="C264" t="s">
        <v>779</v>
      </c>
      <c r="D264">
        <v>263</v>
      </c>
      <c r="E264" t="str">
        <f t="shared" si="8"/>
        <v>WR</v>
      </c>
      <c r="F264">
        <f t="shared" si="9"/>
        <v>98</v>
      </c>
    </row>
    <row r="265" spans="1:6" hidden="1" x14ac:dyDescent="0.25">
      <c r="A265">
        <v>245</v>
      </c>
      <c r="B265" t="s">
        <v>1401</v>
      </c>
      <c r="C265" t="s">
        <v>806</v>
      </c>
      <c r="D265">
        <v>264</v>
      </c>
      <c r="E265" t="str">
        <f t="shared" si="8"/>
        <v>RB</v>
      </c>
      <c r="F265">
        <f t="shared" si="9"/>
        <v>79</v>
      </c>
    </row>
    <row r="266" spans="1:6" hidden="1" x14ac:dyDescent="0.25">
      <c r="A266">
        <v>246</v>
      </c>
      <c r="B266" t="s">
        <v>376</v>
      </c>
      <c r="C266" t="s">
        <v>762</v>
      </c>
      <c r="D266">
        <v>265</v>
      </c>
      <c r="E266" t="str">
        <f t="shared" si="8"/>
        <v>QB</v>
      </c>
      <c r="F266">
        <f t="shared" si="9"/>
        <v>33</v>
      </c>
    </row>
    <row r="267" spans="1:6" hidden="1" x14ac:dyDescent="0.25">
      <c r="A267">
        <v>247</v>
      </c>
      <c r="B267" t="s">
        <v>432</v>
      </c>
      <c r="C267" t="s">
        <v>781</v>
      </c>
      <c r="D267">
        <v>266</v>
      </c>
      <c r="E267" t="str">
        <f t="shared" si="8"/>
        <v>WR</v>
      </c>
      <c r="F267">
        <f t="shared" si="9"/>
        <v>99</v>
      </c>
    </row>
    <row r="268" spans="1:6" hidden="1" x14ac:dyDescent="0.25">
      <c r="A268">
        <v>249</v>
      </c>
      <c r="B268" t="s">
        <v>277</v>
      </c>
      <c r="C268" t="s">
        <v>807</v>
      </c>
      <c r="D268">
        <v>267</v>
      </c>
      <c r="E268" t="str">
        <f t="shared" si="8"/>
        <v>RB</v>
      </c>
      <c r="F268">
        <f t="shared" si="9"/>
        <v>80</v>
      </c>
    </row>
    <row r="269" spans="1:6" hidden="1" x14ac:dyDescent="0.25">
      <c r="A269">
        <v>250</v>
      </c>
      <c r="B269" t="s">
        <v>326</v>
      </c>
      <c r="C269" t="s">
        <v>809</v>
      </c>
      <c r="D269">
        <v>268</v>
      </c>
      <c r="E269" t="str">
        <f t="shared" si="8"/>
        <v>RB</v>
      </c>
      <c r="F269">
        <f t="shared" si="9"/>
        <v>81</v>
      </c>
    </row>
    <row r="270" spans="1:6" hidden="1" x14ac:dyDescent="0.25">
      <c r="A270">
        <v>251</v>
      </c>
      <c r="B270" t="s">
        <v>1320</v>
      </c>
      <c r="C270" t="s">
        <v>782</v>
      </c>
      <c r="D270">
        <v>269</v>
      </c>
      <c r="E270" t="str">
        <f t="shared" si="8"/>
        <v>WR</v>
      </c>
      <c r="F270">
        <f t="shared" si="9"/>
        <v>100</v>
      </c>
    </row>
    <row r="271" spans="1:6" hidden="1" x14ac:dyDescent="0.25">
      <c r="A271">
        <v>221</v>
      </c>
      <c r="B271" t="s">
        <v>459</v>
      </c>
      <c r="C271" t="s">
        <v>750</v>
      </c>
      <c r="D271">
        <v>270</v>
      </c>
      <c r="E271" t="str">
        <f t="shared" si="8"/>
        <v>TE</v>
      </c>
      <c r="F271">
        <f t="shared" si="9"/>
        <v>31</v>
      </c>
    </row>
    <row r="272" spans="1:6" hidden="1" x14ac:dyDescent="0.25">
      <c r="A272">
        <v>252</v>
      </c>
      <c r="B272" t="s">
        <v>1402</v>
      </c>
      <c r="C272" t="s">
        <v>766</v>
      </c>
      <c r="D272">
        <v>271</v>
      </c>
      <c r="E272" t="str">
        <f t="shared" si="8"/>
        <v>TE</v>
      </c>
      <c r="F272">
        <f t="shared" si="9"/>
        <v>34</v>
      </c>
    </row>
    <row r="273" spans="1:6" hidden="1" x14ac:dyDescent="0.25">
      <c r="A273">
        <v>253</v>
      </c>
      <c r="B273" t="s">
        <v>354</v>
      </c>
      <c r="C273" t="s">
        <v>810</v>
      </c>
      <c r="D273">
        <v>272</v>
      </c>
      <c r="E273" t="str">
        <f t="shared" si="8"/>
        <v>QB</v>
      </c>
      <c r="F273">
        <f t="shared" si="9"/>
        <v>34</v>
      </c>
    </row>
    <row r="274" spans="1:6" hidden="1" x14ac:dyDescent="0.25">
      <c r="A274">
        <v>254</v>
      </c>
      <c r="B274" t="s">
        <v>910</v>
      </c>
      <c r="C274" t="s">
        <v>783</v>
      </c>
      <c r="D274">
        <v>273</v>
      </c>
      <c r="E274" t="str">
        <f t="shared" si="8"/>
        <v>WR</v>
      </c>
      <c r="F274">
        <f t="shared" si="9"/>
        <v>101</v>
      </c>
    </row>
    <row r="275" spans="1:6" hidden="1" x14ac:dyDescent="0.25">
      <c r="A275">
        <v>255</v>
      </c>
      <c r="B275" t="s">
        <v>347</v>
      </c>
      <c r="C275" t="s">
        <v>813</v>
      </c>
      <c r="D275">
        <v>274</v>
      </c>
      <c r="E275" t="str">
        <f t="shared" si="8"/>
        <v>QB</v>
      </c>
      <c r="F275">
        <f t="shared" si="9"/>
        <v>35</v>
      </c>
    </row>
    <row r="276" spans="1:6" hidden="1" x14ac:dyDescent="0.25">
      <c r="A276">
        <v>256</v>
      </c>
      <c r="B276" t="s">
        <v>508</v>
      </c>
      <c r="C276" t="s">
        <v>827</v>
      </c>
      <c r="D276">
        <v>275</v>
      </c>
      <c r="E276" t="str">
        <f t="shared" si="8"/>
        <v>QB</v>
      </c>
      <c r="F276">
        <f t="shared" si="9"/>
        <v>36</v>
      </c>
    </row>
    <row r="277" spans="1:6" hidden="1" x14ac:dyDescent="0.25">
      <c r="A277">
        <v>257</v>
      </c>
      <c r="B277" t="s">
        <v>493</v>
      </c>
      <c r="C277" t="s">
        <v>816</v>
      </c>
      <c r="D277">
        <v>276</v>
      </c>
      <c r="E277" t="str">
        <f t="shared" si="8"/>
        <v>RB</v>
      </c>
      <c r="F277">
        <f t="shared" si="9"/>
        <v>82</v>
      </c>
    </row>
    <row r="278" spans="1:6" hidden="1" x14ac:dyDescent="0.25">
      <c r="A278">
        <v>258</v>
      </c>
      <c r="B278" t="s">
        <v>229</v>
      </c>
      <c r="C278" t="s">
        <v>838</v>
      </c>
      <c r="D278">
        <v>277</v>
      </c>
      <c r="E278" t="str">
        <f t="shared" si="8"/>
        <v>RB</v>
      </c>
      <c r="F278">
        <f t="shared" si="9"/>
        <v>83</v>
      </c>
    </row>
    <row r="279" spans="1:6" hidden="1" x14ac:dyDescent="0.25">
      <c r="A279">
        <v>259</v>
      </c>
      <c r="B279" t="s">
        <v>20</v>
      </c>
      <c r="C279" t="s">
        <v>773</v>
      </c>
      <c r="D279">
        <v>278</v>
      </c>
      <c r="E279" t="str">
        <f t="shared" si="8"/>
        <v>TE</v>
      </c>
      <c r="F279">
        <f t="shared" si="9"/>
        <v>35</v>
      </c>
    </row>
    <row r="280" spans="1:6" hidden="1" x14ac:dyDescent="0.25">
      <c r="A280">
        <v>261</v>
      </c>
      <c r="B280" t="s">
        <v>1403</v>
      </c>
      <c r="C280" t="s">
        <v>784</v>
      </c>
      <c r="D280">
        <v>279</v>
      </c>
      <c r="E280" t="str">
        <f t="shared" si="8"/>
        <v>WR</v>
      </c>
      <c r="F280">
        <f t="shared" si="9"/>
        <v>102</v>
      </c>
    </row>
    <row r="281" spans="1:6" hidden="1" x14ac:dyDescent="0.25">
      <c r="A281">
        <v>262</v>
      </c>
      <c r="B281" t="s">
        <v>1082</v>
      </c>
      <c r="C281" t="s">
        <v>785</v>
      </c>
      <c r="D281">
        <v>280</v>
      </c>
      <c r="E281" t="str">
        <f t="shared" si="8"/>
        <v>WR</v>
      </c>
      <c r="F281">
        <f t="shared" si="9"/>
        <v>103</v>
      </c>
    </row>
    <row r="282" spans="1:6" hidden="1" x14ac:dyDescent="0.25">
      <c r="A282">
        <v>302</v>
      </c>
      <c r="B282" t="s">
        <v>1520</v>
      </c>
      <c r="C282" t="s">
        <v>867</v>
      </c>
      <c r="D282">
        <v>281</v>
      </c>
      <c r="E282" t="str">
        <f t="shared" si="8"/>
        <v>DS</v>
      </c>
      <c r="F282" t="e">
        <f t="shared" si="9"/>
        <v>#VALUE!</v>
      </c>
    </row>
    <row r="283" spans="1:6" hidden="1" x14ac:dyDescent="0.25">
      <c r="A283">
        <v>263</v>
      </c>
      <c r="B283" t="s">
        <v>896</v>
      </c>
      <c r="C283" t="s">
        <v>776</v>
      </c>
      <c r="D283">
        <v>282</v>
      </c>
      <c r="E283" t="str">
        <f t="shared" si="8"/>
        <v>TE</v>
      </c>
      <c r="F283">
        <f t="shared" si="9"/>
        <v>36</v>
      </c>
    </row>
    <row r="284" spans="1:6" hidden="1" x14ac:dyDescent="0.25">
      <c r="A284">
        <v>265</v>
      </c>
      <c r="B284" t="s">
        <v>1381</v>
      </c>
      <c r="C284" t="s">
        <v>787</v>
      </c>
      <c r="D284">
        <v>283</v>
      </c>
      <c r="E284" t="str">
        <f t="shared" si="8"/>
        <v>WR</v>
      </c>
      <c r="F284">
        <f t="shared" si="9"/>
        <v>104</v>
      </c>
    </row>
    <row r="285" spans="1:6" hidden="1" x14ac:dyDescent="0.25">
      <c r="A285">
        <v>267</v>
      </c>
      <c r="B285" t="s">
        <v>516</v>
      </c>
      <c r="C285" t="s">
        <v>830</v>
      </c>
      <c r="D285">
        <v>284</v>
      </c>
      <c r="E285" t="str">
        <f t="shared" si="8"/>
        <v>QB</v>
      </c>
      <c r="F285">
        <f t="shared" si="9"/>
        <v>37</v>
      </c>
    </row>
    <row r="286" spans="1:6" hidden="1" x14ac:dyDescent="0.25">
      <c r="A286">
        <v>226</v>
      </c>
      <c r="B286" t="s">
        <v>479</v>
      </c>
      <c r="C286" t="s">
        <v>752</v>
      </c>
      <c r="D286">
        <v>285</v>
      </c>
      <c r="E286" t="str">
        <f t="shared" si="8"/>
        <v>WR</v>
      </c>
      <c r="F286">
        <f t="shared" si="9"/>
        <v>90</v>
      </c>
    </row>
    <row r="287" spans="1:6" hidden="1" x14ac:dyDescent="0.25">
      <c r="A287">
        <v>268</v>
      </c>
      <c r="B287" t="s">
        <v>1500</v>
      </c>
      <c r="C287" t="s">
        <v>841</v>
      </c>
      <c r="D287">
        <v>286</v>
      </c>
      <c r="E287" t="str">
        <f t="shared" si="8"/>
        <v>RB</v>
      </c>
      <c r="F287">
        <f t="shared" si="9"/>
        <v>84</v>
      </c>
    </row>
    <row r="288" spans="1:6" hidden="1" x14ac:dyDescent="0.25">
      <c r="A288">
        <v>270</v>
      </c>
      <c r="B288" t="s">
        <v>869</v>
      </c>
      <c r="C288" t="s">
        <v>843</v>
      </c>
      <c r="D288">
        <v>287</v>
      </c>
      <c r="E288" t="str">
        <f t="shared" si="8"/>
        <v>RB</v>
      </c>
      <c r="F288">
        <f t="shared" si="9"/>
        <v>85</v>
      </c>
    </row>
    <row r="289" spans="1:6" hidden="1" x14ac:dyDescent="0.25">
      <c r="A289">
        <v>272</v>
      </c>
      <c r="B289" t="s">
        <v>1404</v>
      </c>
      <c r="C289" t="s">
        <v>791</v>
      </c>
      <c r="D289">
        <v>288</v>
      </c>
      <c r="E289" t="str">
        <f t="shared" si="8"/>
        <v>WR</v>
      </c>
      <c r="F289">
        <f t="shared" si="9"/>
        <v>105</v>
      </c>
    </row>
    <row r="290" spans="1:6" hidden="1" x14ac:dyDescent="0.25">
      <c r="A290">
        <v>273</v>
      </c>
      <c r="B290" t="s">
        <v>419</v>
      </c>
      <c r="C290" t="s">
        <v>792</v>
      </c>
      <c r="D290">
        <v>289</v>
      </c>
      <c r="E290" t="str">
        <f t="shared" si="8"/>
        <v>WR</v>
      </c>
      <c r="F290">
        <f t="shared" si="9"/>
        <v>106</v>
      </c>
    </row>
    <row r="291" spans="1:6" hidden="1" x14ac:dyDescent="0.25">
      <c r="A291">
        <v>275</v>
      </c>
      <c r="B291" t="s">
        <v>1405</v>
      </c>
      <c r="C291" t="s">
        <v>854</v>
      </c>
      <c r="D291">
        <v>290</v>
      </c>
      <c r="E291" t="str">
        <f t="shared" si="8"/>
        <v>RB</v>
      </c>
      <c r="F291">
        <f t="shared" si="9"/>
        <v>86</v>
      </c>
    </row>
    <row r="292" spans="1:6" hidden="1" x14ac:dyDescent="0.25">
      <c r="A292">
        <v>282</v>
      </c>
      <c r="B292" t="s">
        <v>96</v>
      </c>
      <c r="C292" t="s">
        <v>778</v>
      </c>
      <c r="D292">
        <v>291</v>
      </c>
      <c r="E292" t="str">
        <f t="shared" si="8"/>
        <v>TE</v>
      </c>
      <c r="F292">
        <f t="shared" si="9"/>
        <v>37</v>
      </c>
    </row>
    <row r="293" spans="1:6" hidden="1" x14ac:dyDescent="0.25">
      <c r="A293">
        <v>308</v>
      </c>
      <c r="B293" t="s">
        <v>417</v>
      </c>
      <c r="C293" t="s">
        <v>842</v>
      </c>
      <c r="D293">
        <v>292</v>
      </c>
      <c r="E293" t="str">
        <f t="shared" si="8"/>
        <v>WR</v>
      </c>
      <c r="F293">
        <f t="shared" si="9"/>
        <v>118</v>
      </c>
    </row>
    <row r="294" spans="1:6" hidden="1" x14ac:dyDescent="0.25">
      <c r="A294">
        <v>283</v>
      </c>
      <c r="B294" t="s">
        <v>457</v>
      </c>
      <c r="C294" t="s">
        <v>801</v>
      </c>
      <c r="D294">
        <v>293</v>
      </c>
      <c r="E294" t="str">
        <f t="shared" si="8"/>
        <v>TE</v>
      </c>
      <c r="F294">
        <f t="shared" si="9"/>
        <v>38</v>
      </c>
    </row>
    <row r="295" spans="1:6" hidden="1" x14ac:dyDescent="0.25">
      <c r="A295">
        <v>335</v>
      </c>
      <c r="B295" t="s">
        <v>1529</v>
      </c>
      <c r="C295" t="s">
        <v>886</v>
      </c>
      <c r="D295">
        <v>294</v>
      </c>
      <c r="E295" t="str">
        <f t="shared" si="8"/>
        <v>DS</v>
      </c>
      <c r="F295" t="e">
        <f t="shared" si="9"/>
        <v>#VALUE!</v>
      </c>
    </row>
    <row r="296" spans="1:6" hidden="1" x14ac:dyDescent="0.25">
      <c r="A296">
        <v>285</v>
      </c>
      <c r="B296" t="s">
        <v>1379</v>
      </c>
      <c r="C296" t="s">
        <v>793</v>
      </c>
      <c r="D296">
        <v>295</v>
      </c>
      <c r="E296" t="str">
        <f t="shared" si="8"/>
        <v>WR</v>
      </c>
      <c r="F296">
        <f t="shared" si="9"/>
        <v>107</v>
      </c>
    </row>
    <row r="297" spans="1:6" hidden="1" x14ac:dyDescent="0.25">
      <c r="A297">
        <v>287</v>
      </c>
      <c r="B297" t="s">
        <v>1512</v>
      </c>
      <c r="C297" t="s">
        <v>794</v>
      </c>
      <c r="D297">
        <v>296</v>
      </c>
      <c r="E297" t="str">
        <f t="shared" si="8"/>
        <v>WR</v>
      </c>
      <c r="F297">
        <f t="shared" si="9"/>
        <v>108</v>
      </c>
    </row>
    <row r="298" spans="1:6" hidden="1" x14ac:dyDescent="0.25">
      <c r="A298">
        <v>310</v>
      </c>
      <c r="B298" t="s">
        <v>157</v>
      </c>
      <c r="C298" t="s">
        <v>851</v>
      </c>
      <c r="D298">
        <v>297</v>
      </c>
      <c r="E298" t="str">
        <f t="shared" si="8"/>
        <v>WR</v>
      </c>
      <c r="F298">
        <f t="shared" si="9"/>
        <v>120</v>
      </c>
    </row>
    <row r="299" spans="1:6" hidden="1" x14ac:dyDescent="0.25">
      <c r="A299">
        <v>289</v>
      </c>
      <c r="B299" t="s">
        <v>1514</v>
      </c>
      <c r="C299" t="s">
        <v>802</v>
      </c>
      <c r="D299">
        <v>298</v>
      </c>
      <c r="E299" t="str">
        <f t="shared" si="8"/>
        <v>TE</v>
      </c>
      <c r="F299">
        <f t="shared" si="9"/>
        <v>39</v>
      </c>
    </row>
    <row r="300" spans="1:6" hidden="1" x14ac:dyDescent="0.25">
      <c r="A300">
        <v>290</v>
      </c>
      <c r="B300" t="s">
        <v>425</v>
      </c>
      <c r="C300" t="s">
        <v>795</v>
      </c>
      <c r="D300">
        <v>299</v>
      </c>
      <c r="E300" t="str">
        <f t="shared" si="8"/>
        <v>WR</v>
      </c>
      <c r="F300">
        <f t="shared" si="9"/>
        <v>109</v>
      </c>
    </row>
    <row r="301" spans="1:6" hidden="1" x14ac:dyDescent="0.25">
      <c r="A301">
        <v>311</v>
      </c>
      <c r="B301" t="s">
        <v>1378</v>
      </c>
      <c r="C301" t="s">
        <v>855</v>
      </c>
      <c r="D301">
        <v>300</v>
      </c>
      <c r="E301" t="str">
        <f t="shared" si="8"/>
        <v>WR</v>
      </c>
      <c r="F301">
        <f t="shared" si="9"/>
        <v>121</v>
      </c>
    </row>
    <row r="302" spans="1:6" hidden="1" x14ac:dyDescent="0.25">
      <c r="A302">
        <v>294</v>
      </c>
      <c r="B302" t="s">
        <v>489</v>
      </c>
      <c r="C302" t="s">
        <v>865</v>
      </c>
      <c r="D302">
        <v>301</v>
      </c>
      <c r="E302" t="str">
        <f t="shared" si="8"/>
        <v>RB</v>
      </c>
      <c r="F302">
        <f t="shared" si="9"/>
        <v>87</v>
      </c>
    </row>
    <row r="303" spans="1:6" hidden="1" x14ac:dyDescent="0.25">
      <c r="A303">
        <v>336</v>
      </c>
      <c r="B303" t="s">
        <v>1530</v>
      </c>
      <c r="C303" t="s">
        <v>889</v>
      </c>
      <c r="D303">
        <v>302</v>
      </c>
      <c r="E303" t="str">
        <f t="shared" si="8"/>
        <v>DS</v>
      </c>
      <c r="F303" t="e">
        <f t="shared" si="9"/>
        <v>#VALUE!</v>
      </c>
    </row>
    <row r="304" spans="1:6" hidden="1" x14ac:dyDescent="0.25">
      <c r="A304">
        <v>312</v>
      </c>
      <c r="B304" t="s">
        <v>1145</v>
      </c>
      <c r="C304" t="s">
        <v>857</v>
      </c>
      <c r="D304">
        <v>303</v>
      </c>
      <c r="E304" t="str">
        <f t="shared" si="8"/>
        <v>WR</v>
      </c>
      <c r="F304">
        <f t="shared" si="9"/>
        <v>122</v>
      </c>
    </row>
    <row r="305" spans="1:6" hidden="1" x14ac:dyDescent="0.25">
      <c r="A305">
        <v>296</v>
      </c>
      <c r="B305" t="s">
        <v>180</v>
      </c>
      <c r="C305" t="s">
        <v>796</v>
      </c>
      <c r="D305">
        <v>304</v>
      </c>
      <c r="E305" t="str">
        <f t="shared" si="8"/>
        <v>WR</v>
      </c>
      <c r="F305">
        <f t="shared" si="9"/>
        <v>110</v>
      </c>
    </row>
    <row r="306" spans="1:6" hidden="1" x14ac:dyDescent="0.25">
      <c r="A306">
        <v>337</v>
      </c>
      <c r="B306" t="s">
        <v>29</v>
      </c>
      <c r="C306" t="s">
        <v>860</v>
      </c>
      <c r="D306">
        <v>305</v>
      </c>
      <c r="E306" t="str">
        <f t="shared" si="8"/>
        <v>TE</v>
      </c>
      <c r="F306">
        <f t="shared" si="9"/>
        <v>46</v>
      </c>
    </row>
    <row r="307" spans="1:6" hidden="1" x14ac:dyDescent="0.25">
      <c r="A307">
        <v>297</v>
      </c>
      <c r="B307" t="s">
        <v>495</v>
      </c>
      <c r="C307" t="s">
        <v>870</v>
      </c>
      <c r="D307">
        <v>306</v>
      </c>
      <c r="E307" t="str">
        <f t="shared" si="8"/>
        <v>RB</v>
      </c>
      <c r="F307">
        <f t="shared" si="9"/>
        <v>88</v>
      </c>
    </row>
    <row r="308" spans="1:6" hidden="1" x14ac:dyDescent="0.25">
      <c r="A308">
        <v>313</v>
      </c>
      <c r="B308" t="s">
        <v>256</v>
      </c>
      <c r="C308" t="s">
        <v>875</v>
      </c>
      <c r="D308">
        <v>307</v>
      </c>
      <c r="E308" t="str">
        <f t="shared" si="8"/>
        <v>RB</v>
      </c>
      <c r="F308">
        <f t="shared" si="9"/>
        <v>89</v>
      </c>
    </row>
    <row r="309" spans="1:6" hidden="1" x14ac:dyDescent="0.25">
      <c r="A309">
        <v>298</v>
      </c>
      <c r="B309" t="s">
        <v>1519</v>
      </c>
      <c r="C309" t="s">
        <v>800</v>
      </c>
      <c r="D309">
        <v>308</v>
      </c>
      <c r="E309" t="str">
        <f t="shared" si="8"/>
        <v>WR</v>
      </c>
      <c r="F309">
        <f t="shared" si="9"/>
        <v>111</v>
      </c>
    </row>
    <row r="310" spans="1:6" hidden="1" x14ac:dyDescent="0.25">
      <c r="A310">
        <v>339</v>
      </c>
      <c r="B310" t="s">
        <v>1153</v>
      </c>
      <c r="C310" t="s">
        <v>890</v>
      </c>
      <c r="D310">
        <v>309</v>
      </c>
      <c r="E310" t="str">
        <f t="shared" si="8"/>
        <v>WR</v>
      </c>
      <c r="F310">
        <f t="shared" si="9"/>
        <v>129</v>
      </c>
    </row>
    <row r="311" spans="1:6" hidden="1" x14ac:dyDescent="0.25">
      <c r="A311">
        <v>299</v>
      </c>
      <c r="B311" t="s">
        <v>175</v>
      </c>
      <c r="C311" t="s">
        <v>804</v>
      </c>
      <c r="D311">
        <v>310</v>
      </c>
      <c r="E311" t="str">
        <f t="shared" si="8"/>
        <v>WR</v>
      </c>
      <c r="F311">
        <f t="shared" si="9"/>
        <v>112</v>
      </c>
    </row>
    <row r="312" spans="1:6" hidden="1" x14ac:dyDescent="0.25">
      <c r="A312">
        <v>300</v>
      </c>
      <c r="B312" t="s">
        <v>94</v>
      </c>
      <c r="C312" t="s">
        <v>808</v>
      </c>
      <c r="D312">
        <v>311</v>
      </c>
      <c r="E312" t="str">
        <f t="shared" si="8"/>
        <v>TE</v>
      </c>
      <c r="F312">
        <f t="shared" si="9"/>
        <v>40</v>
      </c>
    </row>
    <row r="313" spans="1:6" hidden="1" x14ac:dyDescent="0.25">
      <c r="A313">
        <v>314</v>
      </c>
      <c r="B313" t="s">
        <v>388</v>
      </c>
      <c r="C313" t="s">
        <v>839</v>
      </c>
      <c r="D313">
        <v>312</v>
      </c>
      <c r="E313" t="str">
        <f t="shared" si="8"/>
        <v>QB</v>
      </c>
      <c r="F313">
        <f t="shared" si="9"/>
        <v>38</v>
      </c>
    </row>
    <row r="314" spans="1:6" hidden="1" x14ac:dyDescent="0.25">
      <c r="A314">
        <v>343</v>
      </c>
      <c r="B314" t="s">
        <v>1380</v>
      </c>
      <c r="C314" t="s">
        <v>905</v>
      </c>
      <c r="D314">
        <v>313</v>
      </c>
      <c r="E314" t="str">
        <f t="shared" si="8"/>
        <v>WR</v>
      </c>
      <c r="F314">
        <f t="shared" si="9"/>
        <v>131</v>
      </c>
    </row>
    <row r="315" spans="1:6" hidden="1" x14ac:dyDescent="0.25">
      <c r="A315">
        <v>315</v>
      </c>
      <c r="B315" t="s">
        <v>1522</v>
      </c>
      <c r="C315" t="s">
        <v>825</v>
      </c>
      <c r="D315">
        <v>314</v>
      </c>
      <c r="E315" t="str">
        <f t="shared" si="8"/>
        <v>TE</v>
      </c>
      <c r="F315">
        <f t="shared" si="9"/>
        <v>42</v>
      </c>
    </row>
    <row r="316" spans="1:6" hidden="1" x14ac:dyDescent="0.25">
      <c r="A316">
        <v>344</v>
      </c>
      <c r="B316" t="s">
        <v>1413</v>
      </c>
      <c r="C316" t="s">
        <v>946</v>
      </c>
      <c r="D316">
        <v>315</v>
      </c>
      <c r="E316" t="str">
        <f t="shared" si="8"/>
        <v>RB</v>
      </c>
      <c r="F316">
        <f t="shared" si="9"/>
        <v>96</v>
      </c>
    </row>
    <row r="317" spans="1:6" hidden="1" x14ac:dyDescent="0.25">
      <c r="A317">
        <v>346</v>
      </c>
      <c r="B317" t="s">
        <v>487</v>
      </c>
      <c r="C317" t="s">
        <v>939</v>
      </c>
      <c r="D317">
        <v>316</v>
      </c>
      <c r="E317" t="str">
        <f t="shared" si="8"/>
        <v>WR</v>
      </c>
      <c r="F317">
        <f t="shared" si="9"/>
        <v>132</v>
      </c>
    </row>
    <row r="318" spans="1:6" hidden="1" x14ac:dyDescent="0.25">
      <c r="A318">
        <v>301</v>
      </c>
      <c r="B318" t="s">
        <v>1261</v>
      </c>
      <c r="C318" t="s">
        <v>817</v>
      </c>
      <c r="D318">
        <v>317</v>
      </c>
      <c r="E318" t="str">
        <f t="shared" si="8"/>
        <v>WR</v>
      </c>
      <c r="F318">
        <f t="shared" si="9"/>
        <v>113</v>
      </c>
    </row>
    <row r="319" spans="1:6" hidden="1" x14ac:dyDescent="0.25">
      <c r="A319">
        <v>303</v>
      </c>
      <c r="B319" t="s">
        <v>441</v>
      </c>
      <c r="C319" t="s">
        <v>821</v>
      </c>
      <c r="D319">
        <v>318</v>
      </c>
      <c r="E319" t="str">
        <f t="shared" si="8"/>
        <v>TE</v>
      </c>
      <c r="F319">
        <f t="shared" si="9"/>
        <v>41</v>
      </c>
    </row>
    <row r="320" spans="1:6" hidden="1" x14ac:dyDescent="0.25">
      <c r="A320">
        <v>304</v>
      </c>
      <c r="B320" t="s">
        <v>132</v>
      </c>
      <c r="C320" t="s">
        <v>820</v>
      </c>
      <c r="D320">
        <v>319</v>
      </c>
      <c r="E320" t="str">
        <f t="shared" si="8"/>
        <v>WR</v>
      </c>
      <c r="F320">
        <f t="shared" si="9"/>
        <v>114</v>
      </c>
    </row>
    <row r="321" spans="1:6" hidden="1" x14ac:dyDescent="0.25">
      <c r="A321">
        <v>305</v>
      </c>
      <c r="B321" t="s">
        <v>427</v>
      </c>
      <c r="C321" t="s">
        <v>824</v>
      </c>
      <c r="D321">
        <v>320</v>
      </c>
      <c r="E321" t="str">
        <f t="shared" si="8"/>
        <v>WR</v>
      </c>
      <c r="F321">
        <f t="shared" si="9"/>
        <v>115</v>
      </c>
    </row>
    <row r="322" spans="1:6" hidden="1" x14ac:dyDescent="0.25">
      <c r="A322">
        <v>349</v>
      </c>
      <c r="B322" t="s">
        <v>1532</v>
      </c>
      <c r="C322" t="s">
        <v>940</v>
      </c>
      <c r="D322">
        <v>321</v>
      </c>
      <c r="E322" t="str">
        <f t="shared" si="8"/>
        <v>WR</v>
      </c>
      <c r="F322">
        <f t="shared" si="9"/>
        <v>133</v>
      </c>
    </row>
    <row r="323" spans="1:6" hidden="1" x14ac:dyDescent="0.25">
      <c r="A323">
        <v>306</v>
      </c>
      <c r="B323" t="s">
        <v>199</v>
      </c>
      <c r="C323" t="s">
        <v>832</v>
      </c>
      <c r="D323">
        <v>322</v>
      </c>
      <c r="E323" t="str">
        <f t="shared" ref="E323:E386" si="10">LEFT(C323,2)</f>
        <v>WR</v>
      </c>
      <c r="F323">
        <f t="shared" ref="F323:F386" si="11">VALUE(MID(C323,3,LEN(C323)))</f>
        <v>116</v>
      </c>
    </row>
    <row r="324" spans="1:6" hidden="1" x14ac:dyDescent="0.25">
      <c r="A324">
        <v>316</v>
      </c>
      <c r="B324" t="s">
        <v>1523</v>
      </c>
      <c r="C324" t="s">
        <v>876</v>
      </c>
      <c r="D324">
        <v>323</v>
      </c>
      <c r="E324" t="str">
        <f t="shared" si="10"/>
        <v>DS</v>
      </c>
      <c r="F324" t="e">
        <f t="shared" si="11"/>
        <v>#VALUE!</v>
      </c>
    </row>
    <row r="325" spans="1:6" hidden="1" x14ac:dyDescent="0.25">
      <c r="A325">
        <v>317</v>
      </c>
      <c r="B325" t="s">
        <v>1406</v>
      </c>
      <c r="C325" t="s">
        <v>829</v>
      </c>
      <c r="D325">
        <v>324</v>
      </c>
      <c r="E325" t="str">
        <f t="shared" si="10"/>
        <v>TE</v>
      </c>
      <c r="F325">
        <f t="shared" si="11"/>
        <v>43</v>
      </c>
    </row>
    <row r="326" spans="1:6" hidden="1" x14ac:dyDescent="0.25">
      <c r="A326">
        <v>318</v>
      </c>
      <c r="B326" t="s">
        <v>1524</v>
      </c>
      <c r="C326" t="s">
        <v>877</v>
      </c>
      <c r="D326">
        <v>325</v>
      </c>
      <c r="E326" t="str">
        <f t="shared" si="10"/>
        <v>RB</v>
      </c>
      <c r="F326">
        <f t="shared" si="11"/>
        <v>90</v>
      </c>
    </row>
    <row r="327" spans="1:6" hidden="1" x14ac:dyDescent="0.25">
      <c r="A327">
        <v>351</v>
      </c>
      <c r="B327" t="s">
        <v>1533</v>
      </c>
      <c r="C327" t="s">
        <v>891</v>
      </c>
      <c r="D327">
        <v>326</v>
      </c>
      <c r="E327" t="str">
        <f t="shared" si="10"/>
        <v>DS</v>
      </c>
      <c r="F327" t="e">
        <f t="shared" si="11"/>
        <v>#VALUE!</v>
      </c>
    </row>
    <row r="328" spans="1:6" hidden="1" x14ac:dyDescent="0.25">
      <c r="A328">
        <v>319</v>
      </c>
      <c r="B328" t="s">
        <v>914</v>
      </c>
      <c r="C328" t="s">
        <v>837</v>
      </c>
      <c r="D328">
        <v>327</v>
      </c>
      <c r="E328" t="str">
        <f t="shared" si="10"/>
        <v>TE</v>
      </c>
      <c r="F328">
        <f t="shared" si="11"/>
        <v>44</v>
      </c>
    </row>
    <row r="329" spans="1:6" hidden="1" x14ac:dyDescent="0.25">
      <c r="A329">
        <v>352</v>
      </c>
      <c r="B329" t="s">
        <v>1391</v>
      </c>
      <c r="C329" t="s">
        <v>963</v>
      </c>
      <c r="D329">
        <v>328</v>
      </c>
      <c r="E329" t="str">
        <f t="shared" si="10"/>
        <v>RB</v>
      </c>
      <c r="F329">
        <f t="shared" si="11"/>
        <v>100</v>
      </c>
    </row>
    <row r="330" spans="1:6" hidden="1" x14ac:dyDescent="0.25">
      <c r="A330">
        <v>320</v>
      </c>
      <c r="B330" t="s">
        <v>1407</v>
      </c>
      <c r="C330" t="s">
        <v>861</v>
      </c>
      <c r="D330">
        <v>329</v>
      </c>
      <c r="E330" t="str">
        <f t="shared" si="10"/>
        <v>WR</v>
      </c>
      <c r="F330">
        <f t="shared" si="11"/>
        <v>123</v>
      </c>
    </row>
    <row r="331" spans="1:6" hidden="1" x14ac:dyDescent="0.25">
      <c r="A331">
        <v>307</v>
      </c>
      <c r="B331" t="s">
        <v>435</v>
      </c>
      <c r="C331" t="s">
        <v>833</v>
      </c>
      <c r="D331">
        <v>330</v>
      </c>
      <c r="E331" t="str">
        <f t="shared" si="10"/>
        <v>WR</v>
      </c>
      <c r="F331">
        <f t="shared" si="11"/>
        <v>117</v>
      </c>
    </row>
    <row r="332" spans="1:6" hidden="1" x14ac:dyDescent="0.25">
      <c r="A332">
        <v>321</v>
      </c>
      <c r="B332" t="s">
        <v>358</v>
      </c>
      <c r="C332" t="s">
        <v>848</v>
      </c>
      <c r="D332">
        <v>331</v>
      </c>
      <c r="E332" t="str">
        <f t="shared" si="10"/>
        <v>QB</v>
      </c>
      <c r="F332">
        <f t="shared" si="11"/>
        <v>39</v>
      </c>
    </row>
    <row r="333" spans="1:6" hidden="1" x14ac:dyDescent="0.25">
      <c r="A333">
        <v>322</v>
      </c>
      <c r="B333" t="s">
        <v>1285</v>
      </c>
      <c r="C333" t="s">
        <v>879</v>
      </c>
      <c r="D333">
        <v>332</v>
      </c>
      <c r="E333" t="str">
        <f t="shared" si="10"/>
        <v>RB</v>
      </c>
      <c r="F333">
        <f t="shared" si="11"/>
        <v>91</v>
      </c>
    </row>
    <row r="334" spans="1:6" hidden="1" x14ac:dyDescent="0.25">
      <c r="A334">
        <v>353</v>
      </c>
      <c r="B334" t="s">
        <v>1534</v>
      </c>
      <c r="C334" t="s">
        <v>901</v>
      </c>
      <c r="D334">
        <v>333</v>
      </c>
      <c r="E334" t="str">
        <f t="shared" si="10"/>
        <v>DS</v>
      </c>
      <c r="F334" t="e">
        <f t="shared" si="11"/>
        <v>#VALUE!</v>
      </c>
    </row>
    <row r="335" spans="1:6" hidden="1" x14ac:dyDescent="0.25">
      <c r="A335">
        <v>354</v>
      </c>
      <c r="B335" t="s">
        <v>1081</v>
      </c>
      <c r="C335" t="s">
        <v>968</v>
      </c>
      <c r="D335">
        <v>334</v>
      </c>
      <c r="E335" t="str">
        <f t="shared" si="10"/>
        <v>RB</v>
      </c>
      <c r="F335">
        <f t="shared" si="11"/>
        <v>101</v>
      </c>
    </row>
    <row r="336" spans="1:6" hidden="1" x14ac:dyDescent="0.25">
      <c r="A336">
        <v>324</v>
      </c>
      <c r="B336" t="s">
        <v>385</v>
      </c>
      <c r="C336" t="s">
        <v>874</v>
      </c>
      <c r="D336">
        <v>335</v>
      </c>
      <c r="E336" t="str">
        <f t="shared" si="10"/>
        <v>QB</v>
      </c>
      <c r="F336">
        <f t="shared" si="11"/>
        <v>40</v>
      </c>
    </row>
    <row r="337" spans="1:6" hidden="1" x14ac:dyDescent="0.25">
      <c r="A337">
        <v>309</v>
      </c>
      <c r="B337" t="s">
        <v>1521</v>
      </c>
      <c r="C337" t="s">
        <v>849</v>
      </c>
      <c r="D337">
        <v>336</v>
      </c>
      <c r="E337" t="str">
        <f t="shared" si="10"/>
        <v>WR</v>
      </c>
      <c r="F337">
        <f t="shared" si="11"/>
        <v>119</v>
      </c>
    </row>
    <row r="338" spans="1:6" hidden="1" x14ac:dyDescent="0.25">
      <c r="A338">
        <v>355</v>
      </c>
      <c r="B338" t="s">
        <v>1414</v>
      </c>
      <c r="C338" t="s">
        <v>942</v>
      </c>
      <c r="D338">
        <v>337</v>
      </c>
      <c r="E338" t="str">
        <f t="shared" si="10"/>
        <v>WR</v>
      </c>
      <c r="F338">
        <f t="shared" si="11"/>
        <v>135</v>
      </c>
    </row>
    <row r="339" spans="1:6" hidden="1" x14ac:dyDescent="0.25">
      <c r="A339">
        <v>356</v>
      </c>
      <c r="B339" t="s">
        <v>1535</v>
      </c>
      <c r="C339" t="s">
        <v>943</v>
      </c>
      <c r="D339">
        <v>338</v>
      </c>
      <c r="E339" t="str">
        <f t="shared" si="10"/>
        <v>WR</v>
      </c>
      <c r="F339">
        <f t="shared" si="11"/>
        <v>136</v>
      </c>
    </row>
    <row r="340" spans="1:6" hidden="1" x14ac:dyDescent="0.25">
      <c r="A340">
        <v>358</v>
      </c>
      <c r="B340" t="s">
        <v>1137</v>
      </c>
      <c r="C340" t="s">
        <v>944</v>
      </c>
      <c r="D340">
        <v>339</v>
      </c>
      <c r="E340" t="str">
        <f t="shared" si="10"/>
        <v>WR</v>
      </c>
      <c r="F340">
        <f t="shared" si="11"/>
        <v>137</v>
      </c>
    </row>
    <row r="341" spans="1:6" hidden="1" x14ac:dyDescent="0.25">
      <c r="A341">
        <v>359</v>
      </c>
      <c r="B341" t="s">
        <v>1287</v>
      </c>
      <c r="C341" t="s">
        <v>972</v>
      </c>
      <c r="D341">
        <v>340</v>
      </c>
      <c r="E341" t="str">
        <f t="shared" si="10"/>
        <v>RB</v>
      </c>
      <c r="F341">
        <f t="shared" si="11"/>
        <v>102</v>
      </c>
    </row>
    <row r="342" spans="1:6" hidden="1" x14ac:dyDescent="0.25">
      <c r="A342">
        <v>360</v>
      </c>
      <c r="B342" t="s">
        <v>1536</v>
      </c>
      <c r="C342" t="s">
        <v>957</v>
      </c>
      <c r="D342">
        <v>341</v>
      </c>
      <c r="E342" t="str">
        <f t="shared" si="10"/>
        <v>DS</v>
      </c>
      <c r="F342" t="e">
        <f t="shared" si="11"/>
        <v>#VALUE!</v>
      </c>
    </row>
    <row r="343" spans="1:6" hidden="1" x14ac:dyDescent="0.25">
      <c r="A343">
        <v>326</v>
      </c>
      <c r="B343" t="s">
        <v>1408</v>
      </c>
      <c r="C343" t="s">
        <v>862</v>
      </c>
      <c r="D343">
        <v>342</v>
      </c>
      <c r="E343" t="str">
        <f t="shared" si="10"/>
        <v>WR</v>
      </c>
      <c r="F343">
        <f t="shared" si="11"/>
        <v>124</v>
      </c>
    </row>
    <row r="344" spans="1:6" hidden="1" x14ac:dyDescent="0.25">
      <c r="A344">
        <v>361</v>
      </c>
      <c r="B344" t="s">
        <v>1416</v>
      </c>
      <c r="C344" t="s">
        <v>1417</v>
      </c>
      <c r="D344">
        <v>343</v>
      </c>
      <c r="E344" t="str">
        <f t="shared" si="10"/>
        <v>LB</v>
      </c>
      <c r="F344" t="e">
        <f t="shared" si="11"/>
        <v>#VALUE!</v>
      </c>
    </row>
    <row r="345" spans="1:6" hidden="1" x14ac:dyDescent="0.25">
      <c r="A345">
        <v>327</v>
      </c>
      <c r="B345" t="s">
        <v>1409</v>
      </c>
      <c r="C345" t="s">
        <v>856</v>
      </c>
      <c r="D345">
        <v>344</v>
      </c>
      <c r="E345" t="str">
        <f t="shared" si="10"/>
        <v>TE</v>
      </c>
      <c r="F345">
        <f t="shared" si="11"/>
        <v>45</v>
      </c>
    </row>
    <row r="346" spans="1:6" hidden="1" x14ac:dyDescent="0.25">
      <c r="A346">
        <v>362</v>
      </c>
      <c r="B346" t="s">
        <v>1234</v>
      </c>
      <c r="C346" t="s">
        <v>948</v>
      </c>
      <c r="D346">
        <v>345</v>
      </c>
      <c r="E346" t="str">
        <f t="shared" si="10"/>
        <v>WR</v>
      </c>
      <c r="F346">
        <f t="shared" si="11"/>
        <v>138</v>
      </c>
    </row>
    <row r="347" spans="1:6" hidden="1" x14ac:dyDescent="0.25">
      <c r="A347">
        <v>328</v>
      </c>
      <c r="B347" t="s">
        <v>1527</v>
      </c>
      <c r="C347" t="s">
        <v>883</v>
      </c>
      <c r="D347">
        <v>346</v>
      </c>
      <c r="E347" t="str">
        <f t="shared" si="10"/>
        <v>RB</v>
      </c>
      <c r="F347">
        <f t="shared" si="11"/>
        <v>92</v>
      </c>
    </row>
    <row r="348" spans="1:6" hidden="1" x14ac:dyDescent="0.25">
      <c r="A348">
        <v>365</v>
      </c>
      <c r="B348" t="s">
        <v>1537</v>
      </c>
      <c r="C348" t="s">
        <v>1117</v>
      </c>
      <c r="D348">
        <v>347</v>
      </c>
      <c r="E348" t="str">
        <f t="shared" si="10"/>
        <v>DS</v>
      </c>
      <c r="F348" t="e">
        <f t="shared" si="11"/>
        <v>#VALUE!</v>
      </c>
    </row>
    <row r="349" spans="1:6" hidden="1" x14ac:dyDescent="0.25">
      <c r="A349">
        <v>366</v>
      </c>
      <c r="B349" t="s">
        <v>1538</v>
      </c>
      <c r="C349" t="s">
        <v>951</v>
      </c>
      <c r="D349">
        <v>348</v>
      </c>
      <c r="E349" t="str">
        <f t="shared" si="10"/>
        <v>WR</v>
      </c>
      <c r="F349">
        <f t="shared" si="11"/>
        <v>140</v>
      </c>
    </row>
    <row r="350" spans="1:6" hidden="1" x14ac:dyDescent="0.25">
      <c r="A350">
        <v>329</v>
      </c>
      <c r="B350" t="s">
        <v>1528</v>
      </c>
      <c r="C350" t="s">
        <v>868</v>
      </c>
      <c r="D350">
        <v>349</v>
      </c>
      <c r="E350" t="str">
        <f t="shared" si="10"/>
        <v>WR</v>
      </c>
      <c r="F350">
        <f t="shared" si="11"/>
        <v>125</v>
      </c>
    </row>
    <row r="351" spans="1:6" hidden="1" x14ac:dyDescent="0.25">
      <c r="A351">
        <v>367</v>
      </c>
      <c r="B351" t="s">
        <v>162</v>
      </c>
      <c r="C351" t="s">
        <v>953</v>
      </c>
      <c r="D351">
        <v>350</v>
      </c>
      <c r="E351" t="str">
        <f t="shared" si="10"/>
        <v>WR</v>
      </c>
      <c r="F351">
        <f t="shared" si="11"/>
        <v>141</v>
      </c>
    </row>
    <row r="352" spans="1:6" hidden="1" x14ac:dyDescent="0.25">
      <c r="A352">
        <v>330</v>
      </c>
      <c r="B352" t="s">
        <v>1410</v>
      </c>
      <c r="C352" t="s">
        <v>872</v>
      </c>
      <c r="D352">
        <v>351</v>
      </c>
      <c r="E352" t="str">
        <f t="shared" si="10"/>
        <v>WR</v>
      </c>
      <c r="F352">
        <f t="shared" si="11"/>
        <v>126</v>
      </c>
    </row>
    <row r="353" spans="1:6" hidden="1" x14ac:dyDescent="0.25">
      <c r="A353">
        <v>368</v>
      </c>
      <c r="B353" t="s">
        <v>1322</v>
      </c>
      <c r="C353" t="s">
        <v>955</v>
      </c>
      <c r="D353">
        <v>352</v>
      </c>
      <c r="E353" t="str">
        <f t="shared" si="10"/>
        <v>WR</v>
      </c>
      <c r="F353">
        <f t="shared" si="11"/>
        <v>142</v>
      </c>
    </row>
    <row r="354" spans="1:6" hidden="1" x14ac:dyDescent="0.25">
      <c r="A354">
        <v>331</v>
      </c>
      <c r="B354" t="s">
        <v>788</v>
      </c>
      <c r="C354" t="s">
        <v>893</v>
      </c>
      <c r="D354">
        <v>353</v>
      </c>
      <c r="E354" t="str">
        <f t="shared" si="10"/>
        <v>RB</v>
      </c>
      <c r="F354">
        <f t="shared" si="11"/>
        <v>93</v>
      </c>
    </row>
    <row r="355" spans="1:6" hidden="1" x14ac:dyDescent="0.25">
      <c r="A355">
        <v>332</v>
      </c>
      <c r="B355" t="s">
        <v>1411</v>
      </c>
      <c r="C355" t="s">
        <v>873</v>
      </c>
      <c r="D355">
        <v>354</v>
      </c>
      <c r="E355" t="str">
        <f t="shared" si="10"/>
        <v>WR</v>
      </c>
      <c r="F355">
        <f t="shared" si="11"/>
        <v>127</v>
      </c>
    </row>
    <row r="356" spans="1:6" hidden="1" x14ac:dyDescent="0.25">
      <c r="A356">
        <v>369</v>
      </c>
      <c r="B356" t="s">
        <v>1269</v>
      </c>
      <c r="C356" t="s">
        <v>894</v>
      </c>
      <c r="D356">
        <v>355</v>
      </c>
      <c r="E356" t="str">
        <f t="shared" si="10"/>
        <v>QB</v>
      </c>
      <c r="F356">
        <f t="shared" si="11"/>
        <v>42</v>
      </c>
    </row>
    <row r="357" spans="1:6" hidden="1" x14ac:dyDescent="0.25">
      <c r="A357">
        <v>333</v>
      </c>
      <c r="B357" t="s">
        <v>1412</v>
      </c>
      <c r="C357" t="s">
        <v>880</v>
      </c>
      <c r="D357">
        <v>356</v>
      </c>
      <c r="E357" t="str">
        <f t="shared" si="10"/>
        <v>WR</v>
      </c>
      <c r="F357">
        <f t="shared" si="11"/>
        <v>128</v>
      </c>
    </row>
    <row r="358" spans="1:6" hidden="1" x14ac:dyDescent="0.25">
      <c r="A358">
        <v>370</v>
      </c>
      <c r="B358" t="s">
        <v>1419</v>
      </c>
      <c r="C358" t="s">
        <v>973</v>
      </c>
      <c r="D358">
        <v>357</v>
      </c>
      <c r="E358" t="str">
        <f t="shared" si="10"/>
        <v>RB</v>
      </c>
      <c r="F358">
        <f t="shared" si="11"/>
        <v>103</v>
      </c>
    </row>
    <row r="359" spans="1:6" hidden="1" x14ac:dyDescent="0.25">
      <c r="A359">
        <v>334</v>
      </c>
      <c r="B359" t="s">
        <v>1390</v>
      </c>
      <c r="C359" t="s">
        <v>904</v>
      </c>
      <c r="D359">
        <v>358</v>
      </c>
      <c r="E359" t="str">
        <f t="shared" si="10"/>
        <v>RB</v>
      </c>
      <c r="F359">
        <f t="shared" si="11"/>
        <v>94</v>
      </c>
    </row>
    <row r="360" spans="1:6" hidden="1" x14ac:dyDescent="0.25">
      <c r="A360">
        <v>372</v>
      </c>
      <c r="B360" t="s">
        <v>433</v>
      </c>
      <c r="C360" t="s">
        <v>959</v>
      </c>
      <c r="D360">
        <v>359</v>
      </c>
      <c r="E360" t="str">
        <f t="shared" si="10"/>
        <v>WR</v>
      </c>
      <c r="F360">
        <f t="shared" si="11"/>
        <v>143</v>
      </c>
    </row>
    <row r="361" spans="1:6" hidden="1" x14ac:dyDescent="0.25">
      <c r="A361">
        <v>373</v>
      </c>
      <c r="B361" t="s">
        <v>1051</v>
      </c>
      <c r="C361" t="s">
        <v>962</v>
      </c>
      <c r="D361">
        <v>360</v>
      </c>
      <c r="E361" t="str">
        <f t="shared" si="10"/>
        <v>WR</v>
      </c>
      <c r="F361">
        <f t="shared" si="11"/>
        <v>144</v>
      </c>
    </row>
    <row r="362" spans="1:6" hidden="1" x14ac:dyDescent="0.25">
      <c r="A362">
        <v>376</v>
      </c>
      <c r="B362" t="s">
        <v>1421</v>
      </c>
      <c r="C362" t="s">
        <v>967</v>
      </c>
      <c r="D362">
        <v>361</v>
      </c>
      <c r="E362" t="str">
        <f t="shared" si="10"/>
        <v>WR</v>
      </c>
      <c r="F362">
        <f t="shared" si="11"/>
        <v>145</v>
      </c>
    </row>
    <row r="363" spans="1:6" hidden="1" x14ac:dyDescent="0.25">
      <c r="A363">
        <v>377</v>
      </c>
      <c r="B363" t="s">
        <v>1539</v>
      </c>
      <c r="C363" t="s">
        <v>981</v>
      </c>
      <c r="D363">
        <v>362</v>
      </c>
      <c r="E363" t="str">
        <f t="shared" si="10"/>
        <v>RB</v>
      </c>
      <c r="F363">
        <f t="shared" si="11"/>
        <v>105</v>
      </c>
    </row>
    <row r="364" spans="1:6" hidden="1" x14ac:dyDescent="0.25">
      <c r="A364">
        <v>378</v>
      </c>
      <c r="B364" t="s">
        <v>1422</v>
      </c>
      <c r="C364" t="s">
        <v>971</v>
      </c>
      <c r="D364">
        <v>363</v>
      </c>
      <c r="E364" t="str">
        <f t="shared" si="10"/>
        <v>WR</v>
      </c>
      <c r="F364">
        <f t="shared" si="11"/>
        <v>146</v>
      </c>
    </row>
    <row r="365" spans="1:6" hidden="1" x14ac:dyDescent="0.25">
      <c r="A365">
        <v>338</v>
      </c>
      <c r="B365" t="s">
        <v>1531</v>
      </c>
      <c r="C365" t="s">
        <v>945</v>
      </c>
      <c r="D365">
        <v>364</v>
      </c>
      <c r="E365" t="str">
        <f t="shared" si="10"/>
        <v>RB</v>
      </c>
      <c r="F365">
        <f t="shared" si="11"/>
        <v>95</v>
      </c>
    </row>
    <row r="366" spans="1:6" hidden="1" x14ac:dyDescent="0.25">
      <c r="A366">
        <v>380</v>
      </c>
      <c r="B366" t="s">
        <v>1423</v>
      </c>
      <c r="C366" t="s">
        <v>988</v>
      </c>
      <c r="D366">
        <v>365</v>
      </c>
      <c r="E366" t="str">
        <f t="shared" si="10"/>
        <v>RB</v>
      </c>
      <c r="F366">
        <f t="shared" si="11"/>
        <v>106</v>
      </c>
    </row>
    <row r="367" spans="1:6" hidden="1" x14ac:dyDescent="0.25">
      <c r="A367">
        <v>381</v>
      </c>
      <c r="B367" t="s">
        <v>1540</v>
      </c>
      <c r="C367" t="s">
        <v>975</v>
      </c>
      <c r="D367">
        <v>366</v>
      </c>
      <c r="E367" t="str">
        <f t="shared" si="10"/>
        <v>WR</v>
      </c>
      <c r="F367">
        <f t="shared" si="11"/>
        <v>147</v>
      </c>
    </row>
    <row r="368" spans="1:6" hidden="1" x14ac:dyDescent="0.25">
      <c r="A368">
        <v>340</v>
      </c>
      <c r="B368" t="s">
        <v>187</v>
      </c>
      <c r="C368" t="s">
        <v>895</v>
      </c>
      <c r="D368">
        <v>367</v>
      </c>
      <c r="E368" t="str">
        <f t="shared" si="10"/>
        <v>WR</v>
      </c>
      <c r="F368">
        <f t="shared" si="11"/>
        <v>130</v>
      </c>
    </row>
    <row r="369" spans="1:6" hidden="1" x14ac:dyDescent="0.25">
      <c r="A369">
        <v>341</v>
      </c>
      <c r="B369" t="s">
        <v>64</v>
      </c>
      <c r="C369" t="s">
        <v>884</v>
      </c>
      <c r="D369">
        <v>368</v>
      </c>
      <c r="E369" t="str">
        <f t="shared" si="10"/>
        <v>TE</v>
      </c>
      <c r="F369">
        <f t="shared" si="11"/>
        <v>47</v>
      </c>
    </row>
    <row r="370" spans="1:6" hidden="1" x14ac:dyDescent="0.25">
      <c r="A370">
        <v>383</v>
      </c>
      <c r="B370" t="s">
        <v>1424</v>
      </c>
      <c r="C370" t="s">
        <v>982</v>
      </c>
      <c r="D370">
        <v>369</v>
      </c>
      <c r="E370" t="str">
        <f t="shared" si="10"/>
        <v>WR</v>
      </c>
      <c r="F370">
        <f t="shared" si="11"/>
        <v>149</v>
      </c>
    </row>
    <row r="371" spans="1:6" hidden="1" x14ac:dyDescent="0.25">
      <c r="A371">
        <v>384</v>
      </c>
      <c r="B371" t="s">
        <v>1541</v>
      </c>
      <c r="C371" t="s">
        <v>985</v>
      </c>
      <c r="D371">
        <v>370</v>
      </c>
      <c r="E371" t="str">
        <f t="shared" si="10"/>
        <v>WR</v>
      </c>
      <c r="F371">
        <f t="shared" si="11"/>
        <v>150</v>
      </c>
    </row>
    <row r="372" spans="1:6" hidden="1" x14ac:dyDescent="0.25">
      <c r="A372">
        <v>342</v>
      </c>
      <c r="B372" t="s">
        <v>1382</v>
      </c>
      <c r="C372" t="s">
        <v>887</v>
      </c>
      <c r="D372">
        <v>371</v>
      </c>
      <c r="E372" t="str">
        <f t="shared" si="10"/>
        <v>TE</v>
      </c>
      <c r="F372">
        <f t="shared" si="11"/>
        <v>48</v>
      </c>
    </row>
    <row r="373" spans="1:6" hidden="1" x14ac:dyDescent="0.25">
      <c r="A373">
        <v>387</v>
      </c>
      <c r="B373" t="s">
        <v>1093</v>
      </c>
      <c r="C373" t="s">
        <v>950</v>
      </c>
      <c r="D373">
        <v>372</v>
      </c>
      <c r="E373" t="str">
        <f t="shared" si="10"/>
        <v>TE</v>
      </c>
      <c r="F373">
        <f t="shared" si="11"/>
        <v>51</v>
      </c>
    </row>
    <row r="374" spans="1:6" hidden="1" x14ac:dyDescent="0.25">
      <c r="A374">
        <v>389</v>
      </c>
      <c r="B374" t="s">
        <v>409</v>
      </c>
      <c r="C374" t="s">
        <v>995</v>
      </c>
      <c r="D374">
        <v>373</v>
      </c>
      <c r="E374" t="str">
        <f t="shared" si="10"/>
        <v>WR</v>
      </c>
      <c r="F374">
        <f t="shared" si="11"/>
        <v>152</v>
      </c>
    </row>
    <row r="375" spans="1:6" hidden="1" x14ac:dyDescent="0.25">
      <c r="A375">
        <v>347</v>
      </c>
      <c r="B375" t="s">
        <v>325</v>
      </c>
      <c r="C375" t="s">
        <v>952</v>
      </c>
      <c r="D375">
        <v>374</v>
      </c>
      <c r="E375" t="str">
        <f t="shared" si="10"/>
        <v>RB</v>
      </c>
      <c r="F375">
        <f t="shared" si="11"/>
        <v>98</v>
      </c>
    </row>
    <row r="376" spans="1:6" hidden="1" x14ac:dyDescent="0.25">
      <c r="A376">
        <v>390</v>
      </c>
      <c r="B376" t="s">
        <v>1425</v>
      </c>
      <c r="C376" t="s">
        <v>996</v>
      </c>
      <c r="D376">
        <v>375</v>
      </c>
      <c r="E376" t="str">
        <f t="shared" si="10"/>
        <v>RB</v>
      </c>
      <c r="F376">
        <f t="shared" si="11"/>
        <v>107</v>
      </c>
    </row>
    <row r="377" spans="1:6" hidden="1" x14ac:dyDescent="0.25">
      <c r="A377">
        <v>348</v>
      </c>
      <c r="B377" t="s">
        <v>292</v>
      </c>
      <c r="C377" t="s">
        <v>954</v>
      </c>
      <c r="D377">
        <v>376</v>
      </c>
      <c r="E377" t="str">
        <f t="shared" si="10"/>
        <v>RB</v>
      </c>
      <c r="F377">
        <f t="shared" si="11"/>
        <v>99</v>
      </c>
    </row>
    <row r="378" spans="1:6" hidden="1" x14ac:dyDescent="0.25">
      <c r="A378">
        <v>391</v>
      </c>
      <c r="B378" t="s">
        <v>1542</v>
      </c>
      <c r="C378" t="s">
        <v>1007</v>
      </c>
      <c r="D378">
        <v>377</v>
      </c>
      <c r="E378" t="str">
        <f t="shared" si="10"/>
        <v>RB</v>
      </c>
      <c r="F378">
        <f t="shared" si="11"/>
        <v>108</v>
      </c>
    </row>
    <row r="379" spans="1:6" hidden="1" x14ac:dyDescent="0.25">
      <c r="A379">
        <v>350</v>
      </c>
      <c r="B379" t="s">
        <v>1193</v>
      </c>
      <c r="C379" t="s">
        <v>941</v>
      </c>
      <c r="D379">
        <v>378</v>
      </c>
      <c r="E379" t="str">
        <f t="shared" si="10"/>
        <v>WR</v>
      </c>
      <c r="F379">
        <f t="shared" si="11"/>
        <v>134</v>
      </c>
    </row>
    <row r="380" spans="1:6" hidden="1" x14ac:dyDescent="0.25">
      <c r="A380">
        <v>392</v>
      </c>
      <c r="B380" t="s">
        <v>383</v>
      </c>
      <c r="C380" t="s">
        <v>906</v>
      </c>
      <c r="D380">
        <v>379</v>
      </c>
      <c r="E380" t="str">
        <f t="shared" si="10"/>
        <v>QB</v>
      </c>
      <c r="F380">
        <f t="shared" si="11"/>
        <v>46</v>
      </c>
    </row>
    <row r="381" spans="1:6" hidden="1" x14ac:dyDescent="0.25">
      <c r="A381">
        <v>345</v>
      </c>
      <c r="B381" t="s">
        <v>297</v>
      </c>
      <c r="C381" t="s">
        <v>947</v>
      </c>
      <c r="D381">
        <v>380</v>
      </c>
      <c r="E381" t="str">
        <f t="shared" si="10"/>
        <v>RB</v>
      </c>
      <c r="F381">
        <f t="shared" si="11"/>
        <v>97</v>
      </c>
    </row>
    <row r="382" spans="1:6" hidden="1" x14ac:dyDescent="0.25">
      <c r="A382">
        <v>394</v>
      </c>
      <c r="B382" t="s">
        <v>1256</v>
      </c>
      <c r="C382" t="s">
        <v>958</v>
      </c>
      <c r="D382">
        <v>381</v>
      </c>
      <c r="E382" t="str">
        <f t="shared" si="10"/>
        <v>TE</v>
      </c>
      <c r="F382">
        <f t="shared" si="11"/>
        <v>53</v>
      </c>
    </row>
    <row r="383" spans="1:6" hidden="1" x14ac:dyDescent="0.25">
      <c r="A383">
        <v>395</v>
      </c>
      <c r="B383" t="s">
        <v>1257</v>
      </c>
      <c r="C383" t="s">
        <v>1002</v>
      </c>
      <c r="D383">
        <v>382</v>
      </c>
      <c r="E383" t="str">
        <f t="shared" si="10"/>
        <v>WR</v>
      </c>
      <c r="F383">
        <f t="shared" si="11"/>
        <v>153</v>
      </c>
    </row>
    <row r="384" spans="1:6" hidden="1" x14ac:dyDescent="0.25">
      <c r="A384">
        <v>397</v>
      </c>
      <c r="B384" t="s">
        <v>1426</v>
      </c>
      <c r="C384" t="s">
        <v>1010</v>
      </c>
      <c r="D384">
        <v>383</v>
      </c>
      <c r="E384" t="str">
        <f t="shared" si="10"/>
        <v>RB</v>
      </c>
      <c r="F384">
        <f t="shared" si="11"/>
        <v>109</v>
      </c>
    </row>
    <row r="385" spans="1:6" hidden="1" x14ac:dyDescent="0.25">
      <c r="A385">
        <v>398</v>
      </c>
      <c r="B385" t="s">
        <v>1427</v>
      </c>
      <c r="C385" t="s">
        <v>1024</v>
      </c>
      <c r="D385">
        <v>384</v>
      </c>
      <c r="E385" t="str">
        <f t="shared" si="10"/>
        <v>RB</v>
      </c>
      <c r="F385">
        <f t="shared" si="11"/>
        <v>110</v>
      </c>
    </row>
    <row r="386" spans="1:6" hidden="1" x14ac:dyDescent="0.25">
      <c r="A386">
        <v>399</v>
      </c>
      <c r="B386" t="s">
        <v>704</v>
      </c>
      <c r="C386" t="s">
        <v>1030</v>
      </c>
      <c r="D386">
        <v>385</v>
      </c>
      <c r="E386" t="str">
        <f t="shared" si="10"/>
        <v>RB</v>
      </c>
      <c r="F386">
        <f t="shared" si="11"/>
        <v>111</v>
      </c>
    </row>
    <row r="387" spans="1:6" hidden="1" x14ac:dyDescent="0.25">
      <c r="A387">
        <v>363</v>
      </c>
      <c r="B387" t="s">
        <v>506</v>
      </c>
      <c r="C387" t="s">
        <v>882</v>
      </c>
      <c r="D387">
        <v>386</v>
      </c>
      <c r="E387" t="str">
        <f t="shared" ref="E387:E450" si="12">LEFT(C387,2)</f>
        <v>QB</v>
      </c>
      <c r="F387">
        <f t="shared" ref="F387:F450" si="13">VALUE(MID(C387,3,LEN(C387)))</f>
        <v>41</v>
      </c>
    </row>
    <row r="388" spans="1:6" hidden="1" x14ac:dyDescent="0.25">
      <c r="A388">
        <v>400</v>
      </c>
      <c r="B388" t="s">
        <v>62</v>
      </c>
      <c r="C388" t="s">
        <v>960</v>
      </c>
      <c r="D388">
        <v>387</v>
      </c>
      <c r="E388" t="str">
        <f t="shared" si="12"/>
        <v>TE</v>
      </c>
      <c r="F388">
        <f t="shared" si="13"/>
        <v>54</v>
      </c>
    </row>
    <row r="389" spans="1:6" hidden="1" x14ac:dyDescent="0.25">
      <c r="A389">
        <v>401</v>
      </c>
      <c r="B389" t="s">
        <v>1544</v>
      </c>
      <c r="C389" t="s">
        <v>978</v>
      </c>
      <c r="D389">
        <v>388</v>
      </c>
      <c r="E389" t="str">
        <f t="shared" si="12"/>
        <v>QB</v>
      </c>
      <c r="F389">
        <f t="shared" si="13"/>
        <v>48</v>
      </c>
    </row>
    <row r="390" spans="1:6" hidden="1" x14ac:dyDescent="0.25">
      <c r="A390">
        <v>402</v>
      </c>
      <c r="B390" t="s">
        <v>1428</v>
      </c>
      <c r="C390" t="s">
        <v>1005</v>
      </c>
      <c r="D390">
        <v>389</v>
      </c>
      <c r="E390" t="str">
        <f t="shared" si="12"/>
        <v>WR</v>
      </c>
      <c r="F390">
        <f t="shared" si="13"/>
        <v>155</v>
      </c>
    </row>
    <row r="391" spans="1:6" hidden="1" x14ac:dyDescent="0.25">
      <c r="A391">
        <v>403</v>
      </c>
      <c r="B391" t="s">
        <v>1471</v>
      </c>
      <c r="C391" t="s">
        <v>980</v>
      </c>
      <c r="D391">
        <v>390</v>
      </c>
      <c r="E391" t="str">
        <f t="shared" si="12"/>
        <v>QB</v>
      </c>
      <c r="F391">
        <f t="shared" si="13"/>
        <v>49</v>
      </c>
    </row>
    <row r="392" spans="1:6" hidden="1" x14ac:dyDescent="0.25">
      <c r="A392">
        <v>404</v>
      </c>
      <c r="B392" t="s">
        <v>1429</v>
      </c>
      <c r="C392" t="s">
        <v>961</v>
      </c>
      <c r="D392">
        <v>391</v>
      </c>
      <c r="E392" t="str">
        <f t="shared" si="12"/>
        <v>TE</v>
      </c>
      <c r="F392">
        <f t="shared" si="13"/>
        <v>55</v>
      </c>
    </row>
    <row r="393" spans="1:6" hidden="1" x14ac:dyDescent="0.25">
      <c r="A393">
        <v>405</v>
      </c>
      <c r="B393" t="s">
        <v>1430</v>
      </c>
      <c r="C393" t="s">
        <v>1008</v>
      </c>
      <c r="D393">
        <v>392</v>
      </c>
      <c r="E393" t="str">
        <f t="shared" si="12"/>
        <v>WR</v>
      </c>
      <c r="F393">
        <f t="shared" si="13"/>
        <v>156</v>
      </c>
    </row>
    <row r="394" spans="1:6" hidden="1" x14ac:dyDescent="0.25">
      <c r="A394">
        <v>371</v>
      </c>
      <c r="B394" t="s">
        <v>455</v>
      </c>
      <c r="C394" t="s">
        <v>897</v>
      </c>
      <c r="D394">
        <v>393</v>
      </c>
      <c r="E394" t="str">
        <f t="shared" si="12"/>
        <v>TE</v>
      </c>
      <c r="F394">
        <f t="shared" si="13"/>
        <v>50</v>
      </c>
    </row>
    <row r="395" spans="1:6" hidden="1" x14ac:dyDescent="0.25">
      <c r="A395">
        <v>364</v>
      </c>
      <c r="B395" t="s">
        <v>1418</v>
      </c>
      <c r="C395" t="s">
        <v>949</v>
      </c>
      <c r="D395">
        <v>394</v>
      </c>
      <c r="E395" t="str">
        <f t="shared" si="12"/>
        <v>WR</v>
      </c>
      <c r="F395">
        <f t="shared" si="13"/>
        <v>139</v>
      </c>
    </row>
    <row r="396" spans="1:6" hidden="1" x14ac:dyDescent="0.25">
      <c r="A396">
        <v>407</v>
      </c>
      <c r="B396" t="s">
        <v>1431</v>
      </c>
      <c r="C396" t="s">
        <v>1009</v>
      </c>
      <c r="D396">
        <v>395</v>
      </c>
      <c r="E396" t="str">
        <f t="shared" si="12"/>
        <v>WR</v>
      </c>
      <c r="F396">
        <f t="shared" si="13"/>
        <v>157</v>
      </c>
    </row>
    <row r="397" spans="1:6" hidden="1" x14ac:dyDescent="0.25">
      <c r="A397">
        <v>374</v>
      </c>
      <c r="B397" t="s">
        <v>1420</v>
      </c>
      <c r="C397" t="s">
        <v>976</v>
      </c>
      <c r="D397">
        <v>396</v>
      </c>
      <c r="E397" t="str">
        <f t="shared" si="12"/>
        <v>RB</v>
      </c>
      <c r="F397">
        <f t="shared" si="13"/>
        <v>104</v>
      </c>
    </row>
    <row r="398" spans="1:6" hidden="1" x14ac:dyDescent="0.25">
      <c r="A398">
        <v>375</v>
      </c>
      <c r="B398" t="s">
        <v>382</v>
      </c>
      <c r="C398" t="s">
        <v>899</v>
      </c>
      <c r="D398">
        <v>397</v>
      </c>
      <c r="E398" t="str">
        <f t="shared" si="12"/>
        <v>QB</v>
      </c>
      <c r="F398">
        <f t="shared" si="13"/>
        <v>43</v>
      </c>
    </row>
    <row r="399" spans="1:6" hidden="1" x14ac:dyDescent="0.25">
      <c r="A399">
        <v>408</v>
      </c>
      <c r="B399" t="s">
        <v>1432</v>
      </c>
      <c r="C399" t="s">
        <v>969</v>
      </c>
      <c r="D399">
        <v>398</v>
      </c>
      <c r="E399" t="str">
        <f t="shared" si="12"/>
        <v>TE</v>
      </c>
      <c r="F399">
        <f t="shared" si="13"/>
        <v>56</v>
      </c>
    </row>
    <row r="400" spans="1:6" hidden="1" x14ac:dyDescent="0.25">
      <c r="A400">
        <v>409</v>
      </c>
      <c r="B400" t="s">
        <v>1545</v>
      </c>
      <c r="C400" t="s">
        <v>970</v>
      </c>
      <c r="D400">
        <v>399</v>
      </c>
      <c r="E400" t="str">
        <f t="shared" si="12"/>
        <v>TE</v>
      </c>
      <c r="F400">
        <f t="shared" si="13"/>
        <v>57</v>
      </c>
    </row>
    <row r="401" spans="1:6" hidden="1" x14ac:dyDescent="0.25">
      <c r="A401">
        <v>410</v>
      </c>
      <c r="B401" t="s">
        <v>1433</v>
      </c>
      <c r="C401" t="s">
        <v>989</v>
      </c>
      <c r="D401">
        <v>400</v>
      </c>
      <c r="E401" t="str">
        <f t="shared" si="12"/>
        <v>QB</v>
      </c>
      <c r="F401">
        <f t="shared" si="13"/>
        <v>50</v>
      </c>
    </row>
    <row r="402" spans="1:6" hidden="1" x14ac:dyDescent="0.25">
      <c r="A402">
        <v>411</v>
      </c>
      <c r="B402" t="s">
        <v>373</v>
      </c>
      <c r="C402" t="s">
        <v>991</v>
      </c>
      <c r="D402">
        <v>401</v>
      </c>
      <c r="E402" t="str">
        <f t="shared" si="12"/>
        <v>QB</v>
      </c>
      <c r="F402">
        <f t="shared" si="13"/>
        <v>51</v>
      </c>
    </row>
    <row r="403" spans="1:6" hidden="1" x14ac:dyDescent="0.25">
      <c r="A403">
        <v>382</v>
      </c>
      <c r="B403" t="s">
        <v>210</v>
      </c>
      <c r="C403" t="s">
        <v>979</v>
      </c>
      <c r="D403">
        <v>402</v>
      </c>
      <c r="E403" t="str">
        <f t="shared" si="12"/>
        <v>WR</v>
      </c>
      <c r="F403">
        <f t="shared" si="13"/>
        <v>148</v>
      </c>
    </row>
    <row r="404" spans="1:6" hidden="1" x14ac:dyDescent="0.25">
      <c r="A404">
        <v>385</v>
      </c>
      <c r="B404" t="s">
        <v>173</v>
      </c>
      <c r="C404" t="s">
        <v>987</v>
      </c>
      <c r="D404">
        <v>403</v>
      </c>
      <c r="E404" t="str">
        <f t="shared" si="12"/>
        <v>WR</v>
      </c>
      <c r="F404">
        <f t="shared" si="13"/>
        <v>151</v>
      </c>
    </row>
    <row r="405" spans="1:6" hidden="1" x14ac:dyDescent="0.25">
      <c r="A405">
        <v>386</v>
      </c>
      <c r="B405" t="s">
        <v>1116</v>
      </c>
      <c r="C405" t="s">
        <v>903</v>
      </c>
      <c r="D405">
        <v>404</v>
      </c>
      <c r="E405" t="str">
        <f t="shared" si="12"/>
        <v>QB</v>
      </c>
      <c r="F405">
        <f t="shared" si="13"/>
        <v>45</v>
      </c>
    </row>
    <row r="406" spans="1:6" hidden="1" x14ac:dyDescent="0.25">
      <c r="A406">
        <v>412</v>
      </c>
      <c r="B406" t="s">
        <v>1546</v>
      </c>
      <c r="C406" t="s">
        <v>1014</v>
      </c>
      <c r="D406">
        <v>405</v>
      </c>
      <c r="E406" t="str">
        <f t="shared" si="12"/>
        <v>WR</v>
      </c>
      <c r="F406">
        <f t="shared" si="13"/>
        <v>158</v>
      </c>
    </row>
    <row r="407" spans="1:6" hidden="1" x14ac:dyDescent="0.25">
      <c r="A407">
        <v>413</v>
      </c>
      <c r="B407" t="s">
        <v>1321</v>
      </c>
      <c r="C407" t="s">
        <v>1018</v>
      </c>
      <c r="D407">
        <v>406</v>
      </c>
      <c r="E407" t="str">
        <f t="shared" si="12"/>
        <v>WR</v>
      </c>
      <c r="F407">
        <f t="shared" si="13"/>
        <v>159</v>
      </c>
    </row>
    <row r="408" spans="1:6" hidden="1" x14ac:dyDescent="0.25">
      <c r="A408">
        <v>357</v>
      </c>
      <c r="B408" t="s">
        <v>1415</v>
      </c>
      <c r="C408" t="s">
        <v>888</v>
      </c>
      <c r="D408">
        <v>407</v>
      </c>
      <c r="E408" t="str">
        <f t="shared" si="12"/>
        <v>TE</v>
      </c>
      <c r="F408">
        <f t="shared" si="13"/>
        <v>49</v>
      </c>
    </row>
    <row r="409" spans="1:6" hidden="1" x14ac:dyDescent="0.25">
      <c r="A409">
        <v>396</v>
      </c>
      <c r="B409" t="s">
        <v>1543</v>
      </c>
      <c r="C409" t="s">
        <v>1004</v>
      </c>
      <c r="D409">
        <v>408</v>
      </c>
      <c r="E409" t="str">
        <f t="shared" si="12"/>
        <v>WR</v>
      </c>
      <c r="F409">
        <f t="shared" si="13"/>
        <v>154</v>
      </c>
    </row>
    <row r="410" spans="1:6" hidden="1" x14ac:dyDescent="0.25">
      <c r="A410">
        <v>414</v>
      </c>
      <c r="B410" t="s">
        <v>1547</v>
      </c>
      <c r="C410" t="s">
        <v>992</v>
      </c>
      <c r="D410">
        <v>409</v>
      </c>
      <c r="E410" t="str">
        <f t="shared" si="12"/>
        <v>QB</v>
      </c>
      <c r="F410">
        <f t="shared" si="13"/>
        <v>52</v>
      </c>
    </row>
    <row r="411" spans="1:6" hidden="1" x14ac:dyDescent="0.25">
      <c r="A411">
        <v>415</v>
      </c>
      <c r="B411" t="s">
        <v>986</v>
      </c>
      <c r="C411" t="s">
        <v>1019</v>
      </c>
      <c r="D411">
        <v>410</v>
      </c>
      <c r="E411" t="str">
        <f t="shared" si="12"/>
        <v>WR</v>
      </c>
      <c r="F411">
        <f t="shared" si="13"/>
        <v>160</v>
      </c>
    </row>
    <row r="412" spans="1:6" hidden="1" x14ac:dyDescent="0.25">
      <c r="A412">
        <v>393</v>
      </c>
      <c r="B412" t="s">
        <v>1126</v>
      </c>
      <c r="C412" t="s">
        <v>965</v>
      </c>
      <c r="D412">
        <v>411</v>
      </c>
      <c r="E412" t="str">
        <f t="shared" si="12"/>
        <v>QB</v>
      </c>
      <c r="F412">
        <f t="shared" si="13"/>
        <v>47</v>
      </c>
    </row>
    <row r="413" spans="1:6" hidden="1" x14ac:dyDescent="0.25">
      <c r="A413">
        <v>416</v>
      </c>
      <c r="B413" t="s">
        <v>1434</v>
      </c>
      <c r="C413" t="s">
        <v>1039</v>
      </c>
      <c r="D413">
        <v>412</v>
      </c>
      <c r="E413" t="str">
        <f t="shared" si="12"/>
        <v>RB</v>
      </c>
      <c r="F413">
        <f t="shared" si="13"/>
        <v>113</v>
      </c>
    </row>
    <row r="414" spans="1:6" hidden="1" x14ac:dyDescent="0.25">
      <c r="A414">
        <v>417</v>
      </c>
      <c r="B414" t="s">
        <v>346</v>
      </c>
      <c r="C414" t="s">
        <v>994</v>
      </c>
      <c r="D414">
        <v>413</v>
      </c>
      <c r="E414" t="str">
        <f t="shared" si="12"/>
        <v>QB</v>
      </c>
      <c r="F414">
        <f t="shared" si="13"/>
        <v>53</v>
      </c>
    </row>
    <row r="415" spans="1:6" hidden="1" x14ac:dyDescent="0.25">
      <c r="A415">
        <v>419</v>
      </c>
      <c r="B415" t="s">
        <v>1436</v>
      </c>
      <c r="C415" t="s">
        <v>974</v>
      </c>
      <c r="D415">
        <v>414</v>
      </c>
      <c r="E415" t="str">
        <f t="shared" si="12"/>
        <v>TE</v>
      </c>
      <c r="F415">
        <f t="shared" si="13"/>
        <v>58</v>
      </c>
    </row>
    <row r="416" spans="1:6" hidden="1" x14ac:dyDescent="0.25">
      <c r="A416">
        <v>420</v>
      </c>
      <c r="B416" t="s">
        <v>1437</v>
      </c>
      <c r="C416" t="s">
        <v>1043</v>
      </c>
      <c r="D416">
        <v>415</v>
      </c>
      <c r="E416" t="str">
        <f t="shared" si="12"/>
        <v>RB</v>
      </c>
      <c r="F416">
        <f t="shared" si="13"/>
        <v>115</v>
      </c>
    </row>
    <row r="417" spans="1:6" hidden="1" x14ac:dyDescent="0.25">
      <c r="A417">
        <v>421</v>
      </c>
      <c r="B417" t="s">
        <v>1438</v>
      </c>
      <c r="C417" t="s">
        <v>977</v>
      </c>
      <c r="D417">
        <v>416</v>
      </c>
      <c r="E417" t="str">
        <f t="shared" si="12"/>
        <v>TE</v>
      </c>
      <c r="F417">
        <f t="shared" si="13"/>
        <v>59</v>
      </c>
    </row>
    <row r="418" spans="1:6" hidden="1" x14ac:dyDescent="0.25">
      <c r="A418">
        <v>422</v>
      </c>
      <c r="B418" t="s">
        <v>1439</v>
      </c>
      <c r="C418" t="s">
        <v>1047</v>
      </c>
      <c r="D418">
        <v>417</v>
      </c>
      <c r="E418" t="str">
        <f t="shared" si="12"/>
        <v>RB</v>
      </c>
      <c r="F418">
        <f t="shared" si="13"/>
        <v>116</v>
      </c>
    </row>
    <row r="419" spans="1:6" hidden="1" x14ac:dyDescent="0.25">
      <c r="A419">
        <v>423</v>
      </c>
      <c r="B419" t="s">
        <v>1548</v>
      </c>
      <c r="C419" t="s">
        <v>983</v>
      </c>
      <c r="D419">
        <v>418</v>
      </c>
      <c r="E419" t="str">
        <f t="shared" si="12"/>
        <v>TE</v>
      </c>
      <c r="F419">
        <f t="shared" si="13"/>
        <v>60</v>
      </c>
    </row>
    <row r="420" spans="1:6" hidden="1" x14ac:dyDescent="0.25">
      <c r="A420">
        <v>426</v>
      </c>
      <c r="B420" t="s">
        <v>515</v>
      </c>
      <c r="C420" t="s">
        <v>1032</v>
      </c>
      <c r="D420">
        <v>419</v>
      </c>
      <c r="E420" t="str">
        <f t="shared" si="12"/>
        <v>QB</v>
      </c>
      <c r="F420">
        <f t="shared" si="13"/>
        <v>55</v>
      </c>
    </row>
    <row r="421" spans="1:6" hidden="1" x14ac:dyDescent="0.25">
      <c r="A421">
        <v>427</v>
      </c>
      <c r="B421" t="s">
        <v>387</v>
      </c>
      <c r="C421" t="s">
        <v>1033</v>
      </c>
      <c r="D421">
        <v>420</v>
      </c>
      <c r="E421" t="str">
        <f t="shared" si="12"/>
        <v>QB</v>
      </c>
      <c r="F421">
        <f t="shared" si="13"/>
        <v>56</v>
      </c>
    </row>
    <row r="422" spans="1:6" hidden="1" x14ac:dyDescent="0.25">
      <c r="A422">
        <v>428</v>
      </c>
      <c r="B422" t="s">
        <v>1110</v>
      </c>
      <c r="C422" t="s">
        <v>1026</v>
      </c>
      <c r="D422">
        <v>421</v>
      </c>
      <c r="E422" t="str">
        <f t="shared" si="12"/>
        <v>WR</v>
      </c>
      <c r="F422">
        <f t="shared" si="13"/>
        <v>162</v>
      </c>
    </row>
    <row r="423" spans="1:6" hidden="1" x14ac:dyDescent="0.25">
      <c r="A423">
        <v>429</v>
      </c>
      <c r="B423" t="s">
        <v>176</v>
      </c>
      <c r="C423" t="s">
        <v>1027</v>
      </c>
      <c r="D423">
        <v>422</v>
      </c>
      <c r="E423" t="str">
        <f t="shared" si="12"/>
        <v>WR</v>
      </c>
      <c r="F423">
        <f t="shared" si="13"/>
        <v>163</v>
      </c>
    </row>
    <row r="424" spans="1:6" hidden="1" x14ac:dyDescent="0.25">
      <c r="A424">
        <v>430</v>
      </c>
      <c r="B424" t="s">
        <v>799</v>
      </c>
      <c r="C424" t="s">
        <v>1031</v>
      </c>
      <c r="D424">
        <v>423</v>
      </c>
      <c r="E424" t="str">
        <f t="shared" si="12"/>
        <v>WR</v>
      </c>
      <c r="F424">
        <f t="shared" si="13"/>
        <v>164</v>
      </c>
    </row>
    <row r="425" spans="1:6" hidden="1" x14ac:dyDescent="0.25">
      <c r="A425">
        <v>431</v>
      </c>
      <c r="B425" t="s">
        <v>1440</v>
      </c>
      <c r="C425" t="s">
        <v>1037</v>
      </c>
      <c r="D425">
        <v>424</v>
      </c>
      <c r="E425" t="str">
        <f t="shared" si="12"/>
        <v>WR</v>
      </c>
      <c r="F425">
        <f t="shared" si="13"/>
        <v>165</v>
      </c>
    </row>
    <row r="426" spans="1:6" hidden="1" x14ac:dyDescent="0.25">
      <c r="A426">
        <v>418</v>
      </c>
      <c r="B426" t="s">
        <v>1435</v>
      </c>
      <c r="C426" t="s">
        <v>1041</v>
      </c>
      <c r="D426">
        <v>425</v>
      </c>
      <c r="E426" t="str">
        <f t="shared" si="12"/>
        <v>RB</v>
      </c>
      <c r="F426">
        <f t="shared" si="13"/>
        <v>114</v>
      </c>
    </row>
    <row r="427" spans="1:6" hidden="1" x14ac:dyDescent="0.25">
      <c r="A427">
        <v>432</v>
      </c>
      <c r="B427" t="s">
        <v>1441</v>
      </c>
      <c r="C427" t="s">
        <v>984</v>
      </c>
      <c r="D427">
        <v>426</v>
      </c>
      <c r="E427" t="str">
        <f t="shared" si="12"/>
        <v>TE</v>
      </c>
      <c r="F427">
        <f t="shared" si="13"/>
        <v>61</v>
      </c>
    </row>
    <row r="428" spans="1:6" hidden="1" x14ac:dyDescent="0.25">
      <c r="A428">
        <v>434</v>
      </c>
      <c r="B428" t="s">
        <v>485</v>
      </c>
      <c r="C428" t="s">
        <v>1048</v>
      </c>
      <c r="D428">
        <v>427</v>
      </c>
      <c r="E428" t="str">
        <f t="shared" si="12"/>
        <v>WR</v>
      </c>
      <c r="F428">
        <f t="shared" si="13"/>
        <v>167</v>
      </c>
    </row>
    <row r="429" spans="1:6" hidden="1" x14ac:dyDescent="0.25">
      <c r="A429">
        <v>436</v>
      </c>
      <c r="B429" t="s">
        <v>1275</v>
      </c>
      <c r="C429" t="s">
        <v>990</v>
      </c>
      <c r="D429">
        <v>428</v>
      </c>
      <c r="E429" t="str">
        <f t="shared" si="12"/>
        <v>TE</v>
      </c>
      <c r="F429">
        <f t="shared" si="13"/>
        <v>62</v>
      </c>
    </row>
    <row r="430" spans="1:6" hidden="1" x14ac:dyDescent="0.25">
      <c r="A430">
        <v>388</v>
      </c>
      <c r="B430" t="s">
        <v>456</v>
      </c>
      <c r="C430" t="s">
        <v>956</v>
      </c>
      <c r="D430">
        <v>429</v>
      </c>
      <c r="E430" t="str">
        <f t="shared" si="12"/>
        <v>TE</v>
      </c>
      <c r="F430">
        <f t="shared" si="13"/>
        <v>52</v>
      </c>
    </row>
    <row r="431" spans="1:6" hidden="1" x14ac:dyDescent="0.25">
      <c r="A431">
        <v>437</v>
      </c>
      <c r="B431" t="s">
        <v>193</v>
      </c>
      <c r="C431" t="s">
        <v>1052</v>
      </c>
      <c r="D431">
        <v>430</v>
      </c>
      <c r="E431" t="str">
        <f t="shared" si="12"/>
        <v>WR</v>
      </c>
      <c r="F431">
        <f t="shared" si="13"/>
        <v>168</v>
      </c>
    </row>
    <row r="432" spans="1:6" hidden="1" x14ac:dyDescent="0.25">
      <c r="A432">
        <v>438</v>
      </c>
      <c r="B432" t="s">
        <v>1549</v>
      </c>
      <c r="C432" t="s">
        <v>993</v>
      </c>
      <c r="D432">
        <v>431</v>
      </c>
      <c r="E432" t="str">
        <f t="shared" si="12"/>
        <v>TE</v>
      </c>
      <c r="F432">
        <f t="shared" si="13"/>
        <v>63</v>
      </c>
    </row>
    <row r="433" spans="1:6" hidden="1" x14ac:dyDescent="0.25">
      <c r="A433">
        <v>439</v>
      </c>
      <c r="B433" t="s">
        <v>1114</v>
      </c>
      <c r="C433" t="s">
        <v>1056</v>
      </c>
      <c r="D433">
        <v>432</v>
      </c>
      <c r="E433" t="str">
        <f t="shared" si="12"/>
        <v>WR</v>
      </c>
      <c r="F433">
        <f t="shared" si="13"/>
        <v>169</v>
      </c>
    </row>
    <row r="434" spans="1:6" hidden="1" x14ac:dyDescent="0.25">
      <c r="A434">
        <v>440</v>
      </c>
      <c r="B434" t="s">
        <v>1444</v>
      </c>
      <c r="C434" t="s">
        <v>1054</v>
      </c>
      <c r="D434">
        <v>433</v>
      </c>
      <c r="E434" t="str">
        <f t="shared" si="12"/>
        <v>RB</v>
      </c>
      <c r="F434">
        <f t="shared" si="13"/>
        <v>117</v>
      </c>
    </row>
    <row r="435" spans="1:6" hidden="1" x14ac:dyDescent="0.25">
      <c r="A435">
        <v>379</v>
      </c>
      <c r="B435" t="s">
        <v>344</v>
      </c>
      <c r="C435" t="s">
        <v>900</v>
      </c>
      <c r="D435">
        <v>434</v>
      </c>
      <c r="E435" t="str">
        <f t="shared" si="12"/>
        <v>QB</v>
      </c>
      <c r="F435">
        <f t="shared" si="13"/>
        <v>44</v>
      </c>
    </row>
    <row r="436" spans="1:6" hidden="1" x14ac:dyDescent="0.25">
      <c r="A436">
        <v>441</v>
      </c>
      <c r="B436" t="s">
        <v>1445</v>
      </c>
      <c r="C436" t="s">
        <v>998</v>
      </c>
      <c r="D436">
        <v>435</v>
      </c>
      <c r="E436" t="str">
        <f t="shared" si="12"/>
        <v>TE</v>
      </c>
      <c r="F436">
        <f t="shared" si="13"/>
        <v>64</v>
      </c>
    </row>
    <row r="437" spans="1:6" hidden="1" x14ac:dyDescent="0.25">
      <c r="A437">
        <v>442</v>
      </c>
      <c r="B437" t="s">
        <v>437</v>
      </c>
      <c r="C437" t="s">
        <v>999</v>
      </c>
      <c r="D437">
        <v>436</v>
      </c>
      <c r="E437" t="str">
        <f t="shared" si="12"/>
        <v>TE</v>
      </c>
      <c r="F437">
        <f t="shared" si="13"/>
        <v>65</v>
      </c>
    </row>
    <row r="438" spans="1:6" hidden="1" x14ac:dyDescent="0.25">
      <c r="A438">
        <v>443</v>
      </c>
      <c r="B438" t="s">
        <v>1241</v>
      </c>
      <c r="C438" t="s">
        <v>1035</v>
      </c>
      <c r="D438">
        <v>437</v>
      </c>
      <c r="E438" t="str">
        <f t="shared" si="12"/>
        <v>QB</v>
      </c>
      <c r="F438">
        <f t="shared" si="13"/>
        <v>58</v>
      </c>
    </row>
    <row r="439" spans="1:6" hidden="1" x14ac:dyDescent="0.25">
      <c r="A439">
        <v>444</v>
      </c>
      <c r="B439" t="s">
        <v>1370</v>
      </c>
      <c r="C439" t="s">
        <v>1058</v>
      </c>
      <c r="D439">
        <v>438</v>
      </c>
      <c r="E439" t="str">
        <f t="shared" si="12"/>
        <v>WR</v>
      </c>
      <c r="F439">
        <f t="shared" si="13"/>
        <v>170</v>
      </c>
    </row>
    <row r="440" spans="1:6" hidden="1" x14ac:dyDescent="0.25">
      <c r="A440">
        <v>445</v>
      </c>
      <c r="B440" t="s">
        <v>1446</v>
      </c>
      <c r="C440" t="s">
        <v>1060</v>
      </c>
      <c r="D440">
        <v>439</v>
      </c>
      <c r="E440" t="str">
        <f t="shared" si="12"/>
        <v>WR</v>
      </c>
      <c r="F440">
        <f t="shared" si="13"/>
        <v>171</v>
      </c>
    </row>
    <row r="441" spans="1:6" hidden="1" x14ac:dyDescent="0.25">
      <c r="A441">
        <v>446</v>
      </c>
      <c r="B441" t="s">
        <v>446</v>
      </c>
      <c r="C441" t="s">
        <v>1000</v>
      </c>
      <c r="D441">
        <v>440</v>
      </c>
      <c r="E441" t="str">
        <f t="shared" si="12"/>
        <v>TE</v>
      </c>
      <c r="F441">
        <f t="shared" si="13"/>
        <v>66</v>
      </c>
    </row>
    <row r="442" spans="1:6" hidden="1" x14ac:dyDescent="0.25">
      <c r="A442">
        <v>447</v>
      </c>
      <c r="B442" t="s">
        <v>1109</v>
      </c>
      <c r="C442" t="s">
        <v>1001</v>
      </c>
      <c r="D442">
        <v>441</v>
      </c>
      <c r="E442" t="str">
        <f t="shared" si="12"/>
        <v>TE</v>
      </c>
      <c r="F442">
        <f t="shared" si="13"/>
        <v>67</v>
      </c>
    </row>
    <row r="443" spans="1:6" hidden="1" x14ac:dyDescent="0.25">
      <c r="A443">
        <v>448</v>
      </c>
      <c r="B443" t="s">
        <v>54</v>
      </c>
      <c r="C443" t="s">
        <v>1006</v>
      </c>
      <c r="D443">
        <v>442</v>
      </c>
      <c r="E443" t="str">
        <f t="shared" si="12"/>
        <v>TE</v>
      </c>
      <c r="F443">
        <f t="shared" si="13"/>
        <v>68</v>
      </c>
    </row>
    <row r="444" spans="1:6" hidden="1" x14ac:dyDescent="0.25">
      <c r="A444">
        <v>449</v>
      </c>
      <c r="B444" t="s">
        <v>1472</v>
      </c>
      <c r="C444" t="s">
        <v>1011</v>
      </c>
      <c r="D444">
        <v>443</v>
      </c>
      <c r="E444" t="str">
        <f t="shared" si="12"/>
        <v>TE</v>
      </c>
      <c r="F444">
        <f t="shared" si="13"/>
        <v>69</v>
      </c>
    </row>
    <row r="445" spans="1:6" hidden="1" x14ac:dyDescent="0.25">
      <c r="A445">
        <v>450</v>
      </c>
      <c r="B445" t="s">
        <v>1550</v>
      </c>
      <c r="C445" t="s">
        <v>1067</v>
      </c>
      <c r="D445">
        <v>444</v>
      </c>
      <c r="E445" t="str">
        <f t="shared" si="12"/>
        <v>RB</v>
      </c>
      <c r="F445">
        <f t="shared" si="13"/>
        <v>118</v>
      </c>
    </row>
    <row r="446" spans="1:6" hidden="1" x14ac:dyDescent="0.25">
      <c r="A446">
        <v>451</v>
      </c>
      <c r="B446" t="s">
        <v>504</v>
      </c>
      <c r="C446" t="s">
        <v>1068</v>
      </c>
      <c r="D446">
        <v>445</v>
      </c>
      <c r="E446" t="str">
        <f t="shared" si="12"/>
        <v>RB</v>
      </c>
      <c r="F446">
        <f t="shared" si="13"/>
        <v>119</v>
      </c>
    </row>
    <row r="447" spans="1:6" hidden="1" x14ac:dyDescent="0.25">
      <c r="A447">
        <v>406</v>
      </c>
      <c r="B447" t="s">
        <v>306</v>
      </c>
      <c r="C447" t="s">
        <v>1038</v>
      </c>
      <c r="D447">
        <v>446</v>
      </c>
      <c r="E447" t="str">
        <f t="shared" si="12"/>
        <v>RB</v>
      </c>
      <c r="F447">
        <f t="shared" si="13"/>
        <v>112</v>
      </c>
    </row>
    <row r="448" spans="1:6" hidden="1" x14ac:dyDescent="0.25">
      <c r="A448">
        <v>452</v>
      </c>
      <c r="B448" t="s">
        <v>1447</v>
      </c>
      <c r="C448" t="s">
        <v>1062</v>
      </c>
      <c r="D448">
        <v>447</v>
      </c>
      <c r="E448" t="str">
        <f t="shared" si="12"/>
        <v>WR</v>
      </c>
      <c r="F448">
        <f t="shared" si="13"/>
        <v>172</v>
      </c>
    </row>
    <row r="449" spans="1:6" hidden="1" x14ac:dyDescent="0.25">
      <c r="A449">
        <v>453</v>
      </c>
      <c r="B449" t="s">
        <v>183</v>
      </c>
      <c r="C449" t="s">
        <v>1063</v>
      </c>
      <c r="D449">
        <v>448</v>
      </c>
      <c r="E449" t="str">
        <f t="shared" si="12"/>
        <v>WR</v>
      </c>
      <c r="F449">
        <f t="shared" si="13"/>
        <v>173</v>
      </c>
    </row>
    <row r="450" spans="1:6" hidden="1" x14ac:dyDescent="0.25">
      <c r="A450">
        <v>454</v>
      </c>
      <c r="B450" t="s">
        <v>1448</v>
      </c>
      <c r="C450" t="s">
        <v>1064</v>
      </c>
      <c r="D450">
        <v>449</v>
      </c>
      <c r="E450" t="str">
        <f t="shared" si="12"/>
        <v>WR</v>
      </c>
      <c r="F450">
        <f t="shared" si="13"/>
        <v>174</v>
      </c>
    </row>
    <row r="451" spans="1:6" hidden="1" x14ac:dyDescent="0.25">
      <c r="A451">
        <v>455</v>
      </c>
      <c r="B451" t="s">
        <v>471</v>
      </c>
      <c r="C451" t="s">
        <v>1130</v>
      </c>
      <c r="D451">
        <v>450</v>
      </c>
      <c r="E451" t="str">
        <f t="shared" ref="E451:E510" si="14">LEFT(C451,2)</f>
        <v>WR</v>
      </c>
      <c r="F451">
        <f t="shared" ref="F451:F510" si="15">VALUE(MID(C451,3,LEN(C451)))</f>
        <v>175</v>
      </c>
    </row>
    <row r="452" spans="1:6" hidden="1" x14ac:dyDescent="0.25">
      <c r="A452">
        <v>456</v>
      </c>
      <c r="B452" t="s">
        <v>1449</v>
      </c>
      <c r="C452" t="s">
        <v>1013</v>
      </c>
      <c r="D452">
        <v>451</v>
      </c>
      <c r="E452" t="str">
        <f t="shared" si="14"/>
        <v>TE</v>
      </c>
      <c r="F452">
        <f t="shared" si="15"/>
        <v>70</v>
      </c>
    </row>
    <row r="453" spans="1:6" hidden="1" x14ac:dyDescent="0.25">
      <c r="A453">
        <v>424</v>
      </c>
      <c r="B453" t="s">
        <v>881</v>
      </c>
      <c r="C453" t="s">
        <v>1003</v>
      </c>
      <c r="D453">
        <v>452</v>
      </c>
      <c r="E453" t="str">
        <f t="shared" si="14"/>
        <v>QB</v>
      </c>
      <c r="F453">
        <f t="shared" si="15"/>
        <v>54</v>
      </c>
    </row>
    <row r="454" spans="1:6" hidden="1" x14ac:dyDescent="0.25">
      <c r="A454">
        <v>457</v>
      </c>
      <c r="B454" t="s">
        <v>1551</v>
      </c>
      <c r="C454" t="s">
        <v>1118</v>
      </c>
      <c r="D454">
        <v>453</v>
      </c>
      <c r="E454" t="str">
        <f t="shared" si="14"/>
        <v>RB</v>
      </c>
      <c r="F454">
        <f t="shared" si="15"/>
        <v>120</v>
      </c>
    </row>
    <row r="455" spans="1:6" hidden="1" x14ac:dyDescent="0.25">
      <c r="A455">
        <v>458</v>
      </c>
      <c r="B455" t="s">
        <v>1552</v>
      </c>
      <c r="C455" t="s">
        <v>1119</v>
      </c>
      <c r="D455">
        <v>454</v>
      </c>
      <c r="E455" t="str">
        <f t="shared" si="14"/>
        <v>RB</v>
      </c>
      <c r="F455">
        <f t="shared" si="15"/>
        <v>121</v>
      </c>
    </row>
    <row r="456" spans="1:6" hidden="1" x14ac:dyDescent="0.25">
      <c r="A456">
        <v>433</v>
      </c>
      <c r="B456" t="s">
        <v>1442</v>
      </c>
      <c r="C456" t="s">
        <v>1045</v>
      </c>
      <c r="D456">
        <v>455</v>
      </c>
      <c r="E456" t="str">
        <f t="shared" si="14"/>
        <v>WR</v>
      </c>
      <c r="F456">
        <f t="shared" si="15"/>
        <v>166</v>
      </c>
    </row>
    <row r="457" spans="1:6" hidden="1" x14ac:dyDescent="0.25">
      <c r="A457">
        <v>459</v>
      </c>
      <c r="B457" t="s">
        <v>1553</v>
      </c>
      <c r="C457" t="s">
        <v>1131</v>
      </c>
      <c r="D457">
        <v>456</v>
      </c>
      <c r="E457" t="str">
        <f t="shared" si="14"/>
        <v>WR</v>
      </c>
      <c r="F457">
        <f t="shared" si="15"/>
        <v>176</v>
      </c>
    </row>
    <row r="458" spans="1:6" hidden="1" x14ac:dyDescent="0.25">
      <c r="A458">
        <v>460</v>
      </c>
      <c r="B458" t="s">
        <v>1450</v>
      </c>
      <c r="C458" t="s">
        <v>1133</v>
      </c>
      <c r="D458">
        <v>457</v>
      </c>
      <c r="E458" t="str">
        <f t="shared" si="14"/>
        <v>WR</v>
      </c>
      <c r="F458">
        <f t="shared" si="15"/>
        <v>177</v>
      </c>
    </row>
    <row r="459" spans="1:6" hidden="1" x14ac:dyDescent="0.25">
      <c r="A459">
        <v>461</v>
      </c>
      <c r="B459" t="s">
        <v>1554</v>
      </c>
      <c r="C459" t="s">
        <v>1120</v>
      </c>
      <c r="D459">
        <v>458</v>
      </c>
      <c r="E459" t="str">
        <f t="shared" si="14"/>
        <v>RB</v>
      </c>
      <c r="F459">
        <f t="shared" si="15"/>
        <v>122</v>
      </c>
    </row>
    <row r="460" spans="1:6" hidden="1" x14ac:dyDescent="0.25">
      <c r="A460">
        <v>462</v>
      </c>
      <c r="B460" t="s">
        <v>1451</v>
      </c>
      <c r="C460" t="s">
        <v>1138</v>
      </c>
      <c r="D460">
        <v>459</v>
      </c>
      <c r="E460" t="str">
        <f t="shared" si="14"/>
        <v>WR</v>
      </c>
      <c r="F460">
        <f t="shared" si="15"/>
        <v>178</v>
      </c>
    </row>
    <row r="461" spans="1:6" hidden="1" x14ac:dyDescent="0.25">
      <c r="A461">
        <v>463</v>
      </c>
      <c r="B461" t="s">
        <v>286</v>
      </c>
      <c r="C461" t="s">
        <v>1122</v>
      </c>
      <c r="D461">
        <v>460</v>
      </c>
      <c r="E461" t="str">
        <f t="shared" si="14"/>
        <v>RB</v>
      </c>
      <c r="F461">
        <f t="shared" si="15"/>
        <v>123</v>
      </c>
    </row>
    <row r="462" spans="1:6" hidden="1" x14ac:dyDescent="0.25">
      <c r="A462">
        <v>464</v>
      </c>
      <c r="B462" t="s">
        <v>764</v>
      </c>
      <c r="C462" t="s">
        <v>1139</v>
      </c>
      <c r="D462">
        <v>461</v>
      </c>
      <c r="E462" t="str">
        <f t="shared" si="14"/>
        <v>WR</v>
      </c>
      <c r="F462">
        <f t="shared" si="15"/>
        <v>179</v>
      </c>
    </row>
    <row r="463" spans="1:6" hidden="1" x14ac:dyDescent="0.25">
      <c r="A463">
        <v>465</v>
      </c>
      <c r="B463" t="s">
        <v>1452</v>
      </c>
      <c r="C463" t="s">
        <v>1141</v>
      </c>
      <c r="D463">
        <v>462</v>
      </c>
      <c r="E463" t="str">
        <f t="shared" si="14"/>
        <v>WR</v>
      </c>
      <c r="F463">
        <f t="shared" si="15"/>
        <v>180</v>
      </c>
    </row>
    <row r="464" spans="1:6" hidden="1" x14ac:dyDescent="0.25">
      <c r="A464">
        <v>466</v>
      </c>
      <c r="B464" t="s">
        <v>442</v>
      </c>
      <c r="C464" t="s">
        <v>1016</v>
      </c>
      <c r="D464">
        <v>463</v>
      </c>
      <c r="E464" t="str">
        <f t="shared" si="14"/>
        <v>TE</v>
      </c>
      <c r="F464">
        <f t="shared" si="15"/>
        <v>71</v>
      </c>
    </row>
    <row r="465" spans="1:6" hidden="1" x14ac:dyDescent="0.25">
      <c r="A465">
        <v>467</v>
      </c>
      <c r="B465" t="s">
        <v>1376</v>
      </c>
      <c r="C465" t="s">
        <v>1146</v>
      </c>
      <c r="D465">
        <v>464</v>
      </c>
      <c r="E465" t="str">
        <f t="shared" si="14"/>
        <v>WR</v>
      </c>
      <c r="F465">
        <f t="shared" si="15"/>
        <v>181</v>
      </c>
    </row>
    <row r="466" spans="1:6" hidden="1" x14ac:dyDescent="0.25">
      <c r="A466">
        <v>468</v>
      </c>
      <c r="B466" t="s">
        <v>1253</v>
      </c>
      <c r="C466" t="s">
        <v>1017</v>
      </c>
      <c r="D466">
        <v>465</v>
      </c>
      <c r="E466" t="str">
        <f t="shared" si="14"/>
        <v>TE</v>
      </c>
      <c r="F466">
        <f t="shared" si="15"/>
        <v>72</v>
      </c>
    </row>
    <row r="467" spans="1:6" hidden="1" x14ac:dyDescent="0.25">
      <c r="A467">
        <v>469</v>
      </c>
      <c r="B467" t="s">
        <v>267</v>
      </c>
      <c r="C467" t="s">
        <v>1124</v>
      </c>
      <c r="D467">
        <v>466</v>
      </c>
      <c r="E467" t="str">
        <f t="shared" si="14"/>
        <v>RB</v>
      </c>
      <c r="F467">
        <f t="shared" si="15"/>
        <v>124</v>
      </c>
    </row>
    <row r="468" spans="1:6" hidden="1" x14ac:dyDescent="0.25">
      <c r="A468">
        <v>470</v>
      </c>
      <c r="B468" t="s">
        <v>1453</v>
      </c>
      <c r="C468" t="s">
        <v>1148</v>
      </c>
      <c r="D468">
        <v>467</v>
      </c>
      <c r="E468" t="str">
        <f t="shared" si="14"/>
        <v>WR</v>
      </c>
      <c r="F468">
        <f t="shared" si="15"/>
        <v>182</v>
      </c>
    </row>
    <row r="469" spans="1:6" hidden="1" x14ac:dyDescent="0.25">
      <c r="A469">
        <v>471</v>
      </c>
      <c r="B469" t="s">
        <v>1555</v>
      </c>
      <c r="C469" t="s">
        <v>1042</v>
      </c>
      <c r="D469">
        <v>468</v>
      </c>
      <c r="E469" t="str">
        <f t="shared" si="14"/>
        <v>QB</v>
      </c>
      <c r="F469">
        <f t="shared" si="15"/>
        <v>59</v>
      </c>
    </row>
    <row r="470" spans="1:6" hidden="1" x14ac:dyDescent="0.25">
      <c r="A470">
        <v>425</v>
      </c>
      <c r="B470" t="s">
        <v>1374</v>
      </c>
      <c r="C470" t="s">
        <v>1021</v>
      </c>
      <c r="D470">
        <v>469</v>
      </c>
      <c r="E470" t="str">
        <f t="shared" si="14"/>
        <v>WR</v>
      </c>
      <c r="F470">
        <f t="shared" si="15"/>
        <v>161</v>
      </c>
    </row>
    <row r="471" spans="1:6" hidden="1" x14ac:dyDescent="0.25">
      <c r="A471">
        <v>435</v>
      </c>
      <c r="B471" t="s">
        <v>1443</v>
      </c>
      <c r="C471" t="s">
        <v>1034</v>
      </c>
      <c r="D471">
        <v>470</v>
      </c>
      <c r="E471" t="str">
        <f t="shared" si="14"/>
        <v>QB</v>
      </c>
      <c r="F471">
        <f t="shared" si="15"/>
        <v>57</v>
      </c>
    </row>
    <row r="472" spans="1:6" hidden="1" x14ac:dyDescent="0.25">
      <c r="A472">
        <v>472</v>
      </c>
      <c r="B472" t="s">
        <v>498</v>
      </c>
      <c r="C472" t="s">
        <v>1135</v>
      </c>
      <c r="D472">
        <v>471</v>
      </c>
      <c r="E472" t="str">
        <f t="shared" si="14"/>
        <v>RB</v>
      </c>
      <c r="F472">
        <f t="shared" si="15"/>
        <v>125</v>
      </c>
    </row>
    <row r="473" spans="1:6" hidden="1" x14ac:dyDescent="0.25">
      <c r="A473">
        <v>473</v>
      </c>
      <c r="B473" t="s">
        <v>1454</v>
      </c>
      <c r="C473" t="s">
        <v>1149</v>
      </c>
      <c r="D473">
        <v>472</v>
      </c>
      <c r="E473" t="str">
        <f t="shared" si="14"/>
        <v>RB</v>
      </c>
      <c r="F473">
        <f t="shared" si="15"/>
        <v>126</v>
      </c>
    </row>
    <row r="474" spans="1:6" hidden="1" x14ac:dyDescent="0.25">
      <c r="A474">
        <v>474</v>
      </c>
      <c r="B474" t="s">
        <v>438</v>
      </c>
      <c r="C474" t="s">
        <v>1020</v>
      </c>
      <c r="D474">
        <v>473</v>
      </c>
      <c r="E474" t="str">
        <f t="shared" si="14"/>
        <v>TE</v>
      </c>
      <c r="F474">
        <f t="shared" si="15"/>
        <v>73</v>
      </c>
    </row>
    <row r="475" spans="1:6" hidden="1" x14ac:dyDescent="0.25">
      <c r="A475">
        <v>475</v>
      </c>
      <c r="B475" t="s">
        <v>1556</v>
      </c>
      <c r="C475" t="s">
        <v>1151</v>
      </c>
      <c r="D475">
        <v>474</v>
      </c>
      <c r="E475" t="str">
        <f t="shared" si="14"/>
        <v>WR</v>
      </c>
      <c r="F475">
        <f t="shared" si="15"/>
        <v>183</v>
      </c>
    </row>
    <row r="476" spans="1:6" hidden="1" x14ac:dyDescent="0.25">
      <c r="A476">
        <v>476</v>
      </c>
      <c r="B476" t="s">
        <v>1455</v>
      </c>
      <c r="C476" t="s">
        <v>1154</v>
      </c>
      <c r="D476">
        <v>475</v>
      </c>
      <c r="E476" t="str">
        <f t="shared" si="14"/>
        <v>WR</v>
      </c>
      <c r="F476">
        <f t="shared" si="15"/>
        <v>184</v>
      </c>
    </row>
    <row r="477" spans="1:6" hidden="1" x14ac:dyDescent="0.25">
      <c r="A477">
        <v>477</v>
      </c>
      <c r="B477" t="s">
        <v>1456</v>
      </c>
      <c r="C477" t="s">
        <v>1022</v>
      </c>
      <c r="D477">
        <v>476</v>
      </c>
      <c r="E477" t="str">
        <f t="shared" si="14"/>
        <v>TE</v>
      </c>
      <c r="F477">
        <f t="shared" si="15"/>
        <v>74</v>
      </c>
    </row>
    <row r="478" spans="1:6" hidden="1" x14ac:dyDescent="0.25">
      <c r="A478">
        <v>478</v>
      </c>
      <c r="B478" t="s">
        <v>1101</v>
      </c>
      <c r="C478" t="s">
        <v>1028</v>
      </c>
      <c r="D478">
        <v>477</v>
      </c>
      <c r="E478" t="str">
        <f t="shared" si="14"/>
        <v>TE</v>
      </c>
      <c r="F478">
        <f t="shared" si="15"/>
        <v>75</v>
      </c>
    </row>
    <row r="479" spans="1:6" hidden="1" x14ac:dyDescent="0.25">
      <c r="A479">
        <v>479</v>
      </c>
      <c r="B479" t="s">
        <v>1174</v>
      </c>
      <c r="C479" t="s">
        <v>1155</v>
      </c>
      <c r="D479">
        <v>478</v>
      </c>
      <c r="E479" t="str">
        <f t="shared" si="14"/>
        <v>WR</v>
      </c>
      <c r="F479">
        <f t="shared" si="15"/>
        <v>185</v>
      </c>
    </row>
    <row r="480" spans="1:6" hidden="1" x14ac:dyDescent="0.25">
      <c r="A480">
        <v>480</v>
      </c>
      <c r="B480" t="s">
        <v>1457</v>
      </c>
      <c r="C480" t="s">
        <v>1157</v>
      </c>
      <c r="D480">
        <v>479</v>
      </c>
      <c r="E480" t="str">
        <f t="shared" si="14"/>
        <v>WR</v>
      </c>
      <c r="F480">
        <f t="shared" si="15"/>
        <v>186</v>
      </c>
    </row>
    <row r="481" spans="1:6" hidden="1" x14ac:dyDescent="0.25">
      <c r="A481">
        <v>481</v>
      </c>
      <c r="B481" t="s">
        <v>1473</v>
      </c>
      <c r="C481" t="s">
        <v>1165</v>
      </c>
      <c r="D481">
        <v>480</v>
      </c>
      <c r="E481" t="str">
        <f t="shared" si="14"/>
        <v>RB</v>
      </c>
      <c r="F481">
        <f t="shared" si="15"/>
        <v>127</v>
      </c>
    </row>
    <row r="482" spans="1:6" hidden="1" x14ac:dyDescent="0.25">
      <c r="A482">
        <v>482</v>
      </c>
      <c r="B482" t="s">
        <v>1458</v>
      </c>
      <c r="C482" t="s">
        <v>1162</v>
      </c>
      <c r="D482">
        <v>481</v>
      </c>
      <c r="E482" t="str">
        <f t="shared" si="14"/>
        <v>WR</v>
      </c>
      <c r="F482">
        <f t="shared" si="15"/>
        <v>187</v>
      </c>
    </row>
    <row r="483" spans="1:6" hidden="1" x14ac:dyDescent="0.25">
      <c r="A483">
        <v>483</v>
      </c>
      <c r="B483" t="s">
        <v>309</v>
      </c>
      <c r="C483" t="s">
        <v>1166</v>
      </c>
      <c r="D483">
        <v>482</v>
      </c>
      <c r="E483" t="str">
        <f t="shared" si="14"/>
        <v>RB</v>
      </c>
      <c r="F483">
        <f t="shared" si="15"/>
        <v>128</v>
      </c>
    </row>
    <row r="484" spans="1:6" hidden="1" x14ac:dyDescent="0.25">
      <c r="A484">
        <v>484</v>
      </c>
      <c r="B484" t="s">
        <v>1262</v>
      </c>
      <c r="C484" t="s">
        <v>1163</v>
      </c>
      <c r="D484">
        <v>483</v>
      </c>
      <c r="E484" t="str">
        <f t="shared" si="14"/>
        <v>WR</v>
      </c>
      <c r="F484">
        <f t="shared" si="15"/>
        <v>188</v>
      </c>
    </row>
    <row r="485" spans="1:6" hidden="1" x14ac:dyDescent="0.25">
      <c r="A485">
        <v>485</v>
      </c>
      <c r="B485" t="s">
        <v>160</v>
      </c>
      <c r="C485" t="s">
        <v>1164</v>
      </c>
      <c r="D485">
        <v>484</v>
      </c>
      <c r="E485" t="str">
        <f t="shared" si="14"/>
        <v>WR</v>
      </c>
      <c r="F485">
        <f t="shared" si="15"/>
        <v>189</v>
      </c>
    </row>
    <row r="486" spans="1:6" hidden="1" x14ac:dyDescent="0.25">
      <c r="A486">
        <v>486</v>
      </c>
      <c r="B486" t="s">
        <v>913</v>
      </c>
      <c r="C486" t="s">
        <v>1036</v>
      </c>
      <c r="D486">
        <v>485</v>
      </c>
      <c r="E486" t="str">
        <f t="shared" si="14"/>
        <v>TE</v>
      </c>
      <c r="F486">
        <f t="shared" si="15"/>
        <v>76</v>
      </c>
    </row>
    <row r="487" spans="1:6" hidden="1" x14ac:dyDescent="0.25">
      <c r="A487">
        <v>487</v>
      </c>
      <c r="B487" t="s">
        <v>315</v>
      </c>
      <c r="C487" t="s">
        <v>1168</v>
      </c>
      <c r="D487">
        <v>486</v>
      </c>
      <c r="E487" t="str">
        <f t="shared" si="14"/>
        <v>RB</v>
      </c>
      <c r="F487">
        <f t="shared" si="15"/>
        <v>129</v>
      </c>
    </row>
    <row r="488" spans="1:6" hidden="1" x14ac:dyDescent="0.25">
      <c r="A488">
        <v>488</v>
      </c>
      <c r="B488" t="s">
        <v>1557</v>
      </c>
      <c r="C488" t="s">
        <v>1055</v>
      </c>
      <c r="D488">
        <v>487</v>
      </c>
      <c r="E488" t="str">
        <f t="shared" si="14"/>
        <v>TE</v>
      </c>
      <c r="F488">
        <f t="shared" si="15"/>
        <v>77</v>
      </c>
    </row>
    <row r="489" spans="1:6" hidden="1" x14ac:dyDescent="0.25">
      <c r="A489">
        <v>489</v>
      </c>
      <c r="B489" t="s">
        <v>1459</v>
      </c>
      <c r="C489" t="s">
        <v>1044</v>
      </c>
      <c r="D489">
        <v>488</v>
      </c>
      <c r="E489" t="str">
        <f t="shared" si="14"/>
        <v>QB</v>
      </c>
      <c r="F489">
        <f t="shared" si="15"/>
        <v>60</v>
      </c>
    </row>
    <row r="490" spans="1:6" hidden="1" x14ac:dyDescent="0.25">
      <c r="A490">
        <v>490</v>
      </c>
      <c r="B490" t="s">
        <v>1460</v>
      </c>
      <c r="C490" t="s">
        <v>1172</v>
      </c>
      <c r="D490">
        <v>489</v>
      </c>
      <c r="E490" t="str">
        <f t="shared" si="14"/>
        <v>WR</v>
      </c>
      <c r="F490">
        <f t="shared" si="15"/>
        <v>190</v>
      </c>
    </row>
    <row r="491" spans="1:6" hidden="1" x14ac:dyDescent="0.25">
      <c r="A491">
        <v>491</v>
      </c>
      <c r="B491" t="s">
        <v>964</v>
      </c>
      <c r="C491" t="s">
        <v>1050</v>
      </c>
      <c r="D491">
        <v>490</v>
      </c>
      <c r="E491" t="str">
        <f t="shared" si="14"/>
        <v>QB</v>
      </c>
      <c r="F491">
        <f t="shared" si="15"/>
        <v>61</v>
      </c>
    </row>
    <row r="492" spans="1:6" hidden="1" x14ac:dyDescent="0.25">
      <c r="A492">
        <v>492</v>
      </c>
      <c r="B492" t="s">
        <v>1461</v>
      </c>
      <c r="C492" t="s">
        <v>1173</v>
      </c>
      <c r="D492">
        <v>491</v>
      </c>
      <c r="E492" t="str">
        <f t="shared" si="14"/>
        <v>WR</v>
      </c>
      <c r="F492">
        <f t="shared" si="15"/>
        <v>191</v>
      </c>
    </row>
    <row r="493" spans="1:6" hidden="1" x14ac:dyDescent="0.25">
      <c r="A493">
        <v>493</v>
      </c>
      <c r="B493" t="s">
        <v>1462</v>
      </c>
      <c r="C493" t="s">
        <v>1065</v>
      </c>
      <c r="D493">
        <v>492</v>
      </c>
      <c r="E493" t="str">
        <f t="shared" si="14"/>
        <v>TE</v>
      </c>
      <c r="F493">
        <f t="shared" si="15"/>
        <v>78</v>
      </c>
    </row>
    <row r="494" spans="1:6" hidden="1" x14ac:dyDescent="0.25">
      <c r="A494">
        <v>494</v>
      </c>
      <c r="B494" t="s">
        <v>1463</v>
      </c>
      <c r="C494" t="s">
        <v>1175</v>
      </c>
      <c r="D494">
        <v>493</v>
      </c>
      <c r="E494" t="str">
        <f t="shared" si="14"/>
        <v>WR</v>
      </c>
      <c r="F494">
        <f t="shared" si="15"/>
        <v>192</v>
      </c>
    </row>
    <row r="495" spans="1:6" hidden="1" x14ac:dyDescent="0.25">
      <c r="A495">
        <v>495</v>
      </c>
      <c r="B495" t="s">
        <v>1273</v>
      </c>
      <c r="C495" t="s">
        <v>1066</v>
      </c>
      <c r="D495">
        <v>494</v>
      </c>
      <c r="E495" t="str">
        <f t="shared" si="14"/>
        <v>TE</v>
      </c>
      <c r="F495">
        <f t="shared" si="15"/>
        <v>79</v>
      </c>
    </row>
    <row r="496" spans="1:6" hidden="1" x14ac:dyDescent="0.25">
      <c r="A496">
        <v>496</v>
      </c>
      <c r="B496" t="s">
        <v>1464</v>
      </c>
      <c r="C496" t="s">
        <v>1179</v>
      </c>
      <c r="D496">
        <v>495</v>
      </c>
      <c r="E496" t="str">
        <f t="shared" si="14"/>
        <v>RB</v>
      </c>
      <c r="F496">
        <f t="shared" si="15"/>
        <v>130</v>
      </c>
    </row>
    <row r="497" spans="1:6" hidden="1" x14ac:dyDescent="0.25">
      <c r="A497">
        <v>497</v>
      </c>
      <c r="B497" t="s">
        <v>452</v>
      </c>
      <c r="C497" t="s">
        <v>1169</v>
      </c>
      <c r="D497">
        <v>496</v>
      </c>
      <c r="E497" t="str">
        <f t="shared" si="14"/>
        <v>TE</v>
      </c>
      <c r="F497">
        <f t="shared" si="15"/>
        <v>80</v>
      </c>
    </row>
    <row r="498" spans="1:6" hidden="1" x14ac:dyDescent="0.25">
      <c r="A498">
        <v>498</v>
      </c>
      <c r="B498" t="s">
        <v>1465</v>
      </c>
      <c r="C498" t="s">
        <v>1170</v>
      </c>
      <c r="D498">
        <v>497</v>
      </c>
      <c r="E498" t="str">
        <f t="shared" si="14"/>
        <v>TE</v>
      </c>
      <c r="F498">
        <f t="shared" si="15"/>
        <v>81</v>
      </c>
    </row>
    <row r="499" spans="1:6" hidden="1" x14ac:dyDescent="0.25">
      <c r="A499">
        <v>499</v>
      </c>
      <c r="B499" t="s">
        <v>1466</v>
      </c>
      <c r="C499" t="s">
        <v>1059</v>
      </c>
      <c r="D499">
        <v>498</v>
      </c>
      <c r="E499" t="str">
        <f t="shared" si="14"/>
        <v>QB</v>
      </c>
      <c r="F499">
        <f t="shared" si="15"/>
        <v>62</v>
      </c>
    </row>
    <row r="500" spans="1:6" hidden="1" x14ac:dyDescent="0.25">
      <c r="A500">
        <v>500</v>
      </c>
      <c r="B500" t="s">
        <v>473</v>
      </c>
      <c r="C500" t="s">
        <v>1178</v>
      </c>
      <c r="D500">
        <v>499</v>
      </c>
      <c r="E500" t="str">
        <f t="shared" si="14"/>
        <v>WR</v>
      </c>
      <c r="F500">
        <f t="shared" si="15"/>
        <v>193</v>
      </c>
    </row>
    <row r="501" spans="1:6" hidden="1" x14ac:dyDescent="0.25">
      <c r="A501">
        <v>501</v>
      </c>
      <c r="B501" t="s">
        <v>1558</v>
      </c>
      <c r="C501" t="s">
        <v>1187</v>
      </c>
      <c r="D501">
        <v>500</v>
      </c>
      <c r="E501" t="str">
        <f t="shared" si="14"/>
        <v>WR</v>
      </c>
      <c r="F501">
        <f t="shared" si="15"/>
        <v>194</v>
      </c>
    </row>
    <row r="502" spans="1:6" hidden="1" x14ac:dyDescent="0.25">
      <c r="A502">
        <v>502</v>
      </c>
      <c r="B502" t="s">
        <v>1467</v>
      </c>
      <c r="C502" t="s">
        <v>1183</v>
      </c>
      <c r="D502">
        <v>501</v>
      </c>
      <c r="E502" t="str">
        <f t="shared" si="14"/>
        <v>TE</v>
      </c>
      <c r="F502">
        <f t="shared" si="15"/>
        <v>82</v>
      </c>
    </row>
    <row r="503" spans="1:6" hidden="1" x14ac:dyDescent="0.25">
      <c r="A503">
        <v>503</v>
      </c>
      <c r="B503" t="s">
        <v>1468</v>
      </c>
      <c r="C503" t="s">
        <v>1194</v>
      </c>
      <c r="D503">
        <v>502</v>
      </c>
      <c r="E503" t="str">
        <f t="shared" si="14"/>
        <v>WR</v>
      </c>
      <c r="F503">
        <f t="shared" si="15"/>
        <v>195</v>
      </c>
    </row>
    <row r="504" spans="1:6" hidden="1" x14ac:dyDescent="0.25">
      <c r="A504">
        <v>504</v>
      </c>
      <c r="B504" t="s">
        <v>1469</v>
      </c>
      <c r="C504" t="s">
        <v>1195</v>
      </c>
      <c r="D504">
        <v>503</v>
      </c>
      <c r="E504" t="str">
        <f t="shared" si="14"/>
        <v>TE</v>
      </c>
      <c r="F504">
        <f t="shared" si="15"/>
        <v>83</v>
      </c>
    </row>
    <row r="505" spans="1:6" hidden="1" x14ac:dyDescent="0.25">
      <c r="A505">
        <v>505</v>
      </c>
      <c r="B505" t="s">
        <v>1559</v>
      </c>
      <c r="C505" t="s">
        <v>1196</v>
      </c>
      <c r="D505">
        <v>504</v>
      </c>
      <c r="E505" t="str">
        <f t="shared" si="14"/>
        <v>WR</v>
      </c>
      <c r="F505">
        <f t="shared" si="15"/>
        <v>196</v>
      </c>
    </row>
    <row r="506" spans="1:6" hidden="1" x14ac:dyDescent="0.25">
      <c r="A506">
        <v>506</v>
      </c>
      <c r="B506" t="s">
        <v>1474</v>
      </c>
      <c r="C506" t="s">
        <v>1197</v>
      </c>
      <c r="D506">
        <v>505</v>
      </c>
      <c r="E506" t="str">
        <f t="shared" si="14"/>
        <v>WR</v>
      </c>
      <c r="F506">
        <f t="shared" si="15"/>
        <v>197</v>
      </c>
    </row>
    <row r="507" spans="1:6" hidden="1" x14ac:dyDescent="0.25">
      <c r="A507">
        <v>507</v>
      </c>
      <c r="B507" t="s">
        <v>1475</v>
      </c>
      <c r="C507" t="s">
        <v>1198</v>
      </c>
      <c r="D507">
        <v>506</v>
      </c>
      <c r="E507" t="str">
        <f t="shared" si="14"/>
        <v>WR</v>
      </c>
      <c r="F507">
        <f t="shared" si="15"/>
        <v>198</v>
      </c>
    </row>
    <row r="508" spans="1:6" hidden="1" x14ac:dyDescent="0.25">
      <c r="A508">
        <v>508</v>
      </c>
      <c r="B508" t="s">
        <v>1108</v>
      </c>
      <c r="C508" t="s">
        <v>1123</v>
      </c>
      <c r="D508">
        <v>507</v>
      </c>
      <c r="E508" t="str">
        <f t="shared" si="14"/>
        <v>QB</v>
      </c>
      <c r="F508">
        <f t="shared" si="15"/>
        <v>63</v>
      </c>
    </row>
    <row r="509" spans="1:6" hidden="1" x14ac:dyDescent="0.25">
      <c r="A509">
        <v>509</v>
      </c>
      <c r="B509" t="s">
        <v>1560</v>
      </c>
      <c r="C509" t="s">
        <v>1199</v>
      </c>
      <c r="D509">
        <v>508</v>
      </c>
      <c r="E509" t="str">
        <f t="shared" si="14"/>
        <v>WR</v>
      </c>
      <c r="F509">
        <f t="shared" si="15"/>
        <v>199</v>
      </c>
    </row>
    <row r="510" spans="1:6" hidden="1" x14ac:dyDescent="0.25">
      <c r="A510">
        <v>510</v>
      </c>
      <c r="B510" t="s">
        <v>1470</v>
      </c>
      <c r="C510" t="s">
        <v>1200</v>
      </c>
      <c r="D510">
        <v>509</v>
      </c>
      <c r="E510" t="str">
        <f t="shared" si="14"/>
        <v>WR</v>
      </c>
      <c r="F510">
        <f t="shared" si="15"/>
        <v>200</v>
      </c>
    </row>
  </sheetData>
  <autoFilter ref="A1:F510" xr:uid="{CD1A9AE2-0244-4EE5-AF08-F8CD2B46959A}">
    <filterColumn colId="1">
      <filters>
        <filter val="Chris Godwin"/>
      </filters>
    </filterColumn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94D80-849E-4914-925D-0F8C23A67C70}">
  <dimension ref="A1:I323"/>
  <sheetViews>
    <sheetView workbookViewId="0">
      <selection activeCell="E2" sqref="E2:F3"/>
    </sheetView>
  </sheetViews>
  <sheetFormatPr defaultRowHeight="15" x14ac:dyDescent="0.25"/>
  <cols>
    <col min="2" max="2" width="12.28515625" customWidth="1"/>
  </cols>
  <sheetData>
    <row r="1" spans="1:9" x14ac:dyDescent="0.25">
      <c r="A1" t="s">
        <v>520</v>
      </c>
    </row>
    <row r="2" spans="1:9" x14ac:dyDescent="0.25">
      <c r="A2" t="s">
        <v>930</v>
      </c>
      <c r="B2" t="s">
        <v>522</v>
      </c>
      <c r="C2" t="s">
        <v>927</v>
      </c>
      <c r="D2" t="s">
        <v>926</v>
      </c>
      <c r="E2" t="s">
        <v>523</v>
      </c>
      <c r="F2" t="s">
        <v>928</v>
      </c>
      <c r="I2" t="s">
        <v>929</v>
      </c>
    </row>
    <row r="3" spans="1:9" x14ac:dyDescent="0.25">
      <c r="A3">
        <v>43</v>
      </c>
      <c r="B3" t="s">
        <v>120</v>
      </c>
      <c r="C3" t="s">
        <v>566</v>
      </c>
      <c r="D3">
        <v>1</v>
      </c>
      <c r="E3" t="str">
        <f>LEFT(C3,2)</f>
        <v>WR</v>
      </c>
      <c r="F3">
        <f>VALUE(MID(C3,3,LEN(C3)))</f>
        <v>20</v>
      </c>
    </row>
    <row r="4" spans="1:9" x14ac:dyDescent="0.25">
      <c r="A4">
        <v>1</v>
      </c>
      <c r="B4" t="s">
        <v>221</v>
      </c>
      <c r="C4" t="s">
        <v>524</v>
      </c>
      <c r="D4">
        <v>2</v>
      </c>
      <c r="E4" t="str">
        <f t="shared" ref="E4:E67" si="0">LEFT(C4,2)</f>
        <v>RB</v>
      </c>
      <c r="F4">
        <f t="shared" ref="F4:F67" si="1">VALUE(MID(C4,3,LEN(C4)))</f>
        <v>1</v>
      </c>
    </row>
    <row r="5" spans="1:9" x14ac:dyDescent="0.25">
      <c r="A5">
        <v>44</v>
      </c>
      <c r="B5" t="s">
        <v>103</v>
      </c>
      <c r="C5" t="s">
        <v>567</v>
      </c>
      <c r="D5">
        <v>3</v>
      </c>
      <c r="E5" t="str">
        <f t="shared" si="0"/>
        <v>WR</v>
      </c>
      <c r="F5">
        <f t="shared" si="1"/>
        <v>21</v>
      </c>
    </row>
    <row r="6" spans="1:9" x14ac:dyDescent="0.25">
      <c r="A6">
        <v>46</v>
      </c>
      <c r="B6" t="s">
        <v>321</v>
      </c>
      <c r="C6" t="s">
        <v>569</v>
      </c>
      <c r="D6">
        <v>4</v>
      </c>
      <c r="E6" t="str">
        <f t="shared" si="0"/>
        <v>RB</v>
      </c>
      <c r="F6">
        <f t="shared" si="1"/>
        <v>14</v>
      </c>
    </row>
    <row r="7" spans="1:9" x14ac:dyDescent="0.25">
      <c r="A7">
        <v>2</v>
      </c>
      <c r="B7" t="s">
        <v>204</v>
      </c>
      <c r="C7" t="s">
        <v>525</v>
      </c>
      <c r="D7">
        <v>5</v>
      </c>
      <c r="E7" t="str">
        <f t="shared" si="0"/>
        <v>WR</v>
      </c>
      <c r="F7">
        <f t="shared" si="1"/>
        <v>1</v>
      </c>
    </row>
    <row r="8" spans="1:9" x14ac:dyDescent="0.25">
      <c r="A8">
        <v>48</v>
      </c>
      <c r="B8" t="s">
        <v>222</v>
      </c>
      <c r="C8" t="s">
        <v>571</v>
      </c>
      <c r="D8">
        <v>6</v>
      </c>
      <c r="E8" t="str">
        <f t="shared" si="0"/>
        <v>RB</v>
      </c>
      <c r="F8">
        <f t="shared" si="1"/>
        <v>15</v>
      </c>
    </row>
    <row r="9" spans="1:9" x14ac:dyDescent="0.25">
      <c r="A9">
        <v>3</v>
      </c>
      <c r="B9" t="s">
        <v>25</v>
      </c>
      <c r="C9" t="s">
        <v>526</v>
      </c>
      <c r="D9">
        <v>7</v>
      </c>
      <c r="E9" t="str">
        <f t="shared" si="0"/>
        <v>TE</v>
      </c>
      <c r="F9">
        <f t="shared" si="1"/>
        <v>1</v>
      </c>
    </row>
    <row r="10" spans="1:9" x14ac:dyDescent="0.25">
      <c r="A10">
        <v>4</v>
      </c>
      <c r="B10" t="s">
        <v>121</v>
      </c>
      <c r="C10" t="s">
        <v>527</v>
      </c>
      <c r="D10">
        <v>8</v>
      </c>
      <c r="E10" t="str">
        <f t="shared" si="0"/>
        <v>WR</v>
      </c>
      <c r="F10">
        <f t="shared" si="1"/>
        <v>2</v>
      </c>
    </row>
    <row r="11" spans="1:9" x14ac:dyDescent="0.25">
      <c r="A11">
        <v>5</v>
      </c>
      <c r="B11" t="s">
        <v>116</v>
      </c>
      <c r="C11" t="s">
        <v>528</v>
      </c>
      <c r="D11">
        <v>9</v>
      </c>
      <c r="E11" t="str">
        <f t="shared" si="0"/>
        <v>WR</v>
      </c>
      <c r="F11">
        <f t="shared" si="1"/>
        <v>3</v>
      </c>
    </row>
    <row r="12" spans="1:9" x14ac:dyDescent="0.25">
      <c r="A12">
        <v>52</v>
      </c>
      <c r="B12" t="s">
        <v>234</v>
      </c>
      <c r="C12" t="s">
        <v>575</v>
      </c>
      <c r="D12">
        <v>10</v>
      </c>
      <c r="E12" t="str">
        <f t="shared" si="0"/>
        <v>RB</v>
      </c>
      <c r="F12">
        <f t="shared" si="1"/>
        <v>16</v>
      </c>
    </row>
    <row r="13" spans="1:9" x14ac:dyDescent="0.25">
      <c r="A13">
        <v>53</v>
      </c>
      <c r="B13" t="s">
        <v>274</v>
      </c>
      <c r="C13" t="s">
        <v>576</v>
      </c>
      <c r="D13">
        <v>11</v>
      </c>
      <c r="E13" t="str">
        <f t="shared" si="0"/>
        <v>RB</v>
      </c>
      <c r="F13">
        <f t="shared" si="1"/>
        <v>17</v>
      </c>
    </row>
    <row r="14" spans="1:9" x14ac:dyDescent="0.25">
      <c r="A14">
        <v>6</v>
      </c>
      <c r="B14" t="s">
        <v>110</v>
      </c>
      <c r="C14" t="s">
        <v>529</v>
      </c>
      <c r="D14">
        <v>12</v>
      </c>
      <c r="E14" t="str">
        <f t="shared" si="0"/>
        <v>WR</v>
      </c>
      <c r="F14">
        <f t="shared" si="1"/>
        <v>4</v>
      </c>
    </row>
    <row r="15" spans="1:9" x14ac:dyDescent="0.25">
      <c r="A15">
        <v>7</v>
      </c>
      <c r="B15" t="s">
        <v>102</v>
      </c>
      <c r="C15" t="s">
        <v>530</v>
      </c>
      <c r="D15">
        <v>13</v>
      </c>
      <c r="E15" t="str">
        <f t="shared" si="0"/>
        <v>WR</v>
      </c>
      <c r="F15">
        <f t="shared" si="1"/>
        <v>5</v>
      </c>
    </row>
    <row r="16" spans="1:9" x14ac:dyDescent="0.25">
      <c r="A16">
        <v>57</v>
      </c>
      <c r="B16" t="s">
        <v>161</v>
      </c>
      <c r="C16" t="s">
        <v>580</v>
      </c>
      <c r="D16">
        <v>14</v>
      </c>
      <c r="E16" t="str">
        <f t="shared" si="0"/>
        <v>WR</v>
      </c>
      <c r="F16">
        <f t="shared" si="1"/>
        <v>26</v>
      </c>
    </row>
    <row r="17" spans="1:6" x14ac:dyDescent="0.25">
      <c r="A17">
        <v>8</v>
      </c>
      <c r="B17" t="s">
        <v>243</v>
      </c>
      <c r="C17" t="s">
        <v>531</v>
      </c>
      <c r="D17">
        <v>15</v>
      </c>
      <c r="E17" t="str">
        <f t="shared" si="0"/>
        <v>RB</v>
      </c>
      <c r="F17">
        <f t="shared" si="1"/>
        <v>2</v>
      </c>
    </row>
    <row r="18" spans="1:6" x14ac:dyDescent="0.25">
      <c r="A18">
        <v>9</v>
      </c>
      <c r="B18" t="s">
        <v>342</v>
      </c>
      <c r="C18" t="s">
        <v>532</v>
      </c>
      <c r="D18">
        <v>16</v>
      </c>
      <c r="E18" t="str">
        <f t="shared" si="0"/>
        <v>QB</v>
      </c>
      <c r="F18">
        <f t="shared" si="1"/>
        <v>1</v>
      </c>
    </row>
    <row r="19" spans="1:6" x14ac:dyDescent="0.25">
      <c r="A19">
        <v>58</v>
      </c>
      <c r="B19" t="s">
        <v>108</v>
      </c>
      <c r="C19" t="s">
        <v>581</v>
      </c>
      <c r="D19">
        <v>17</v>
      </c>
      <c r="E19" t="str">
        <f t="shared" si="0"/>
        <v>WR</v>
      </c>
      <c r="F19">
        <f t="shared" si="1"/>
        <v>27</v>
      </c>
    </row>
    <row r="20" spans="1:6" x14ac:dyDescent="0.25">
      <c r="A20">
        <v>10</v>
      </c>
      <c r="B20" t="s">
        <v>332</v>
      </c>
      <c r="C20" t="s">
        <v>533</v>
      </c>
      <c r="D20">
        <v>18</v>
      </c>
      <c r="E20" t="str">
        <f t="shared" si="0"/>
        <v>QB</v>
      </c>
      <c r="F20">
        <f t="shared" si="1"/>
        <v>2</v>
      </c>
    </row>
    <row r="21" spans="1:6" x14ac:dyDescent="0.25">
      <c r="A21">
        <v>11</v>
      </c>
      <c r="B21" t="s">
        <v>340</v>
      </c>
      <c r="C21" t="s">
        <v>534</v>
      </c>
      <c r="D21">
        <v>19</v>
      </c>
      <c r="E21" t="str">
        <f t="shared" si="0"/>
        <v>QB</v>
      </c>
      <c r="F21">
        <f t="shared" si="1"/>
        <v>3</v>
      </c>
    </row>
    <row r="22" spans="1:6" x14ac:dyDescent="0.25">
      <c r="A22">
        <v>59</v>
      </c>
      <c r="B22" t="s">
        <v>228</v>
      </c>
      <c r="C22" t="s">
        <v>582</v>
      </c>
      <c r="D22">
        <v>20</v>
      </c>
      <c r="E22" t="str">
        <f t="shared" si="0"/>
        <v>RB</v>
      </c>
      <c r="F22">
        <f t="shared" si="1"/>
        <v>19</v>
      </c>
    </row>
    <row r="23" spans="1:6" x14ac:dyDescent="0.25">
      <c r="A23">
        <v>12</v>
      </c>
      <c r="B23" t="s">
        <v>123</v>
      </c>
      <c r="C23" t="s">
        <v>535</v>
      </c>
      <c r="D23">
        <v>21</v>
      </c>
      <c r="E23" t="str">
        <f t="shared" si="0"/>
        <v>WR</v>
      </c>
      <c r="F23">
        <f t="shared" si="1"/>
        <v>6</v>
      </c>
    </row>
    <row r="24" spans="1:6" x14ac:dyDescent="0.25">
      <c r="A24">
        <v>62</v>
      </c>
      <c r="B24" t="s">
        <v>105</v>
      </c>
      <c r="C24" t="s">
        <v>585</v>
      </c>
      <c r="D24">
        <v>22</v>
      </c>
      <c r="E24" t="str">
        <f t="shared" si="0"/>
        <v>WR</v>
      </c>
      <c r="F24">
        <f t="shared" si="1"/>
        <v>29</v>
      </c>
    </row>
    <row r="25" spans="1:6" x14ac:dyDescent="0.25">
      <c r="A25">
        <v>64</v>
      </c>
      <c r="B25" t="s">
        <v>233</v>
      </c>
      <c r="C25" t="s">
        <v>587</v>
      </c>
      <c r="D25">
        <v>23</v>
      </c>
      <c r="E25" t="str">
        <f t="shared" si="0"/>
        <v>RB</v>
      </c>
      <c r="F25">
        <f t="shared" si="1"/>
        <v>21</v>
      </c>
    </row>
    <row r="26" spans="1:6" x14ac:dyDescent="0.25">
      <c r="A26">
        <v>13</v>
      </c>
      <c r="B26" t="s">
        <v>119</v>
      </c>
      <c r="C26" t="s">
        <v>536</v>
      </c>
      <c r="D26">
        <v>24</v>
      </c>
      <c r="E26" t="str">
        <f t="shared" si="0"/>
        <v>WR</v>
      </c>
      <c r="F26">
        <f t="shared" si="1"/>
        <v>7</v>
      </c>
    </row>
    <row r="27" spans="1:6" x14ac:dyDescent="0.25">
      <c r="A27">
        <v>14</v>
      </c>
      <c r="B27" t="s">
        <v>351</v>
      </c>
      <c r="C27" t="s">
        <v>537</v>
      </c>
      <c r="D27">
        <v>25</v>
      </c>
      <c r="E27" t="str">
        <f t="shared" si="0"/>
        <v>QB</v>
      </c>
      <c r="F27">
        <f t="shared" si="1"/>
        <v>4</v>
      </c>
    </row>
    <row r="28" spans="1:6" x14ac:dyDescent="0.25">
      <c r="A28">
        <v>15</v>
      </c>
      <c r="B28" t="s">
        <v>152</v>
      </c>
      <c r="C28" t="s">
        <v>538</v>
      </c>
      <c r="D28">
        <v>26</v>
      </c>
      <c r="E28" t="str">
        <f t="shared" si="0"/>
        <v>WR</v>
      </c>
      <c r="F28">
        <f t="shared" si="1"/>
        <v>8</v>
      </c>
    </row>
    <row r="29" spans="1:6" x14ac:dyDescent="0.25">
      <c r="A29">
        <v>16</v>
      </c>
      <c r="B29" t="s">
        <v>124</v>
      </c>
      <c r="C29" t="s">
        <v>539</v>
      </c>
      <c r="D29">
        <v>27</v>
      </c>
      <c r="E29" t="str">
        <f t="shared" si="0"/>
        <v>WR</v>
      </c>
      <c r="F29">
        <f t="shared" si="1"/>
        <v>9</v>
      </c>
    </row>
    <row r="30" spans="1:6" x14ac:dyDescent="0.25">
      <c r="A30">
        <v>67</v>
      </c>
      <c r="B30" t="s">
        <v>216</v>
      </c>
      <c r="C30" t="s">
        <v>590</v>
      </c>
      <c r="D30">
        <v>28</v>
      </c>
      <c r="E30" t="str">
        <f t="shared" si="0"/>
        <v>WR</v>
      </c>
      <c r="F30">
        <f t="shared" si="1"/>
        <v>30</v>
      </c>
    </row>
    <row r="31" spans="1:6" x14ac:dyDescent="0.25">
      <c r="A31">
        <v>69</v>
      </c>
      <c r="B31" t="s">
        <v>114</v>
      </c>
      <c r="C31" t="s">
        <v>592</v>
      </c>
      <c r="D31">
        <v>29</v>
      </c>
      <c r="E31" t="str">
        <f t="shared" si="0"/>
        <v>WR</v>
      </c>
      <c r="F31">
        <f t="shared" si="1"/>
        <v>31</v>
      </c>
    </row>
    <row r="32" spans="1:6" x14ac:dyDescent="0.25">
      <c r="A32">
        <v>70</v>
      </c>
      <c r="B32" t="s">
        <v>245</v>
      </c>
      <c r="C32" t="s">
        <v>593</v>
      </c>
      <c r="D32">
        <v>30</v>
      </c>
      <c r="E32" t="str">
        <f t="shared" si="0"/>
        <v>RB</v>
      </c>
      <c r="F32">
        <f t="shared" si="1"/>
        <v>23</v>
      </c>
    </row>
    <row r="33" spans="1:6" x14ac:dyDescent="0.25">
      <c r="A33">
        <v>73</v>
      </c>
      <c r="B33" t="s">
        <v>125</v>
      </c>
      <c r="C33" t="s">
        <v>596</v>
      </c>
      <c r="D33">
        <v>31</v>
      </c>
      <c r="E33" t="str">
        <f t="shared" si="0"/>
        <v>WR</v>
      </c>
      <c r="F33">
        <f t="shared" si="1"/>
        <v>33</v>
      </c>
    </row>
    <row r="34" spans="1:6" x14ac:dyDescent="0.25">
      <c r="A34">
        <v>74</v>
      </c>
      <c r="B34" t="s">
        <v>230</v>
      </c>
      <c r="C34" t="s">
        <v>597</v>
      </c>
      <c r="D34">
        <v>32</v>
      </c>
      <c r="E34" t="str">
        <f t="shared" si="0"/>
        <v>RB</v>
      </c>
      <c r="F34">
        <f t="shared" si="1"/>
        <v>24</v>
      </c>
    </row>
    <row r="35" spans="1:6" x14ac:dyDescent="0.25">
      <c r="A35">
        <v>17</v>
      </c>
      <c r="B35" t="s">
        <v>223</v>
      </c>
      <c r="C35" t="s">
        <v>540</v>
      </c>
      <c r="D35">
        <v>33</v>
      </c>
      <c r="E35" t="str">
        <f t="shared" si="0"/>
        <v>RB</v>
      </c>
      <c r="F35">
        <f t="shared" si="1"/>
        <v>3</v>
      </c>
    </row>
    <row r="36" spans="1:6" x14ac:dyDescent="0.25">
      <c r="A36">
        <v>75</v>
      </c>
      <c r="B36" t="s">
        <v>389</v>
      </c>
      <c r="C36" t="s">
        <v>598</v>
      </c>
      <c r="D36">
        <v>34</v>
      </c>
      <c r="E36" t="str">
        <f t="shared" si="0"/>
        <v>RB</v>
      </c>
      <c r="F36">
        <f t="shared" si="1"/>
        <v>25</v>
      </c>
    </row>
    <row r="37" spans="1:6" x14ac:dyDescent="0.25">
      <c r="A37">
        <v>18</v>
      </c>
      <c r="B37" t="s">
        <v>415</v>
      </c>
      <c r="C37" t="s">
        <v>541</v>
      </c>
      <c r="D37">
        <v>35</v>
      </c>
      <c r="E37" t="str">
        <f t="shared" si="0"/>
        <v>WR</v>
      </c>
      <c r="F37">
        <f t="shared" si="1"/>
        <v>10</v>
      </c>
    </row>
    <row r="38" spans="1:6" x14ac:dyDescent="0.25">
      <c r="A38">
        <v>76</v>
      </c>
      <c r="B38" t="s">
        <v>128</v>
      </c>
      <c r="C38" t="s">
        <v>599</v>
      </c>
      <c r="D38">
        <v>36</v>
      </c>
      <c r="E38" t="str">
        <f t="shared" si="0"/>
        <v>WR</v>
      </c>
      <c r="F38">
        <f t="shared" si="1"/>
        <v>34</v>
      </c>
    </row>
    <row r="39" spans="1:6" x14ac:dyDescent="0.25">
      <c r="A39">
        <v>19</v>
      </c>
      <c r="B39" t="s">
        <v>52</v>
      </c>
      <c r="C39" t="s">
        <v>542</v>
      </c>
      <c r="D39">
        <v>37</v>
      </c>
      <c r="E39" t="str">
        <f t="shared" si="0"/>
        <v>TE</v>
      </c>
      <c r="F39">
        <f t="shared" si="1"/>
        <v>2</v>
      </c>
    </row>
    <row r="40" spans="1:6" x14ac:dyDescent="0.25">
      <c r="A40">
        <v>78</v>
      </c>
      <c r="B40" t="s">
        <v>360</v>
      </c>
      <c r="C40" t="s">
        <v>601</v>
      </c>
      <c r="D40">
        <v>38</v>
      </c>
      <c r="E40" t="str">
        <f t="shared" si="0"/>
        <v>QB</v>
      </c>
      <c r="F40">
        <f t="shared" si="1"/>
        <v>9</v>
      </c>
    </row>
    <row r="41" spans="1:6" x14ac:dyDescent="0.25">
      <c r="A41">
        <v>79</v>
      </c>
      <c r="B41" t="s">
        <v>341</v>
      </c>
      <c r="C41" t="s">
        <v>602</v>
      </c>
      <c r="D41">
        <v>39</v>
      </c>
      <c r="E41" t="str">
        <f t="shared" si="0"/>
        <v>QB</v>
      </c>
      <c r="F41">
        <f t="shared" si="1"/>
        <v>10</v>
      </c>
    </row>
    <row r="42" spans="1:6" x14ac:dyDescent="0.25">
      <c r="A42">
        <v>20</v>
      </c>
      <c r="B42" t="s">
        <v>426</v>
      </c>
      <c r="C42" t="s">
        <v>543</v>
      </c>
      <c r="D42">
        <v>40</v>
      </c>
      <c r="E42" t="str">
        <f t="shared" si="0"/>
        <v>WR</v>
      </c>
      <c r="F42">
        <f t="shared" si="1"/>
        <v>11</v>
      </c>
    </row>
    <row r="43" spans="1:6" x14ac:dyDescent="0.25">
      <c r="A43">
        <v>80</v>
      </c>
      <c r="B43" t="s">
        <v>134</v>
      </c>
      <c r="C43" t="s">
        <v>603</v>
      </c>
      <c r="D43">
        <v>41</v>
      </c>
      <c r="E43" t="str">
        <f t="shared" si="0"/>
        <v>WR</v>
      </c>
      <c r="F43">
        <f t="shared" si="1"/>
        <v>36</v>
      </c>
    </row>
    <row r="44" spans="1:6" x14ac:dyDescent="0.25">
      <c r="A44">
        <v>81</v>
      </c>
      <c r="B44" t="s">
        <v>359</v>
      </c>
      <c r="C44" t="s">
        <v>604</v>
      </c>
      <c r="D44">
        <v>42</v>
      </c>
      <c r="E44" t="str">
        <f t="shared" si="0"/>
        <v>QB</v>
      </c>
      <c r="F44">
        <f t="shared" si="1"/>
        <v>11</v>
      </c>
    </row>
    <row r="45" spans="1:6" x14ac:dyDescent="0.25">
      <c r="A45">
        <v>21</v>
      </c>
      <c r="B45" t="s">
        <v>323</v>
      </c>
      <c r="C45" t="s">
        <v>544</v>
      </c>
      <c r="D45">
        <v>43</v>
      </c>
      <c r="E45" t="str">
        <f t="shared" si="0"/>
        <v>RB</v>
      </c>
      <c r="F45">
        <f t="shared" si="1"/>
        <v>4</v>
      </c>
    </row>
    <row r="46" spans="1:6" x14ac:dyDescent="0.25">
      <c r="A46">
        <v>82</v>
      </c>
      <c r="B46" t="s">
        <v>242</v>
      </c>
      <c r="C46" t="s">
        <v>605</v>
      </c>
      <c r="D46">
        <v>44</v>
      </c>
      <c r="E46" t="str">
        <f t="shared" si="0"/>
        <v>RB</v>
      </c>
      <c r="F46">
        <f t="shared" si="1"/>
        <v>26</v>
      </c>
    </row>
    <row r="47" spans="1:6" x14ac:dyDescent="0.25">
      <c r="A47">
        <v>83</v>
      </c>
      <c r="B47" t="s">
        <v>72</v>
      </c>
      <c r="C47" t="s">
        <v>606</v>
      </c>
      <c r="D47">
        <v>45</v>
      </c>
      <c r="E47" t="str">
        <f t="shared" si="0"/>
        <v>TE</v>
      </c>
      <c r="F47">
        <f t="shared" si="1"/>
        <v>10</v>
      </c>
    </row>
    <row r="48" spans="1:6" x14ac:dyDescent="0.25">
      <c r="A48">
        <v>84</v>
      </c>
      <c r="B48" t="s">
        <v>239</v>
      </c>
      <c r="C48" t="s">
        <v>607</v>
      </c>
      <c r="D48">
        <v>46</v>
      </c>
      <c r="E48" t="str">
        <f t="shared" si="0"/>
        <v>RB</v>
      </c>
      <c r="F48">
        <f t="shared" si="1"/>
        <v>27</v>
      </c>
    </row>
    <row r="49" spans="1:6" x14ac:dyDescent="0.25">
      <c r="A49">
        <v>85</v>
      </c>
      <c r="B49" t="s">
        <v>399</v>
      </c>
      <c r="C49" t="s">
        <v>608</v>
      </c>
      <c r="D49">
        <v>47</v>
      </c>
      <c r="E49" t="str">
        <f t="shared" si="0"/>
        <v>RB</v>
      </c>
      <c r="F49">
        <f t="shared" si="1"/>
        <v>28</v>
      </c>
    </row>
    <row r="50" spans="1:6" x14ac:dyDescent="0.25">
      <c r="A50">
        <v>22</v>
      </c>
      <c r="B50" t="s">
        <v>261</v>
      </c>
      <c r="C50" t="s">
        <v>545</v>
      </c>
      <c r="D50">
        <v>48</v>
      </c>
      <c r="E50" t="str">
        <f t="shared" si="0"/>
        <v>RB</v>
      </c>
      <c r="F50">
        <f t="shared" si="1"/>
        <v>5</v>
      </c>
    </row>
    <row r="51" spans="1:6" x14ac:dyDescent="0.25">
      <c r="A51">
        <v>86</v>
      </c>
      <c r="B51" t="s">
        <v>224</v>
      </c>
      <c r="C51" t="s">
        <v>609</v>
      </c>
      <c r="D51">
        <v>49</v>
      </c>
      <c r="E51" t="str">
        <f t="shared" si="0"/>
        <v>RB</v>
      </c>
      <c r="F51">
        <f t="shared" si="1"/>
        <v>29</v>
      </c>
    </row>
    <row r="52" spans="1:6" x14ac:dyDescent="0.25">
      <c r="A52">
        <v>23</v>
      </c>
      <c r="B52" t="s">
        <v>46</v>
      </c>
      <c r="C52" t="s">
        <v>546</v>
      </c>
      <c r="D52">
        <v>50</v>
      </c>
      <c r="E52" t="str">
        <f t="shared" si="0"/>
        <v>TE</v>
      </c>
      <c r="F52">
        <f t="shared" si="1"/>
        <v>3</v>
      </c>
    </row>
    <row r="53" spans="1:6" x14ac:dyDescent="0.25">
      <c r="A53">
        <v>87</v>
      </c>
      <c r="B53" t="s">
        <v>192</v>
      </c>
      <c r="C53" t="s">
        <v>610</v>
      </c>
      <c r="D53">
        <v>51</v>
      </c>
      <c r="E53" t="str">
        <f t="shared" si="0"/>
        <v>WR</v>
      </c>
      <c r="F53">
        <f t="shared" si="1"/>
        <v>37</v>
      </c>
    </row>
    <row r="54" spans="1:6" x14ac:dyDescent="0.25">
      <c r="A54">
        <v>24</v>
      </c>
      <c r="B54" t="s">
        <v>226</v>
      </c>
      <c r="C54" t="s">
        <v>547</v>
      </c>
      <c r="D54">
        <v>52</v>
      </c>
      <c r="E54" t="str">
        <f t="shared" si="0"/>
        <v>RB</v>
      </c>
      <c r="F54">
        <f t="shared" si="1"/>
        <v>6</v>
      </c>
    </row>
    <row r="55" spans="1:6" x14ac:dyDescent="0.25">
      <c r="A55">
        <v>228</v>
      </c>
      <c r="B55" t="s">
        <v>358</v>
      </c>
      <c r="C55" t="s">
        <v>762</v>
      </c>
      <c r="D55">
        <v>53</v>
      </c>
      <c r="E55" t="str">
        <f t="shared" si="0"/>
        <v>QB</v>
      </c>
      <c r="F55">
        <f t="shared" si="1"/>
        <v>33</v>
      </c>
    </row>
    <row r="56" spans="1:6" x14ac:dyDescent="0.25">
      <c r="A56">
        <v>88</v>
      </c>
      <c r="B56" t="s">
        <v>428</v>
      </c>
      <c r="C56" t="s">
        <v>611</v>
      </c>
      <c r="D56">
        <v>54</v>
      </c>
      <c r="E56" t="str">
        <f t="shared" si="0"/>
        <v>WR</v>
      </c>
      <c r="F56">
        <f t="shared" si="1"/>
        <v>38</v>
      </c>
    </row>
    <row r="57" spans="1:6" x14ac:dyDescent="0.25">
      <c r="A57">
        <v>90</v>
      </c>
      <c r="B57" t="s">
        <v>118</v>
      </c>
      <c r="C57" t="s">
        <v>613</v>
      </c>
      <c r="D57">
        <v>55</v>
      </c>
      <c r="E57" t="str">
        <f t="shared" si="0"/>
        <v>WR</v>
      </c>
      <c r="F57">
        <f t="shared" si="1"/>
        <v>39</v>
      </c>
    </row>
    <row r="58" spans="1:6" x14ac:dyDescent="0.25">
      <c r="A58">
        <v>92</v>
      </c>
      <c r="B58" t="s">
        <v>335</v>
      </c>
      <c r="C58" t="s">
        <v>615</v>
      </c>
      <c r="D58">
        <v>56</v>
      </c>
      <c r="E58" t="str">
        <f t="shared" si="0"/>
        <v>QB</v>
      </c>
      <c r="F58">
        <f t="shared" si="1"/>
        <v>12</v>
      </c>
    </row>
    <row r="59" spans="1:6" x14ac:dyDescent="0.25">
      <c r="A59">
        <v>93</v>
      </c>
      <c r="B59" t="s">
        <v>155</v>
      </c>
      <c r="C59" t="s">
        <v>616</v>
      </c>
      <c r="D59">
        <v>57</v>
      </c>
      <c r="E59" t="str">
        <f t="shared" si="0"/>
        <v>WR</v>
      </c>
      <c r="F59">
        <f t="shared" si="1"/>
        <v>40</v>
      </c>
    </row>
    <row r="60" spans="1:6" x14ac:dyDescent="0.25">
      <c r="A60">
        <v>94</v>
      </c>
      <c r="B60" t="s">
        <v>83</v>
      </c>
      <c r="C60" t="s">
        <v>617</v>
      </c>
      <c r="D60">
        <v>58</v>
      </c>
      <c r="E60" t="str">
        <f t="shared" si="0"/>
        <v>TE</v>
      </c>
      <c r="F60">
        <f t="shared" si="1"/>
        <v>12</v>
      </c>
    </row>
    <row r="61" spans="1:6" x14ac:dyDescent="0.25">
      <c r="A61">
        <v>95</v>
      </c>
      <c r="B61" t="s">
        <v>390</v>
      </c>
      <c r="C61" t="s">
        <v>618</v>
      </c>
      <c r="D61">
        <v>59</v>
      </c>
      <c r="E61" t="str">
        <f t="shared" si="0"/>
        <v>RB</v>
      </c>
      <c r="F61">
        <f t="shared" si="1"/>
        <v>31</v>
      </c>
    </row>
    <row r="62" spans="1:6" x14ac:dyDescent="0.25">
      <c r="A62">
        <v>96</v>
      </c>
      <c r="B62" t="s">
        <v>200</v>
      </c>
      <c r="C62" t="s">
        <v>619</v>
      </c>
      <c r="D62">
        <v>60</v>
      </c>
      <c r="E62" t="str">
        <f t="shared" si="0"/>
        <v>WR</v>
      </c>
      <c r="F62">
        <f t="shared" si="1"/>
        <v>41</v>
      </c>
    </row>
    <row r="63" spans="1:6" x14ac:dyDescent="0.25">
      <c r="A63">
        <v>25</v>
      </c>
      <c r="B63" t="s">
        <v>177</v>
      </c>
      <c r="C63" t="s">
        <v>548</v>
      </c>
      <c r="D63">
        <v>61</v>
      </c>
      <c r="E63" t="str">
        <f t="shared" si="0"/>
        <v>WR</v>
      </c>
      <c r="F63">
        <f t="shared" si="1"/>
        <v>12</v>
      </c>
    </row>
    <row r="64" spans="1:6" x14ac:dyDescent="0.25">
      <c r="A64">
        <v>97</v>
      </c>
      <c r="B64" t="s">
        <v>305</v>
      </c>
      <c r="C64" t="s">
        <v>620</v>
      </c>
      <c r="D64">
        <v>62</v>
      </c>
      <c r="E64" t="str">
        <f t="shared" si="0"/>
        <v>RB</v>
      </c>
      <c r="F64">
        <f t="shared" si="1"/>
        <v>32</v>
      </c>
    </row>
    <row r="65" spans="1:6" x14ac:dyDescent="0.25">
      <c r="A65">
        <v>98</v>
      </c>
      <c r="B65" t="s">
        <v>232</v>
      </c>
      <c r="C65" t="s">
        <v>621</v>
      </c>
      <c r="D65">
        <v>63</v>
      </c>
      <c r="E65" t="str">
        <f t="shared" si="0"/>
        <v>RB</v>
      </c>
      <c r="F65">
        <f t="shared" si="1"/>
        <v>33</v>
      </c>
    </row>
    <row r="66" spans="1:6" x14ac:dyDescent="0.25">
      <c r="A66">
        <v>26</v>
      </c>
      <c r="B66" t="s">
        <v>145</v>
      </c>
      <c r="C66" t="s">
        <v>549</v>
      </c>
      <c r="D66">
        <v>64</v>
      </c>
      <c r="E66" t="str">
        <f t="shared" si="0"/>
        <v>WR</v>
      </c>
      <c r="F66">
        <f t="shared" si="1"/>
        <v>13</v>
      </c>
    </row>
    <row r="67" spans="1:6" x14ac:dyDescent="0.25">
      <c r="A67">
        <v>27</v>
      </c>
      <c r="B67" t="s">
        <v>252</v>
      </c>
      <c r="C67" t="s">
        <v>550</v>
      </c>
      <c r="D67">
        <v>65</v>
      </c>
      <c r="E67" t="str">
        <f t="shared" si="0"/>
        <v>RB</v>
      </c>
      <c r="F67">
        <f t="shared" si="1"/>
        <v>7</v>
      </c>
    </row>
    <row r="68" spans="1:6" x14ac:dyDescent="0.25">
      <c r="A68">
        <v>28</v>
      </c>
      <c r="B68" t="s">
        <v>34</v>
      </c>
      <c r="C68" t="s">
        <v>551</v>
      </c>
      <c r="D68">
        <v>66</v>
      </c>
      <c r="E68" t="str">
        <f t="shared" ref="E68:E131" si="2">LEFT(C68,2)</f>
        <v>TE</v>
      </c>
      <c r="F68">
        <f t="shared" ref="F68:F131" si="3">VALUE(MID(C68,3,LEN(C68)))</f>
        <v>4</v>
      </c>
    </row>
    <row r="69" spans="1:6" x14ac:dyDescent="0.25">
      <c r="A69">
        <v>29</v>
      </c>
      <c r="B69" t="s">
        <v>235</v>
      </c>
      <c r="C69" t="s">
        <v>552</v>
      </c>
      <c r="D69">
        <v>67</v>
      </c>
      <c r="E69" t="str">
        <f t="shared" si="2"/>
        <v>RB</v>
      </c>
      <c r="F69">
        <f t="shared" si="3"/>
        <v>8</v>
      </c>
    </row>
    <row r="70" spans="1:6" x14ac:dyDescent="0.25">
      <c r="A70">
        <v>99</v>
      </c>
      <c r="B70" t="s">
        <v>186</v>
      </c>
      <c r="C70" t="s">
        <v>622</v>
      </c>
      <c r="D70">
        <v>68</v>
      </c>
      <c r="E70" t="str">
        <f t="shared" si="2"/>
        <v>WR</v>
      </c>
      <c r="F70">
        <f t="shared" si="3"/>
        <v>42</v>
      </c>
    </row>
    <row r="71" spans="1:6" x14ac:dyDescent="0.25">
      <c r="A71">
        <v>100</v>
      </c>
      <c r="B71" t="s">
        <v>392</v>
      </c>
      <c r="C71" t="s">
        <v>623</v>
      </c>
      <c r="D71">
        <v>69</v>
      </c>
      <c r="E71" t="str">
        <f t="shared" si="2"/>
        <v>RB</v>
      </c>
      <c r="F71">
        <f t="shared" si="3"/>
        <v>34</v>
      </c>
    </row>
    <row r="72" spans="1:6" x14ac:dyDescent="0.25">
      <c r="A72">
        <v>30</v>
      </c>
      <c r="B72" t="s">
        <v>276</v>
      </c>
      <c r="C72" t="s">
        <v>553</v>
      </c>
      <c r="D72">
        <v>70</v>
      </c>
      <c r="E72" t="str">
        <f t="shared" si="2"/>
        <v>RB</v>
      </c>
      <c r="F72">
        <f t="shared" si="3"/>
        <v>9</v>
      </c>
    </row>
    <row r="73" spans="1:6" x14ac:dyDescent="0.25">
      <c r="A73">
        <v>31</v>
      </c>
      <c r="B73" t="s">
        <v>247</v>
      </c>
      <c r="C73" t="s">
        <v>554</v>
      </c>
      <c r="D73">
        <v>71</v>
      </c>
      <c r="E73" t="str">
        <f t="shared" si="2"/>
        <v>RB</v>
      </c>
      <c r="F73">
        <f t="shared" si="3"/>
        <v>10</v>
      </c>
    </row>
    <row r="74" spans="1:6" x14ac:dyDescent="0.25">
      <c r="A74">
        <v>101</v>
      </c>
      <c r="B74" t="s">
        <v>151</v>
      </c>
      <c r="C74" t="s">
        <v>624</v>
      </c>
      <c r="D74">
        <v>72</v>
      </c>
      <c r="E74" t="str">
        <f t="shared" si="2"/>
        <v>WR</v>
      </c>
      <c r="F74">
        <f t="shared" si="3"/>
        <v>43</v>
      </c>
    </row>
    <row r="75" spans="1:6" x14ac:dyDescent="0.25">
      <c r="A75">
        <v>32</v>
      </c>
      <c r="B75" t="s">
        <v>174</v>
      </c>
      <c r="C75" t="s">
        <v>555</v>
      </c>
      <c r="D75">
        <v>73</v>
      </c>
      <c r="E75" t="str">
        <f t="shared" si="2"/>
        <v>WR</v>
      </c>
      <c r="F75">
        <f t="shared" si="3"/>
        <v>14</v>
      </c>
    </row>
    <row r="76" spans="1:6" x14ac:dyDescent="0.25">
      <c r="A76">
        <v>33</v>
      </c>
      <c r="B76" t="s">
        <v>429</v>
      </c>
      <c r="C76" t="s">
        <v>556</v>
      </c>
      <c r="D76">
        <v>74</v>
      </c>
      <c r="E76" t="str">
        <f t="shared" si="2"/>
        <v>WR</v>
      </c>
      <c r="F76">
        <f t="shared" si="3"/>
        <v>15</v>
      </c>
    </row>
    <row r="77" spans="1:6" x14ac:dyDescent="0.25">
      <c r="A77">
        <v>102</v>
      </c>
      <c r="B77" t="s">
        <v>117</v>
      </c>
      <c r="C77" t="s">
        <v>625</v>
      </c>
      <c r="D77">
        <v>75</v>
      </c>
      <c r="E77" t="str">
        <f t="shared" si="2"/>
        <v>WR</v>
      </c>
      <c r="F77">
        <f t="shared" si="3"/>
        <v>44</v>
      </c>
    </row>
    <row r="78" spans="1:6" x14ac:dyDescent="0.25">
      <c r="A78">
        <v>34</v>
      </c>
      <c r="B78" t="s">
        <v>418</v>
      </c>
      <c r="C78" t="s">
        <v>557</v>
      </c>
      <c r="D78">
        <v>76</v>
      </c>
      <c r="E78" t="str">
        <f t="shared" si="2"/>
        <v>WR</v>
      </c>
      <c r="F78">
        <f t="shared" si="3"/>
        <v>16</v>
      </c>
    </row>
    <row r="79" spans="1:6" x14ac:dyDescent="0.25">
      <c r="A79">
        <v>35</v>
      </c>
      <c r="B79" t="s">
        <v>104</v>
      </c>
      <c r="C79" t="s">
        <v>558</v>
      </c>
      <c r="D79">
        <v>77</v>
      </c>
      <c r="E79" t="str">
        <f t="shared" si="2"/>
        <v>WR</v>
      </c>
      <c r="F79">
        <f t="shared" si="3"/>
        <v>17</v>
      </c>
    </row>
    <row r="80" spans="1:6" x14ac:dyDescent="0.25">
      <c r="A80">
        <v>36</v>
      </c>
      <c r="B80" t="s">
        <v>336</v>
      </c>
      <c r="C80" t="s">
        <v>559</v>
      </c>
      <c r="D80">
        <v>78</v>
      </c>
      <c r="E80" t="str">
        <f t="shared" si="2"/>
        <v>QB</v>
      </c>
      <c r="F80">
        <f t="shared" si="3"/>
        <v>5</v>
      </c>
    </row>
    <row r="81" spans="1:6" x14ac:dyDescent="0.25">
      <c r="A81">
        <v>103</v>
      </c>
      <c r="B81" t="s">
        <v>209</v>
      </c>
      <c r="C81" t="s">
        <v>626</v>
      </c>
      <c r="D81">
        <v>79</v>
      </c>
      <c r="E81" t="str">
        <f t="shared" si="2"/>
        <v>WR</v>
      </c>
      <c r="F81">
        <f t="shared" si="3"/>
        <v>45</v>
      </c>
    </row>
    <row r="82" spans="1:6" x14ac:dyDescent="0.25">
      <c r="A82">
        <v>104</v>
      </c>
      <c r="B82" t="s">
        <v>23</v>
      </c>
      <c r="C82" t="s">
        <v>627</v>
      </c>
      <c r="D82">
        <v>80</v>
      </c>
      <c r="E82" t="str">
        <f t="shared" si="2"/>
        <v>TE</v>
      </c>
      <c r="F82">
        <f t="shared" si="3"/>
        <v>13</v>
      </c>
    </row>
    <row r="83" spans="1:6" x14ac:dyDescent="0.25">
      <c r="A83">
        <v>37</v>
      </c>
      <c r="B83" t="s">
        <v>106</v>
      </c>
      <c r="C83" t="s">
        <v>560</v>
      </c>
      <c r="D83">
        <v>81</v>
      </c>
      <c r="E83" t="str">
        <f t="shared" si="2"/>
        <v>WR</v>
      </c>
      <c r="F83">
        <f t="shared" si="3"/>
        <v>18</v>
      </c>
    </row>
    <row r="84" spans="1:6" x14ac:dyDescent="0.25">
      <c r="A84">
        <v>105</v>
      </c>
      <c r="B84" t="s">
        <v>299</v>
      </c>
      <c r="C84" t="s">
        <v>628</v>
      </c>
      <c r="D84">
        <v>82</v>
      </c>
      <c r="E84" t="str">
        <f t="shared" si="2"/>
        <v>RB</v>
      </c>
      <c r="F84">
        <f t="shared" si="3"/>
        <v>35</v>
      </c>
    </row>
    <row r="85" spans="1:6" x14ac:dyDescent="0.25">
      <c r="A85">
        <v>106</v>
      </c>
      <c r="B85" t="s">
        <v>266</v>
      </c>
      <c r="C85" t="s">
        <v>629</v>
      </c>
      <c r="D85">
        <v>83</v>
      </c>
      <c r="E85" t="str">
        <f t="shared" si="2"/>
        <v>RB</v>
      </c>
      <c r="F85">
        <f t="shared" si="3"/>
        <v>36</v>
      </c>
    </row>
    <row r="86" spans="1:6" x14ac:dyDescent="0.25">
      <c r="A86">
        <v>38</v>
      </c>
      <c r="B86" t="s">
        <v>356</v>
      </c>
      <c r="C86" t="s">
        <v>561</v>
      </c>
      <c r="D86">
        <v>84</v>
      </c>
      <c r="E86" t="str">
        <f t="shared" si="2"/>
        <v>QB</v>
      </c>
      <c r="F86">
        <f t="shared" si="3"/>
        <v>6</v>
      </c>
    </row>
    <row r="87" spans="1:6" x14ac:dyDescent="0.25">
      <c r="A87">
        <v>39</v>
      </c>
      <c r="B87" t="s">
        <v>206</v>
      </c>
      <c r="C87" t="s">
        <v>562</v>
      </c>
      <c r="D87">
        <v>85</v>
      </c>
      <c r="E87" t="str">
        <f t="shared" si="2"/>
        <v>WR</v>
      </c>
      <c r="F87">
        <f t="shared" si="3"/>
        <v>19</v>
      </c>
    </row>
    <row r="88" spans="1:6" x14ac:dyDescent="0.25">
      <c r="A88">
        <v>40</v>
      </c>
      <c r="B88" t="s">
        <v>500</v>
      </c>
      <c r="C88" t="s">
        <v>563</v>
      </c>
      <c r="D88">
        <v>86</v>
      </c>
      <c r="E88" t="str">
        <f t="shared" si="2"/>
        <v>RB</v>
      </c>
      <c r="F88">
        <f t="shared" si="3"/>
        <v>11</v>
      </c>
    </row>
    <row r="89" spans="1:6" x14ac:dyDescent="0.25">
      <c r="A89">
        <v>107</v>
      </c>
      <c r="B89" t="s">
        <v>386</v>
      </c>
      <c r="C89" t="s">
        <v>630</v>
      </c>
      <c r="D89">
        <v>87</v>
      </c>
      <c r="E89" t="str">
        <f t="shared" si="2"/>
        <v>QB</v>
      </c>
      <c r="F89">
        <f t="shared" si="3"/>
        <v>13</v>
      </c>
    </row>
    <row r="90" spans="1:6" x14ac:dyDescent="0.25">
      <c r="A90">
        <v>108</v>
      </c>
      <c r="B90" t="s">
        <v>144</v>
      </c>
      <c r="C90" t="s">
        <v>631</v>
      </c>
      <c r="D90">
        <v>88</v>
      </c>
      <c r="E90" t="str">
        <f t="shared" si="2"/>
        <v>WR</v>
      </c>
      <c r="F90">
        <f t="shared" si="3"/>
        <v>46</v>
      </c>
    </row>
    <row r="91" spans="1:6" x14ac:dyDescent="0.25">
      <c r="A91">
        <v>109</v>
      </c>
      <c r="B91" t="s">
        <v>101</v>
      </c>
      <c r="C91" t="s">
        <v>632</v>
      </c>
      <c r="D91">
        <v>89</v>
      </c>
      <c r="E91" t="str">
        <f t="shared" si="2"/>
        <v>WR</v>
      </c>
      <c r="F91">
        <f t="shared" si="3"/>
        <v>47</v>
      </c>
    </row>
    <row r="92" spans="1:6" x14ac:dyDescent="0.25">
      <c r="A92">
        <v>110</v>
      </c>
      <c r="B92" t="s">
        <v>405</v>
      </c>
      <c r="C92" t="s">
        <v>633</v>
      </c>
      <c r="D92">
        <v>90</v>
      </c>
      <c r="E92" t="str">
        <f t="shared" si="2"/>
        <v>RB</v>
      </c>
      <c r="F92">
        <f t="shared" si="3"/>
        <v>37</v>
      </c>
    </row>
    <row r="93" spans="1:6" x14ac:dyDescent="0.25">
      <c r="A93">
        <v>111</v>
      </c>
      <c r="B93" t="s">
        <v>112</v>
      </c>
      <c r="C93" t="s">
        <v>634</v>
      </c>
      <c r="D93">
        <v>91</v>
      </c>
      <c r="E93" t="str">
        <f t="shared" si="2"/>
        <v>WR</v>
      </c>
      <c r="F93">
        <f t="shared" si="3"/>
        <v>48</v>
      </c>
    </row>
    <row r="94" spans="1:6" x14ac:dyDescent="0.25">
      <c r="A94">
        <v>112</v>
      </c>
      <c r="B94" t="s">
        <v>142</v>
      </c>
      <c r="C94" t="s">
        <v>635</v>
      </c>
      <c r="D94">
        <v>92</v>
      </c>
      <c r="E94" t="str">
        <f t="shared" si="2"/>
        <v>WR</v>
      </c>
      <c r="F94">
        <f t="shared" si="3"/>
        <v>49</v>
      </c>
    </row>
    <row r="95" spans="1:6" x14ac:dyDescent="0.25">
      <c r="A95">
        <v>41</v>
      </c>
      <c r="B95" t="s">
        <v>85</v>
      </c>
      <c r="C95" t="s">
        <v>564</v>
      </c>
      <c r="D95">
        <v>93</v>
      </c>
      <c r="E95" t="str">
        <f t="shared" si="2"/>
        <v>TE</v>
      </c>
      <c r="F95">
        <f t="shared" si="3"/>
        <v>5</v>
      </c>
    </row>
    <row r="96" spans="1:6" x14ac:dyDescent="0.25">
      <c r="A96">
        <v>113</v>
      </c>
      <c r="B96" t="s">
        <v>77</v>
      </c>
      <c r="C96" t="s">
        <v>636</v>
      </c>
      <c r="D96">
        <v>94</v>
      </c>
      <c r="E96" t="str">
        <f t="shared" si="2"/>
        <v>TE</v>
      </c>
      <c r="F96">
        <f t="shared" si="3"/>
        <v>14</v>
      </c>
    </row>
    <row r="97" spans="1:6" x14ac:dyDescent="0.25">
      <c r="A97">
        <v>114</v>
      </c>
      <c r="B97" t="s">
        <v>283</v>
      </c>
      <c r="C97" t="s">
        <v>637</v>
      </c>
      <c r="D97">
        <v>95</v>
      </c>
      <c r="E97" t="str">
        <f t="shared" si="2"/>
        <v>RB</v>
      </c>
      <c r="F97">
        <f t="shared" si="3"/>
        <v>38</v>
      </c>
    </row>
    <row r="98" spans="1:6" x14ac:dyDescent="0.25">
      <c r="A98">
        <v>42</v>
      </c>
      <c r="B98" t="s">
        <v>304</v>
      </c>
      <c r="C98" t="s">
        <v>565</v>
      </c>
      <c r="D98">
        <v>96</v>
      </c>
      <c r="E98" t="str">
        <f t="shared" si="2"/>
        <v>RB</v>
      </c>
      <c r="F98">
        <f t="shared" si="3"/>
        <v>12</v>
      </c>
    </row>
    <row r="99" spans="1:6" x14ac:dyDescent="0.25">
      <c r="A99">
        <v>115</v>
      </c>
      <c r="B99" t="s">
        <v>310</v>
      </c>
      <c r="C99" t="s">
        <v>638</v>
      </c>
      <c r="D99">
        <v>97</v>
      </c>
      <c r="E99" t="str">
        <f t="shared" si="2"/>
        <v>RB</v>
      </c>
      <c r="F99">
        <f t="shared" si="3"/>
        <v>39</v>
      </c>
    </row>
    <row r="100" spans="1:6" x14ac:dyDescent="0.25">
      <c r="A100">
        <v>45</v>
      </c>
      <c r="B100" t="s">
        <v>225</v>
      </c>
      <c r="C100" t="s">
        <v>568</v>
      </c>
      <c r="D100">
        <v>98</v>
      </c>
      <c r="E100" t="str">
        <f t="shared" si="2"/>
        <v>RB</v>
      </c>
      <c r="F100">
        <f t="shared" si="3"/>
        <v>13</v>
      </c>
    </row>
    <row r="101" spans="1:6" x14ac:dyDescent="0.25">
      <c r="A101">
        <v>116</v>
      </c>
      <c r="B101" t="s">
        <v>488</v>
      </c>
      <c r="C101" t="s">
        <v>639</v>
      </c>
      <c r="D101">
        <v>99</v>
      </c>
      <c r="E101" t="str">
        <f t="shared" si="2"/>
        <v>RB</v>
      </c>
      <c r="F101">
        <f t="shared" si="3"/>
        <v>40</v>
      </c>
    </row>
    <row r="102" spans="1:6" x14ac:dyDescent="0.25">
      <c r="A102">
        <v>47</v>
      </c>
      <c r="B102" t="s">
        <v>462</v>
      </c>
      <c r="C102" t="s">
        <v>570</v>
      </c>
      <c r="D102">
        <v>100</v>
      </c>
      <c r="E102" t="str">
        <f t="shared" si="2"/>
        <v>WR</v>
      </c>
      <c r="F102">
        <f t="shared" si="3"/>
        <v>22</v>
      </c>
    </row>
    <row r="103" spans="1:6" x14ac:dyDescent="0.25">
      <c r="A103">
        <v>117</v>
      </c>
      <c r="B103" t="s">
        <v>366</v>
      </c>
      <c r="C103" t="s">
        <v>640</v>
      </c>
      <c r="D103">
        <v>101</v>
      </c>
      <c r="E103" t="str">
        <f t="shared" si="2"/>
        <v>QB</v>
      </c>
      <c r="F103">
        <f t="shared" si="3"/>
        <v>14</v>
      </c>
    </row>
    <row r="104" spans="1:6" x14ac:dyDescent="0.25">
      <c r="A104">
        <v>49</v>
      </c>
      <c r="B104" t="s">
        <v>339</v>
      </c>
      <c r="C104" t="s">
        <v>572</v>
      </c>
      <c r="D104">
        <v>102</v>
      </c>
      <c r="E104" t="str">
        <f t="shared" si="2"/>
        <v>QB</v>
      </c>
      <c r="F104">
        <f t="shared" si="3"/>
        <v>7</v>
      </c>
    </row>
    <row r="105" spans="1:6" x14ac:dyDescent="0.25">
      <c r="A105">
        <v>50</v>
      </c>
      <c r="B105" t="s">
        <v>416</v>
      </c>
      <c r="C105" t="s">
        <v>573</v>
      </c>
      <c r="D105">
        <v>103</v>
      </c>
      <c r="E105" t="str">
        <f t="shared" si="2"/>
        <v>WR</v>
      </c>
      <c r="F105">
        <f t="shared" si="3"/>
        <v>23</v>
      </c>
    </row>
    <row r="106" spans="1:6" x14ac:dyDescent="0.25">
      <c r="A106">
        <v>250</v>
      </c>
      <c r="B106" t="s">
        <v>786</v>
      </c>
      <c r="C106" t="s">
        <v>787</v>
      </c>
      <c r="D106">
        <v>104</v>
      </c>
      <c r="E106" t="str">
        <f t="shared" si="2"/>
        <v>WR</v>
      </c>
      <c r="F106">
        <f t="shared" si="3"/>
        <v>104</v>
      </c>
    </row>
    <row r="107" spans="1:6" x14ac:dyDescent="0.25">
      <c r="A107">
        <v>118</v>
      </c>
      <c r="B107" t="s">
        <v>348</v>
      </c>
      <c r="C107" t="s">
        <v>641</v>
      </c>
      <c r="D107">
        <v>105</v>
      </c>
      <c r="E107" t="str">
        <f t="shared" si="2"/>
        <v>QB</v>
      </c>
      <c r="F107">
        <f t="shared" si="3"/>
        <v>15</v>
      </c>
    </row>
    <row r="108" spans="1:6" x14ac:dyDescent="0.25">
      <c r="A108">
        <v>119</v>
      </c>
      <c r="B108" t="s">
        <v>70</v>
      </c>
      <c r="C108" t="s">
        <v>642</v>
      </c>
      <c r="D108">
        <v>106</v>
      </c>
      <c r="E108" t="str">
        <f t="shared" si="2"/>
        <v>TE</v>
      </c>
      <c r="F108">
        <f t="shared" si="3"/>
        <v>15</v>
      </c>
    </row>
    <row r="109" spans="1:6" x14ac:dyDescent="0.25">
      <c r="A109">
        <v>51</v>
      </c>
      <c r="B109" t="s">
        <v>202</v>
      </c>
      <c r="C109" t="s">
        <v>574</v>
      </c>
      <c r="D109">
        <v>107</v>
      </c>
      <c r="E109" t="str">
        <f t="shared" si="2"/>
        <v>WR</v>
      </c>
      <c r="F109">
        <f t="shared" si="3"/>
        <v>24</v>
      </c>
    </row>
    <row r="110" spans="1:6" x14ac:dyDescent="0.25">
      <c r="A110">
        <v>120</v>
      </c>
      <c r="B110" t="s">
        <v>907</v>
      </c>
      <c r="C110" t="s">
        <v>643</v>
      </c>
      <c r="D110">
        <v>108</v>
      </c>
      <c r="E110" t="str">
        <f t="shared" si="2"/>
        <v>WR</v>
      </c>
      <c r="F110">
        <f t="shared" si="3"/>
        <v>50</v>
      </c>
    </row>
    <row r="111" spans="1:6" x14ac:dyDescent="0.25">
      <c r="A111">
        <v>121</v>
      </c>
      <c r="B111" t="s">
        <v>377</v>
      </c>
      <c r="C111" t="s">
        <v>644</v>
      </c>
      <c r="D111">
        <v>109</v>
      </c>
      <c r="E111" t="str">
        <f t="shared" si="2"/>
        <v>QB</v>
      </c>
      <c r="F111">
        <f t="shared" si="3"/>
        <v>16</v>
      </c>
    </row>
    <row r="112" spans="1:6" x14ac:dyDescent="0.25">
      <c r="A112">
        <v>54</v>
      </c>
      <c r="B112" t="s">
        <v>60</v>
      </c>
      <c r="C112" t="s">
        <v>577</v>
      </c>
      <c r="D112">
        <v>110</v>
      </c>
      <c r="E112" t="str">
        <f t="shared" si="2"/>
        <v>TE</v>
      </c>
      <c r="F112">
        <f t="shared" si="3"/>
        <v>6</v>
      </c>
    </row>
    <row r="113" spans="1:6" x14ac:dyDescent="0.25">
      <c r="A113">
        <v>122</v>
      </c>
      <c r="B113" t="s">
        <v>464</v>
      </c>
      <c r="C113" t="s">
        <v>645</v>
      </c>
      <c r="D113">
        <v>111</v>
      </c>
      <c r="E113" t="str">
        <f t="shared" si="2"/>
        <v>WR</v>
      </c>
      <c r="F113">
        <f t="shared" si="3"/>
        <v>51</v>
      </c>
    </row>
    <row r="114" spans="1:6" x14ac:dyDescent="0.25">
      <c r="A114">
        <v>55</v>
      </c>
      <c r="B114" t="s">
        <v>482</v>
      </c>
      <c r="C114" t="s">
        <v>578</v>
      </c>
      <c r="D114">
        <v>112</v>
      </c>
      <c r="E114" t="str">
        <f t="shared" si="2"/>
        <v>WR</v>
      </c>
      <c r="F114">
        <f t="shared" si="3"/>
        <v>25</v>
      </c>
    </row>
    <row r="115" spans="1:6" x14ac:dyDescent="0.25">
      <c r="A115">
        <v>56</v>
      </c>
      <c r="B115" t="s">
        <v>490</v>
      </c>
      <c r="C115" t="s">
        <v>579</v>
      </c>
      <c r="D115">
        <v>113</v>
      </c>
      <c r="E115" t="str">
        <f t="shared" si="2"/>
        <v>RB</v>
      </c>
      <c r="F115">
        <f t="shared" si="3"/>
        <v>18</v>
      </c>
    </row>
    <row r="116" spans="1:6" x14ac:dyDescent="0.25">
      <c r="A116">
        <v>123</v>
      </c>
      <c r="B116" t="s">
        <v>354</v>
      </c>
      <c r="C116" t="s">
        <v>646</v>
      </c>
      <c r="D116">
        <v>114</v>
      </c>
      <c r="E116" t="str">
        <f t="shared" si="2"/>
        <v>QB</v>
      </c>
      <c r="F116">
        <f t="shared" si="3"/>
        <v>17</v>
      </c>
    </row>
    <row r="117" spans="1:6" x14ac:dyDescent="0.25">
      <c r="A117">
        <v>124</v>
      </c>
      <c r="B117" t="s">
        <v>481</v>
      </c>
      <c r="C117" t="s">
        <v>647</v>
      </c>
      <c r="D117">
        <v>115</v>
      </c>
      <c r="E117" t="str">
        <f t="shared" si="2"/>
        <v>WR</v>
      </c>
      <c r="F117">
        <f t="shared" si="3"/>
        <v>52</v>
      </c>
    </row>
    <row r="118" spans="1:6" x14ac:dyDescent="0.25">
      <c r="A118">
        <v>125</v>
      </c>
      <c r="B118" t="s">
        <v>244</v>
      </c>
      <c r="C118" t="s">
        <v>648</v>
      </c>
      <c r="D118">
        <v>116</v>
      </c>
      <c r="E118" t="str">
        <f t="shared" si="2"/>
        <v>RB</v>
      </c>
      <c r="F118">
        <f t="shared" si="3"/>
        <v>41</v>
      </c>
    </row>
    <row r="119" spans="1:6" x14ac:dyDescent="0.25">
      <c r="A119">
        <v>60</v>
      </c>
      <c r="B119" t="s">
        <v>107</v>
      </c>
      <c r="C119" t="s">
        <v>583</v>
      </c>
      <c r="D119">
        <v>117</v>
      </c>
      <c r="E119" t="str">
        <f t="shared" si="2"/>
        <v>WR</v>
      </c>
      <c r="F119">
        <f t="shared" si="3"/>
        <v>28</v>
      </c>
    </row>
    <row r="120" spans="1:6" x14ac:dyDescent="0.25">
      <c r="A120">
        <v>61</v>
      </c>
      <c r="B120" t="s">
        <v>74</v>
      </c>
      <c r="C120" t="s">
        <v>584</v>
      </c>
      <c r="D120">
        <v>118</v>
      </c>
      <c r="E120" t="str">
        <f t="shared" si="2"/>
        <v>TE</v>
      </c>
      <c r="F120">
        <f t="shared" si="3"/>
        <v>7</v>
      </c>
    </row>
    <row r="121" spans="1:6" x14ac:dyDescent="0.25">
      <c r="A121">
        <v>126</v>
      </c>
      <c r="B121" t="s">
        <v>349</v>
      </c>
      <c r="C121" t="s">
        <v>649</v>
      </c>
      <c r="D121">
        <v>119</v>
      </c>
      <c r="E121" t="str">
        <f t="shared" si="2"/>
        <v>QB</v>
      </c>
      <c r="F121">
        <f t="shared" si="3"/>
        <v>18</v>
      </c>
    </row>
    <row r="122" spans="1:6" x14ac:dyDescent="0.25">
      <c r="A122">
        <v>127</v>
      </c>
      <c r="B122" t="s">
        <v>401</v>
      </c>
      <c r="C122" t="s">
        <v>650</v>
      </c>
      <c r="D122">
        <v>120</v>
      </c>
      <c r="E122" t="str">
        <f t="shared" si="2"/>
        <v>RB</v>
      </c>
      <c r="F122">
        <f t="shared" si="3"/>
        <v>42</v>
      </c>
    </row>
    <row r="123" spans="1:6" x14ac:dyDescent="0.25">
      <c r="A123">
        <v>128</v>
      </c>
      <c r="B123" t="s">
        <v>133</v>
      </c>
      <c r="C123" t="s">
        <v>651</v>
      </c>
      <c r="D123">
        <v>121</v>
      </c>
      <c r="E123" t="str">
        <f t="shared" si="2"/>
        <v>WR</v>
      </c>
      <c r="F123">
        <f t="shared" si="3"/>
        <v>53</v>
      </c>
    </row>
    <row r="124" spans="1:6" x14ac:dyDescent="0.25">
      <c r="A124">
        <v>63</v>
      </c>
      <c r="B124" t="s">
        <v>494</v>
      </c>
      <c r="C124" t="s">
        <v>586</v>
      </c>
      <c r="D124">
        <v>122</v>
      </c>
      <c r="E124" t="str">
        <f t="shared" si="2"/>
        <v>RB</v>
      </c>
      <c r="F124">
        <f t="shared" si="3"/>
        <v>20</v>
      </c>
    </row>
    <row r="125" spans="1:6" x14ac:dyDescent="0.25">
      <c r="A125">
        <v>129</v>
      </c>
      <c r="B125" t="s">
        <v>237</v>
      </c>
      <c r="C125" t="s">
        <v>652</v>
      </c>
      <c r="D125">
        <v>123</v>
      </c>
      <c r="E125" t="str">
        <f t="shared" si="2"/>
        <v>RB</v>
      </c>
      <c r="F125">
        <f t="shared" si="3"/>
        <v>43</v>
      </c>
    </row>
    <row r="126" spans="1:6" x14ac:dyDescent="0.25">
      <c r="A126">
        <v>130</v>
      </c>
      <c r="B126" t="s">
        <v>277</v>
      </c>
      <c r="C126" t="s">
        <v>653</v>
      </c>
      <c r="D126">
        <v>124</v>
      </c>
      <c r="E126" t="str">
        <f t="shared" si="2"/>
        <v>RB</v>
      </c>
      <c r="F126">
        <f t="shared" si="3"/>
        <v>44</v>
      </c>
    </row>
    <row r="127" spans="1:6" x14ac:dyDescent="0.25">
      <c r="A127">
        <v>65</v>
      </c>
      <c r="B127" t="s">
        <v>92</v>
      </c>
      <c r="C127" t="s">
        <v>588</v>
      </c>
      <c r="D127">
        <v>125</v>
      </c>
      <c r="E127" t="str">
        <f t="shared" si="2"/>
        <v>TE</v>
      </c>
      <c r="F127">
        <f t="shared" si="3"/>
        <v>8</v>
      </c>
    </row>
    <row r="128" spans="1:6" x14ac:dyDescent="0.25">
      <c r="A128">
        <v>66</v>
      </c>
      <c r="B128" t="s">
        <v>40</v>
      </c>
      <c r="C128" t="s">
        <v>589</v>
      </c>
      <c r="D128">
        <v>126</v>
      </c>
      <c r="E128" t="str">
        <f t="shared" si="2"/>
        <v>TE</v>
      </c>
      <c r="F128">
        <f t="shared" si="3"/>
        <v>9</v>
      </c>
    </row>
    <row r="129" spans="1:6" x14ac:dyDescent="0.25">
      <c r="A129">
        <v>68</v>
      </c>
      <c r="B129" t="s">
        <v>236</v>
      </c>
      <c r="C129" t="s">
        <v>591</v>
      </c>
      <c r="D129">
        <v>127</v>
      </c>
      <c r="E129" t="str">
        <f t="shared" si="2"/>
        <v>RB</v>
      </c>
      <c r="F129">
        <f t="shared" si="3"/>
        <v>22</v>
      </c>
    </row>
    <row r="130" spans="1:6" x14ac:dyDescent="0.25">
      <c r="A130">
        <v>131</v>
      </c>
      <c r="B130" t="s">
        <v>185</v>
      </c>
      <c r="C130" t="s">
        <v>654</v>
      </c>
      <c r="D130">
        <v>128</v>
      </c>
      <c r="E130" t="str">
        <f t="shared" si="2"/>
        <v>WR</v>
      </c>
      <c r="F130">
        <f t="shared" si="3"/>
        <v>54</v>
      </c>
    </row>
    <row r="131" spans="1:6" x14ac:dyDescent="0.25">
      <c r="A131">
        <v>71</v>
      </c>
      <c r="B131" t="s">
        <v>355</v>
      </c>
      <c r="C131" t="s">
        <v>594</v>
      </c>
      <c r="D131">
        <v>129</v>
      </c>
      <c r="E131" t="str">
        <f t="shared" si="2"/>
        <v>QB</v>
      </c>
      <c r="F131">
        <f t="shared" si="3"/>
        <v>8</v>
      </c>
    </row>
    <row r="132" spans="1:6" x14ac:dyDescent="0.25">
      <c r="A132">
        <v>72</v>
      </c>
      <c r="B132" t="s">
        <v>111</v>
      </c>
      <c r="C132" t="s">
        <v>595</v>
      </c>
      <c r="D132">
        <v>130</v>
      </c>
      <c r="E132" t="str">
        <f t="shared" ref="E132:E195" si="4">LEFT(C132,2)</f>
        <v>WR</v>
      </c>
      <c r="F132">
        <f t="shared" ref="F132:F195" si="5">VALUE(MID(C132,3,LEN(C132)))</f>
        <v>32</v>
      </c>
    </row>
    <row r="133" spans="1:6" x14ac:dyDescent="0.25">
      <c r="A133">
        <v>132</v>
      </c>
      <c r="B133" t="s">
        <v>655</v>
      </c>
      <c r="C133" t="s">
        <v>656</v>
      </c>
      <c r="D133">
        <v>131</v>
      </c>
      <c r="E133" t="str">
        <f t="shared" si="4"/>
        <v>RB</v>
      </c>
      <c r="F133">
        <f t="shared" si="5"/>
        <v>45</v>
      </c>
    </row>
    <row r="134" spans="1:6" x14ac:dyDescent="0.25">
      <c r="A134">
        <v>77</v>
      </c>
      <c r="B134" t="s">
        <v>139</v>
      </c>
      <c r="C134" t="s">
        <v>600</v>
      </c>
      <c r="D134">
        <v>132</v>
      </c>
      <c r="E134" t="str">
        <f t="shared" si="4"/>
        <v>WR</v>
      </c>
      <c r="F134">
        <f t="shared" si="5"/>
        <v>35</v>
      </c>
    </row>
    <row r="135" spans="1:6" x14ac:dyDescent="0.25">
      <c r="A135">
        <v>133</v>
      </c>
      <c r="B135" t="s">
        <v>334</v>
      </c>
      <c r="C135" t="s">
        <v>657</v>
      </c>
      <c r="D135">
        <v>133</v>
      </c>
      <c r="E135" t="str">
        <f t="shared" si="4"/>
        <v>QB</v>
      </c>
      <c r="F135">
        <f t="shared" si="5"/>
        <v>19</v>
      </c>
    </row>
    <row r="136" spans="1:6" x14ac:dyDescent="0.25">
      <c r="A136">
        <v>134</v>
      </c>
      <c r="B136" t="s">
        <v>136</v>
      </c>
      <c r="C136" t="s">
        <v>658</v>
      </c>
      <c r="D136">
        <v>134</v>
      </c>
      <c r="E136" t="str">
        <f t="shared" si="4"/>
        <v>WR</v>
      </c>
      <c r="F136">
        <f t="shared" si="5"/>
        <v>55</v>
      </c>
    </row>
    <row r="137" spans="1:6" x14ac:dyDescent="0.25">
      <c r="A137">
        <v>135</v>
      </c>
      <c r="B137" t="s">
        <v>346</v>
      </c>
      <c r="C137" t="s">
        <v>659</v>
      </c>
      <c r="D137">
        <v>135</v>
      </c>
      <c r="E137" t="str">
        <f t="shared" si="4"/>
        <v>QB</v>
      </c>
      <c r="F137">
        <f t="shared" si="5"/>
        <v>20</v>
      </c>
    </row>
    <row r="138" spans="1:6" x14ac:dyDescent="0.25">
      <c r="A138">
        <v>136</v>
      </c>
      <c r="B138" t="s">
        <v>466</v>
      </c>
      <c r="C138" t="s">
        <v>660</v>
      </c>
      <c r="D138">
        <v>136</v>
      </c>
      <c r="E138" t="str">
        <f t="shared" si="4"/>
        <v>WR</v>
      </c>
      <c r="F138">
        <f t="shared" si="5"/>
        <v>56</v>
      </c>
    </row>
    <row r="139" spans="1:6" x14ac:dyDescent="0.25">
      <c r="A139">
        <v>137</v>
      </c>
      <c r="B139" t="s">
        <v>289</v>
      </c>
      <c r="C139" t="s">
        <v>661</v>
      </c>
      <c r="D139">
        <v>137</v>
      </c>
      <c r="E139" t="str">
        <f t="shared" si="4"/>
        <v>RB</v>
      </c>
      <c r="F139">
        <f t="shared" si="5"/>
        <v>46</v>
      </c>
    </row>
    <row r="140" spans="1:6" x14ac:dyDescent="0.25">
      <c r="A140">
        <v>138</v>
      </c>
      <c r="B140" t="s">
        <v>414</v>
      </c>
      <c r="C140" t="s">
        <v>662</v>
      </c>
      <c r="D140">
        <v>138</v>
      </c>
      <c r="E140" t="str">
        <f t="shared" si="4"/>
        <v>WR</v>
      </c>
      <c r="F140">
        <f t="shared" si="5"/>
        <v>57</v>
      </c>
    </row>
    <row r="141" spans="1:6" x14ac:dyDescent="0.25">
      <c r="A141">
        <v>139</v>
      </c>
      <c r="B141" t="s">
        <v>511</v>
      </c>
      <c r="C141" t="s">
        <v>663</v>
      </c>
      <c r="D141">
        <v>139</v>
      </c>
      <c r="E141" t="str">
        <f t="shared" si="4"/>
        <v>QB</v>
      </c>
      <c r="F141">
        <f t="shared" si="5"/>
        <v>21</v>
      </c>
    </row>
    <row r="142" spans="1:6" x14ac:dyDescent="0.25">
      <c r="A142">
        <v>140</v>
      </c>
      <c r="B142" t="s">
        <v>664</v>
      </c>
      <c r="C142" t="s">
        <v>665</v>
      </c>
      <c r="D142">
        <v>140</v>
      </c>
      <c r="E142" t="str">
        <f t="shared" si="4"/>
        <v>RB</v>
      </c>
      <c r="F142">
        <f t="shared" si="5"/>
        <v>47</v>
      </c>
    </row>
    <row r="143" spans="1:6" x14ac:dyDescent="0.25">
      <c r="A143">
        <v>189</v>
      </c>
      <c r="B143" t="s">
        <v>375</v>
      </c>
      <c r="C143" t="s">
        <v>720</v>
      </c>
      <c r="D143">
        <v>141</v>
      </c>
      <c r="E143" t="str">
        <f t="shared" si="4"/>
        <v>QB</v>
      </c>
      <c r="F143">
        <f t="shared" si="5"/>
        <v>27</v>
      </c>
    </row>
    <row r="144" spans="1:6" x14ac:dyDescent="0.25">
      <c r="A144">
        <v>89</v>
      </c>
      <c r="B144" t="s">
        <v>29</v>
      </c>
      <c r="C144" t="s">
        <v>612</v>
      </c>
      <c r="D144">
        <v>142</v>
      </c>
      <c r="E144" t="str">
        <f t="shared" si="4"/>
        <v>TE</v>
      </c>
      <c r="F144">
        <f t="shared" si="5"/>
        <v>11</v>
      </c>
    </row>
    <row r="145" spans="1:6" x14ac:dyDescent="0.25">
      <c r="A145">
        <v>141</v>
      </c>
      <c r="B145" t="s">
        <v>908</v>
      </c>
      <c r="C145" t="s">
        <v>666</v>
      </c>
      <c r="D145">
        <v>143</v>
      </c>
      <c r="E145" t="str">
        <f t="shared" si="4"/>
        <v>WR</v>
      </c>
      <c r="F145">
        <f t="shared" si="5"/>
        <v>58</v>
      </c>
    </row>
    <row r="146" spans="1:6" x14ac:dyDescent="0.25">
      <c r="A146">
        <v>142</v>
      </c>
      <c r="B146" t="s">
        <v>411</v>
      </c>
      <c r="C146" t="s">
        <v>667</v>
      </c>
      <c r="D146">
        <v>144</v>
      </c>
      <c r="E146" t="str">
        <f t="shared" si="4"/>
        <v>WR</v>
      </c>
      <c r="F146">
        <f t="shared" si="5"/>
        <v>59</v>
      </c>
    </row>
    <row r="147" spans="1:6" x14ac:dyDescent="0.25">
      <c r="A147">
        <v>190</v>
      </c>
      <c r="B147" t="s">
        <v>468</v>
      </c>
      <c r="C147" t="s">
        <v>721</v>
      </c>
      <c r="D147">
        <v>145</v>
      </c>
      <c r="E147" t="str">
        <f t="shared" si="4"/>
        <v>WR</v>
      </c>
      <c r="F147">
        <f t="shared" si="5"/>
        <v>72</v>
      </c>
    </row>
    <row r="148" spans="1:6" x14ac:dyDescent="0.25">
      <c r="A148">
        <v>91</v>
      </c>
      <c r="B148" t="s">
        <v>265</v>
      </c>
      <c r="C148" t="s">
        <v>614</v>
      </c>
      <c r="D148">
        <v>146</v>
      </c>
      <c r="E148" t="str">
        <f t="shared" si="4"/>
        <v>RB</v>
      </c>
      <c r="F148">
        <f t="shared" si="5"/>
        <v>30</v>
      </c>
    </row>
    <row r="149" spans="1:6" x14ac:dyDescent="0.25">
      <c r="A149">
        <v>143</v>
      </c>
      <c r="B149" t="s">
        <v>259</v>
      </c>
      <c r="C149" t="s">
        <v>668</v>
      </c>
      <c r="D149">
        <v>147</v>
      </c>
      <c r="E149" t="str">
        <f t="shared" si="4"/>
        <v>RB</v>
      </c>
      <c r="F149">
        <f t="shared" si="5"/>
        <v>48</v>
      </c>
    </row>
    <row r="150" spans="1:6" x14ac:dyDescent="0.25">
      <c r="A150">
        <v>144</v>
      </c>
      <c r="B150" t="s">
        <v>421</v>
      </c>
      <c r="C150" t="s">
        <v>669</v>
      </c>
      <c r="D150">
        <v>148</v>
      </c>
      <c r="E150" t="str">
        <f t="shared" si="4"/>
        <v>WR</v>
      </c>
      <c r="F150">
        <f t="shared" si="5"/>
        <v>60</v>
      </c>
    </row>
    <row r="151" spans="1:6" x14ac:dyDescent="0.25">
      <c r="A151">
        <v>145</v>
      </c>
      <c r="B151" t="s">
        <v>395</v>
      </c>
      <c r="C151" t="s">
        <v>670</v>
      </c>
      <c r="D151">
        <v>149</v>
      </c>
      <c r="E151" t="str">
        <f t="shared" si="4"/>
        <v>RB</v>
      </c>
      <c r="F151">
        <f t="shared" si="5"/>
        <v>49</v>
      </c>
    </row>
    <row r="152" spans="1:6" x14ac:dyDescent="0.25">
      <c r="A152">
        <v>146</v>
      </c>
      <c r="B152" t="s">
        <v>378</v>
      </c>
      <c r="C152" t="s">
        <v>671</v>
      </c>
      <c r="D152">
        <v>150</v>
      </c>
      <c r="E152" t="str">
        <f t="shared" si="4"/>
        <v>QB</v>
      </c>
      <c r="F152">
        <f t="shared" si="5"/>
        <v>22</v>
      </c>
    </row>
    <row r="153" spans="1:6" x14ac:dyDescent="0.25">
      <c r="A153">
        <v>147</v>
      </c>
      <c r="B153" t="s">
        <v>422</v>
      </c>
      <c r="C153" t="s">
        <v>672</v>
      </c>
      <c r="D153">
        <v>151</v>
      </c>
      <c r="E153" t="str">
        <f t="shared" si="4"/>
        <v>WR</v>
      </c>
      <c r="F153">
        <f t="shared" si="5"/>
        <v>61</v>
      </c>
    </row>
    <row r="154" spans="1:6" x14ac:dyDescent="0.25">
      <c r="A154">
        <v>148</v>
      </c>
      <c r="B154" t="s">
        <v>76</v>
      </c>
      <c r="C154" t="s">
        <v>673</v>
      </c>
      <c r="D154">
        <v>152</v>
      </c>
      <c r="E154" t="str">
        <f t="shared" si="4"/>
        <v>TE</v>
      </c>
      <c r="F154">
        <f t="shared" si="5"/>
        <v>16</v>
      </c>
    </row>
    <row r="155" spans="1:6" x14ac:dyDescent="0.25">
      <c r="A155">
        <v>149</v>
      </c>
      <c r="B155" t="s">
        <v>36</v>
      </c>
      <c r="C155" t="s">
        <v>674</v>
      </c>
      <c r="D155">
        <v>153</v>
      </c>
      <c r="E155" t="str">
        <f t="shared" si="4"/>
        <v>TE</v>
      </c>
      <c r="F155">
        <f t="shared" si="5"/>
        <v>17</v>
      </c>
    </row>
    <row r="156" spans="1:6" x14ac:dyDescent="0.25">
      <c r="A156">
        <v>150</v>
      </c>
      <c r="B156" t="s">
        <v>396</v>
      </c>
      <c r="C156" t="s">
        <v>675</v>
      </c>
      <c r="D156">
        <v>154</v>
      </c>
      <c r="E156" t="str">
        <f t="shared" si="4"/>
        <v>RB</v>
      </c>
      <c r="F156">
        <f t="shared" si="5"/>
        <v>50</v>
      </c>
    </row>
    <row r="157" spans="1:6" x14ac:dyDescent="0.25">
      <c r="A157">
        <v>151</v>
      </c>
      <c r="B157" t="s">
        <v>214</v>
      </c>
      <c r="C157" t="s">
        <v>676</v>
      </c>
      <c r="D157">
        <v>155</v>
      </c>
      <c r="E157" t="str">
        <f t="shared" si="4"/>
        <v>WR</v>
      </c>
      <c r="F157">
        <f t="shared" si="5"/>
        <v>62</v>
      </c>
    </row>
    <row r="158" spans="1:6" x14ac:dyDescent="0.25">
      <c r="A158">
        <v>152</v>
      </c>
      <c r="B158" t="s">
        <v>178</v>
      </c>
      <c r="C158" t="s">
        <v>677</v>
      </c>
      <c r="D158">
        <v>156</v>
      </c>
      <c r="E158" t="str">
        <f t="shared" si="4"/>
        <v>WR</v>
      </c>
      <c r="F158">
        <f t="shared" si="5"/>
        <v>63</v>
      </c>
    </row>
    <row r="159" spans="1:6" x14ac:dyDescent="0.25">
      <c r="A159">
        <v>153</v>
      </c>
      <c r="B159" t="s">
        <v>62</v>
      </c>
      <c r="C159" t="s">
        <v>678</v>
      </c>
      <c r="D159">
        <v>157</v>
      </c>
      <c r="E159" t="str">
        <f t="shared" si="4"/>
        <v>TE</v>
      </c>
      <c r="F159">
        <f t="shared" si="5"/>
        <v>18</v>
      </c>
    </row>
    <row r="160" spans="1:6" x14ac:dyDescent="0.25">
      <c r="A160">
        <v>154</v>
      </c>
      <c r="B160" t="s">
        <v>87</v>
      </c>
      <c r="C160" t="s">
        <v>679</v>
      </c>
      <c r="D160">
        <v>158</v>
      </c>
      <c r="E160" t="str">
        <f t="shared" si="4"/>
        <v>TE</v>
      </c>
      <c r="F160">
        <f t="shared" si="5"/>
        <v>19</v>
      </c>
    </row>
    <row r="161" spans="1:6" x14ac:dyDescent="0.25">
      <c r="A161">
        <v>155</v>
      </c>
      <c r="B161" t="s">
        <v>292</v>
      </c>
      <c r="C161" t="s">
        <v>680</v>
      </c>
      <c r="D161">
        <v>159</v>
      </c>
      <c r="E161" t="str">
        <f t="shared" si="4"/>
        <v>RB</v>
      </c>
      <c r="F161">
        <f t="shared" si="5"/>
        <v>51</v>
      </c>
    </row>
    <row r="162" spans="1:6" x14ac:dyDescent="0.25">
      <c r="A162">
        <v>192</v>
      </c>
      <c r="B162" t="s">
        <v>165</v>
      </c>
      <c r="C162" t="s">
        <v>723</v>
      </c>
      <c r="D162">
        <v>160</v>
      </c>
      <c r="E162" t="str">
        <f t="shared" si="4"/>
        <v>WR</v>
      </c>
      <c r="F162">
        <f t="shared" si="5"/>
        <v>74</v>
      </c>
    </row>
    <row r="163" spans="1:6" x14ac:dyDescent="0.25">
      <c r="A163">
        <v>156</v>
      </c>
      <c r="B163" t="s">
        <v>394</v>
      </c>
      <c r="C163" t="s">
        <v>681</v>
      </c>
      <c r="D163">
        <v>161</v>
      </c>
      <c r="E163" t="str">
        <f t="shared" si="4"/>
        <v>RB</v>
      </c>
      <c r="F163">
        <f t="shared" si="5"/>
        <v>52</v>
      </c>
    </row>
    <row r="164" spans="1:6" x14ac:dyDescent="0.25">
      <c r="A164">
        <v>157</v>
      </c>
      <c r="B164" t="s">
        <v>352</v>
      </c>
      <c r="C164" t="s">
        <v>682</v>
      </c>
      <c r="D164">
        <v>162</v>
      </c>
      <c r="E164" t="str">
        <f t="shared" si="4"/>
        <v>QB</v>
      </c>
      <c r="F164">
        <f t="shared" si="5"/>
        <v>23</v>
      </c>
    </row>
    <row r="165" spans="1:6" x14ac:dyDescent="0.25">
      <c r="A165">
        <v>158</v>
      </c>
      <c r="B165" t="s">
        <v>189</v>
      </c>
      <c r="C165" t="s">
        <v>683</v>
      </c>
      <c r="D165">
        <v>163</v>
      </c>
      <c r="E165" t="str">
        <f t="shared" si="4"/>
        <v>WR</v>
      </c>
      <c r="F165">
        <f t="shared" si="5"/>
        <v>64</v>
      </c>
    </row>
    <row r="166" spans="1:6" x14ac:dyDescent="0.25">
      <c r="A166">
        <v>159</v>
      </c>
      <c r="B166" t="s">
        <v>251</v>
      </c>
      <c r="C166" t="s">
        <v>684</v>
      </c>
      <c r="D166">
        <v>164</v>
      </c>
      <c r="E166" t="str">
        <f t="shared" si="4"/>
        <v>RB</v>
      </c>
      <c r="F166">
        <f t="shared" si="5"/>
        <v>53</v>
      </c>
    </row>
    <row r="167" spans="1:6" x14ac:dyDescent="0.25">
      <c r="A167">
        <v>196</v>
      </c>
      <c r="B167" t="s">
        <v>425</v>
      </c>
      <c r="C167" t="s">
        <v>727</v>
      </c>
      <c r="D167">
        <v>165</v>
      </c>
      <c r="E167" t="str">
        <f t="shared" si="4"/>
        <v>WR</v>
      </c>
      <c r="F167">
        <f t="shared" si="5"/>
        <v>76</v>
      </c>
    </row>
    <row r="168" spans="1:6" x14ac:dyDescent="0.25">
      <c r="A168">
        <v>160</v>
      </c>
      <c r="B168" t="s">
        <v>451</v>
      </c>
      <c r="C168" t="s">
        <v>685</v>
      </c>
      <c r="D168">
        <v>166</v>
      </c>
      <c r="E168" t="str">
        <f t="shared" si="4"/>
        <v>TE</v>
      </c>
      <c r="F168">
        <f t="shared" si="5"/>
        <v>20</v>
      </c>
    </row>
    <row r="169" spans="1:6" x14ac:dyDescent="0.25">
      <c r="A169">
        <v>161</v>
      </c>
      <c r="B169" t="s">
        <v>686</v>
      </c>
      <c r="C169" t="s">
        <v>687</v>
      </c>
      <c r="D169">
        <v>167</v>
      </c>
      <c r="E169" t="str">
        <f t="shared" si="4"/>
        <v>WR</v>
      </c>
      <c r="F169">
        <f t="shared" si="5"/>
        <v>65</v>
      </c>
    </row>
    <row r="170" spans="1:6" x14ac:dyDescent="0.25">
      <c r="A170">
        <v>162</v>
      </c>
      <c r="B170" t="s">
        <v>492</v>
      </c>
      <c r="C170" t="s">
        <v>688</v>
      </c>
      <c r="D170">
        <v>168</v>
      </c>
      <c r="E170" t="str">
        <f t="shared" si="4"/>
        <v>RB</v>
      </c>
      <c r="F170">
        <f t="shared" si="5"/>
        <v>54</v>
      </c>
    </row>
    <row r="171" spans="1:6" x14ac:dyDescent="0.25">
      <c r="A171">
        <v>163</v>
      </c>
      <c r="B171" t="s">
        <v>264</v>
      </c>
      <c r="C171" t="s">
        <v>689</v>
      </c>
      <c r="D171">
        <v>169</v>
      </c>
      <c r="E171" t="str">
        <f t="shared" si="4"/>
        <v>RB</v>
      </c>
      <c r="F171">
        <f t="shared" si="5"/>
        <v>55</v>
      </c>
    </row>
    <row r="172" spans="1:6" x14ac:dyDescent="0.25">
      <c r="A172">
        <v>164</v>
      </c>
      <c r="B172" t="s">
        <v>96</v>
      </c>
      <c r="C172" t="s">
        <v>690</v>
      </c>
      <c r="D172">
        <v>170</v>
      </c>
      <c r="E172" t="str">
        <f t="shared" si="4"/>
        <v>TE</v>
      </c>
      <c r="F172">
        <f t="shared" si="5"/>
        <v>21</v>
      </c>
    </row>
    <row r="173" spans="1:6" x14ac:dyDescent="0.25">
      <c r="A173">
        <v>165</v>
      </c>
      <c r="B173" t="s">
        <v>460</v>
      </c>
      <c r="C173" t="s">
        <v>691</v>
      </c>
      <c r="D173">
        <v>171</v>
      </c>
      <c r="E173" t="str">
        <f t="shared" si="4"/>
        <v>WR</v>
      </c>
      <c r="F173">
        <f t="shared" si="5"/>
        <v>66</v>
      </c>
    </row>
    <row r="174" spans="1:6" x14ac:dyDescent="0.25">
      <c r="A174">
        <v>166</v>
      </c>
      <c r="B174" t="s">
        <v>506</v>
      </c>
      <c r="C174" t="s">
        <v>692</v>
      </c>
      <c r="D174">
        <v>172</v>
      </c>
      <c r="E174" t="str">
        <f t="shared" si="4"/>
        <v>QB</v>
      </c>
      <c r="F174">
        <f t="shared" si="5"/>
        <v>24</v>
      </c>
    </row>
    <row r="175" spans="1:6" x14ac:dyDescent="0.25">
      <c r="A175">
        <v>167</v>
      </c>
      <c r="B175" t="s">
        <v>98</v>
      </c>
      <c r="C175" t="s">
        <v>693</v>
      </c>
      <c r="D175">
        <v>173</v>
      </c>
      <c r="E175" t="str">
        <f t="shared" si="4"/>
        <v>TE</v>
      </c>
      <c r="F175">
        <f t="shared" si="5"/>
        <v>22</v>
      </c>
    </row>
    <row r="176" spans="1:6" x14ac:dyDescent="0.25">
      <c r="A176">
        <v>168</v>
      </c>
      <c r="B176" t="s">
        <v>229</v>
      </c>
      <c r="C176" t="s">
        <v>694</v>
      </c>
      <c r="D176">
        <v>174</v>
      </c>
      <c r="E176" t="str">
        <f t="shared" si="4"/>
        <v>RB</v>
      </c>
      <c r="F176">
        <f t="shared" si="5"/>
        <v>56</v>
      </c>
    </row>
    <row r="177" spans="1:6" x14ac:dyDescent="0.25">
      <c r="A177">
        <v>169</v>
      </c>
      <c r="B177" t="s">
        <v>100</v>
      </c>
      <c r="C177" t="s">
        <v>695</v>
      </c>
      <c r="D177">
        <v>175</v>
      </c>
      <c r="E177" t="str">
        <f t="shared" si="4"/>
        <v>WR</v>
      </c>
      <c r="F177">
        <f t="shared" si="5"/>
        <v>67</v>
      </c>
    </row>
    <row r="178" spans="1:6" x14ac:dyDescent="0.25">
      <c r="A178">
        <v>198</v>
      </c>
      <c r="B178" t="s">
        <v>467</v>
      </c>
      <c r="C178" t="s">
        <v>729</v>
      </c>
      <c r="D178">
        <v>176</v>
      </c>
      <c r="E178" t="str">
        <f t="shared" si="4"/>
        <v>WR</v>
      </c>
      <c r="F178">
        <f t="shared" si="5"/>
        <v>78</v>
      </c>
    </row>
    <row r="179" spans="1:6" x14ac:dyDescent="0.25">
      <c r="A179">
        <v>199</v>
      </c>
      <c r="B179" t="s">
        <v>132</v>
      </c>
      <c r="C179" t="s">
        <v>730</v>
      </c>
      <c r="D179">
        <v>177</v>
      </c>
      <c r="E179" t="str">
        <f t="shared" si="4"/>
        <v>WR</v>
      </c>
      <c r="F179">
        <f t="shared" si="5"/>
        <v>79</v>
      </c>
    </row>
    <row r="180" spans="1:6" x14ac:dyDescent="0.25">
      <c r="A180">
        <v>170</v>
      </c>
      <c r="B180" t="s">
        <v>696</v>
      </c>
      <c r="C180" t="s">
        <v>697</v>
      </c>
      <c r="D180">
        <v>178</v>
      </c>
      <c r="E180" t="str">
        <f t="shared" si="4"/>
        <v>TE</v>
      </c>
      <c r="F180">
        <f t="shared" si="5"/>
        <v>23</v>
      </c>
    </row>
    <row r="181" spans="1:6" x14ac:dyDescent="0.25">
      <c r="A181">
        <v>200</v>
      </c>
      <c r="B181" t="s">
        <v>300</v>
      </c>
      <c r="C181" t="s">
        <v>731</v>
      </c>
      <c r="D181">
        <v>179</v>
      </c>
      <c r="E181" t="str">
        <f t="shared" si="4"/>
        <v>RB</v>
      </c>
      <c r="F181">
        <f t="shared" si="5"/>
        <v>66</v>
      </c>
    </row>
    <row r="182" spans="1:6" x14ac:dyDescent="0.25">
      <c r="A182">
        <v>201</v>
      </c>
      <c r="B182" t="s">
        <v>127</v>
      </c>
      <c r="C182" t="s">
        <v>732</v>
      </c>
      <c r="D182">
        <v>180</v>
      </c>
      <c r="E182" t="str">
        <f t="shared" si="4"/>
        <v>WR</v>
      </c>
      <c r="F182">
        <f t="shared" si="5"/>
        <v>80</v>
      </c>
    </row>
    <row r="183" spans="1:6" x14ac:dyDescent="0.25">
      <c r="A183">
        <v>202</v>
      </c>
      <c r="B183" t="s">
        <v>499</v>
      </c>
      <c r="C183" t="s">
        <v>733</v>
      </c>
      <c r="D183">
        <v>181</v>
      </c>
      <c r="E183" t="str">
        <f t="shared" si="4"/>
        <v>RB</v>
      </c>
      <c r="F183">
        <f t="shared" si="5"/>
        <v>67</v>
      </c>
    </row>
    <row r="184" spans="1:6" x14ac:dyDescent="0.25">
      <c r="A184">
        <v>171</v>
      </c>
      <c r="B184" t="s">
        <v>454</v>
      </c>
      <c r="C184" t="s">
        <v>698</v>
      </c>
      <c r="D184">
        <v>182</v>
      </c>
      <c r="E184" t="str">
        <f t="shared" si="4"/>
        <v>TE</v>
      </c>
      <c r="F184">
        <f t="shared" si="5"/>
        <v>24</v>
      </c>
    </row>
    <row r="185" spans="1:6" x14ac:dyDescent="0.25">
      <c r="A185">
        <v>203</v>
      </c>
      <c r="B185" t="s">
        <v>350</v>
      </c>
      <c r="C185" t="s">
        <v>734</v>
      </c>
      <c r="D185">
        <v>183</v>
      </c>
      <c r="E185" t="str">
        <f t="shared" si="4"/>
        <v>QB</v>
      </c>
      <c r="F185">
        <f t="shared" si="5"/>
        <v>28</v>
      </c>
    </row>
    <row r="186" spans="1:6" x14ac:dyDescent="0.25">
      <c r="A186">
        <v>204</v>
      </c>
      <c r="B186" t="s">
        <v>461</v>
      </c>
      <c r="C186" t="s">
        <v>735</v>
      </c>
      <c r="D186">
        <v>184</v>
      </c>
      <c r="E186" t="str">
        <f t="shared" si="4"/>
        <v>WR</v>
      </c>
      <c r="F186">
        <f t="shared" si="5"/>
        <v>81</v>
      </c>
    </row>
    <row r="187" spans="1:6" x14ac:dyDescent="0.25">
      <c r="A187">
        <v>172</v>
      </c>
      <c r="B187" t="s">
        <v>258</v>
      </c>
      <c r="C187" t="s">
        <v>699</v>
      </c>
      <c r="D187">
        <v>185</v>
      </c>
      <c r="E187" t="str">
        <f t="shared" si="4"/>
        <v>RB</v>
      </c>
      <c r="F187">
        <f t="shared" si="5"/>
        <v>57</v>
      </c>
    </row>
    <row r="188" spans="1:6" x14ac:dyDescent="0.25">
      <c r="A188">
        <v>173</v>
      </c>
      <c r="B188" t="s">
        <v>343</v>
      </c>
      <c r="C188" t="s">
        <v>700</v>
      </c>
      <c r="D188">
        <v>186</v>
      </c>
      <c r="E188" t="str">
        <f t="shared" si="4"/>
        <v>QB</v>
      </c>
      <c r="F188">
        <f t="shared" si="5"/>
        <v>25</v>
      </c>
    </row>
    <row r="189" spans="1:6" x14ac:dyDescent="0.25">
      <c r="A189">
        <v>174</v>
      </c>
      <c r="B189" t="s">
        <v>701</v>
      </c>
      <c r="C189" t="s">
        <v>702</v>
      </c>
      <c r="D189">
        <v>187</v>
      </c>
      <c r="E189" t="str">
        <f t="shared" si="4"/>
        <v>RB</v>
      </c>
      <c r="F189">
        <f t="shared" si="5"/>
        <v>58</v>
      </c>
    </row>
    <row r="190" spans="1:6" x14ac:dyDescent="0.25">
      <c r="A190">
        <v>205</v>
      </c>
      <c r="B190" t="s">
        <v>476</v>
      </c>
      <c r="C190" t="s">
        <v>736</v>
      </c>
      <c r="D190">
        <v>188</v>
      </c>
      <c r="E190" t="str">
        <f t="shared" si="4"/>
        <v>WR</v>
      </c>
      <c r="F190">
        <f t="shared" si="5"/>
        <v>82</v>
      </c>
    </row>
    <row r="191" spans="1:6" x14ac:dyDescent="0.25">
      <c r="A191">
        <v>175</v>
      </c>
      <c r="B191" t="s">
        <v>404</v>
      </c>
      <c r="C191" t="s">
        <v>703</v>
      </c>
      <c r="D191">
        <v>189</v>
      </c>
      <c r="E191" t="str">
        <f t="shared" si="4"/>
        <v>RB</v>
      </c>
      <c r="F191">
        <f t="shared" si="5"/>
        <v>59</v>
      </c>
    </row>
    <row r="192" spans="1:6" x14ac:dyDescent="0.25">
      <c r="A192">
        <v>206</v>
      </c>
      <c r="B192" t="s">
        <v>138</v>
      </c>
      <c r="C192" t="s">
        <v>737</v>
      </c>
      <c r="D192">
        <v>190</v>
      </c>
      <c r="E192" t="str">
        <f t="shared" si="4"/>
        <v>WR</v>
      </c>
      <c r="F192">
        <f t="shared" si="5"/>
        <v>83</v>
      </c>
    </row>
    <row r="193" spans="1:6" x14ac:dyDescent="0.25">
      <c r="A193">
        <v>176</v>
      </c>
      <c r="B193" t="s">
        <v>704</v>
      </c>
      <c r="C193" t="s">
        <v>705</v>
      </c>
      <c r="D193">
        <v>191</v>
      </c>
      <c r="E193" t="str">
        <f t="shared" si="4"/>
        <v>RB</v>
      </c>
      <c r="F193">
        <f t="shared" si="5"/>
        <v>60</v>
      </c>
    </row>
    <row r="194" spans="1:6" x14ac:dyDescent="0.25">
      <c r="A194">
        <v>207</v>
      </c>
      <c r="B194" t="s">
        <v>424</v>
      </c>
      <c r="C194" t="s">
        <v>738</v>
      </c>
      <c r="D194">
        <v>192</v>
      </c>
      <c r="E194" t="str">
        <f t="shared" si="4"/>
        <v>WR</v>
      </c>
      <c r="F194">
        <f t="shared" si="5"/>
        <v>84</v>
      </c>
    </row>
    <row r="195" spans="1:6" x14ac:dyDescent="0.25">
      <c r="A195">
        <v>208</v>
      </c>
      <c r="B195" t="s">
        <v>369</v>
      </c>
      <c r="C195" t="s">
        <v>739</v>
      </c>
      <c r="D195">
        <v>193</v>
      </c>
      <c r="E195" t="str">
        <f t="shared" si="4"/>
        <v>QB</v>
      </c>
      <c r="F195">
        <f t="shared" si="5"/>
        <v>29</v>
      </c>
    </row>
    <row r="196" spans="1:6" x14ac:dyDescent="0.25">
      <c r="A196">
        <v>177</v>
      </c>
      <c r="B196" t="s">
        <v>706</v>
      </c>
      <c r="C196" t="s">
        <v>707</v>
      </c>
      <c r="D196">
        <v>194</v>
      </c>
      <c r="E196" t="str">
        <f t="shared" ref="E196:E259" si="6">LEFT(C196,2)</f>
        <v>RB</v>
      </c>
      <c r="F196">
        <f t="shared" ref="F196:F259" si="7">VALUE(MID(C196,3,LEN(C196)))</f>
        <v>61</v>
      </c>
    </row>
    <row r="197" spans="1:6" x14ac:dyDescent="0.25">
      <c r="A197">
        <v>178</v>
      </c>
      <c r="B197" t="s">
        <v>135</v>
      </c>
      <c r="C197" t="s">
        <v>708</v>
      </c>
      <c r="D197">
        <v>195</v>
      </c>
      <c r="E197" t="str">
        <f t="shared" si="6"/>
        <v>WR</v>
      </c>
      <c r="F197">
        <f t="shared" si="7"/>
        <v>68</v>
      </c>
    </row>
    <row r="198" spans="1:6" x14ac:dyDescent="0.25">
      <c r="A198">
        <v>179</v>
      </c>
      <c r="B198" t="s">
        <v>513</v>
      </c>
      <c r="C198" t="s">
        <v>709</v>
      </c>
      <c r="D198">
        <v>196</v>
      </c>
      <c r="E198" t="str">
        <f t="shared" si="6"/>
        <v>QB</v>
      </c>
      <c r="F198">
        <f t="shared" si="7"/>
        <v>26</v>
      </c>
    </row>
    <row r="199" spans="1:6" x14ac:dyDescent="0.25">
      <c r="A199">
        <v>180</v>
      </c>
      <c r="B199" t="s">
        <v>64</v>
      </c>
      <c r="C199" t="s">
        <v>710</v>
      </c>
      <c r="D199">
        <v>197</v>
      </c>
      <c r="E199" t="str">
        <f t="shared" si="6"/>
        <v>TE</v>
      </c>
      <c r="F199">
        <f t="shared" si="7"/>
        <v>25</v>
      </c>
    </row>
    <row r="200" spans="1:6" x14ac:dyDescent="0.25">
      <c r="A200">
        <v>181</v>
      </c>
      <c r="B200" t="s">
        <v>909</v>
      </c>
      <c r="C200" t="s">
        <v>711</v>
      </c>
      <c r="D200">
        <v>198</v>
      </c>
      <c r="E200" t="str">
        <f t="shared" si="6"/>
        <v>WR</v>
      </c>
      <c r="F200">
        <f t="shared" si="7"/>
        <v>69</v>
      </c>
    </row>
    <row r="201" spans="1:6" x14ac:dyDescent="0.25">
      <c r="A201">
        <v>182</v>
      </c>
      <c r="B201" t="s">
        <v>712</v>
      </c>
      <c r="C201" t="s">
        <v>713</v>
      </c>
      <c r="D201">
        <v>199</v>
      </c>
      <c r="E201" t="str">
        <f t="shared" si="6"/>
        <v>WR</v>
      </c>
      <c r="F201">
        <f t="shared" si="7"/>
        <v>70</v>
      </c>
    </row>
    <row r="202" spans="1:6" x14ac:dyDescent="0.25">
      <c r="A202">
        <v>209</v>
      </c>
      <c r="B202" t="s">
        <v>477</v>
      </c>
      <c r="C202" t="s">
        <v>740</v>
      </c>
      <c r="D202">
        <v>200</v>
      </c>
      <c r="E202" t="str">
        <f t="shared" si="6"/>
        <v>WR</v>
      </c>
      <c r="F202">
        <f t="shared" si="7"/>
        <v>85</v>
      </c>
    </row>
    <row r="203" spans="1:6" x14ac:dyDescent="0.25">
      <c r="A203">
        <v>183</v>
      </c>
      <c r="B203" t="s">
        <v>238</v>
      </c>
      <c r="C203" t="s">
        <v>714</v>
      </c>
      <c r="D203">
        <v>201</v>
      </c>
      <c r="E203" t="str">
        <f t="shared" si="6"/>
        <v>RB</v>
      </c>
      <c r="F203">
        <f t="shared" si="7"/>
        <v>62</v>
      </c>
    </row>
    <row r="204" spans="1:6" x14ac:dyDescent="0.25">
      <c r="A204">
        <v>210</v>
      </c>
      <c r="B204" t="s">
        <v>205</v>
      </c>
      <c r="C204" t="s">
        <v>741</v>
      </c>
      <c r="D204">
        <v>202</v>
      </c>
      <c r="E204" t="str">
        <f t="shared" si="6"/>
        <v>WR</v>
      </c>
      <c r="F204">
        <f t="shared" si="7"/>
        <v>86</v>
      </c>
    </row>
    <row r="205" spans="1:6" x14ac:dyDescent="0.25">
      <c r="A205">
        <v>211</v>
      </c>
      <c r="B205" t="s">
        <v>516</v>
      </c>
      <c r="C205" t="s">
        <v>742</v>
      </c>
      <c r="D205">
        <v>203</v>
      </c>
      <c r="E205" t="str">
        <f t="shared" si="6"/>
        <v>QB</v>
      </c>
      <c r="F205">
        <f t="shared" si="7"/>
        <v>30</v>
      </c>
    </row>
    <row r="206" spans="1:6" x14ac:dyDescent="0.25">
      <c r="A206">
        <v>212</v>
      </c>
      <c r="B206" t="s">
        <v>436</v>
      </c>
      <c r="C206" t="s">
        <v>743</v>
      </c>
      <c r="D206">
        <v>204</v>
      </c>
      <c r="E206" t="str">
        <f t="shared" si="6"/>
        <v>TE</v>
      </c>
      <c r="F206">
        <f t="shared" si="7"/>
        <v>29</v>
      </c>
    </row>
    <row r="207" spans="1:6" x14ac:dyDescent="0.25">
      <c r="A207">
        <v>213</v>
      </c>
      <c r="B207" t="s">
        <v>431</v>
      </c>
      <c r="C207" t="s">
        <v>744</v>
      </c>
      <c r="D207">
        <v>205</v>
      </c>
      <c r="E207" t="str">
        <f t="shared" si="6"/>
        <v>WR</v>
      </c>
      <c r="F207">
        <f t="shared" si="7"/>
        <v>87</v>
      </c>
    </row>
    <row r="208" spans="1:6" x14ac:dyDescent="0.25">
      <c r="A208">
        <v>214</v>
      </c>
      <c r="B208" t="s">
        <v>38</v>
      </c>
      <c r="C208" t="s">
        <v>745</v>
      </c>
      <c r="D208">
        <v>206</v>
      </c>
      <c r="E208" t="str">
        <f t="shared" si="6"/>
        <v>TE</v>
      </c>
      <c r="F208">
        <f t="shared" si="7"/>
        <v>30</v>
      </c>
    </row>
    <row r="209" spans="1:6" x14ac:dyDescent="0.25">
      <c r="A209">
        <v>184</v>
      </c>
      <c r="B209" t="s">
        <v>440</v>
      </c>
      <c r="C209" t="s">
        <v>715</v>
      </c>
      <c r="D209">
        <v>207</v>
      </c>
      <c r="E209" t="str">
        <f t="shared" si="6"/>
        <v>TE</v>
      </c>
      <c r="F209">
        <f t="shared" si="7"/>
        <v>26</v>
      </c>
    </row>
    <row r="210" spans="1:6" x14ac:dyDescent="0.25">
      <c r="A210">
        <v>185</v>
      </c>
      <c r="B210" t="s">
        <v>280</v>
      </c>
      <c r="C210" t="s">
        <v>716</v>
      </c>
      <c r="D210">
        <v>208</v>
      </c>
      <c r="E210" t="str">
        <f t="shared" si="6"/>
        <v>RB</v>
      </c>
      <c r="F210">
        <f t="shared" si="7"/>
        <v>63</v>
      </c>
    </row>
    <row r="211" spans="1:6" x14ac:dyDescent="0.25">
      <c r="A211">
        <v>216</v>
      </c>
      <c r="B211" t="s">
        <v>410</v>
      </c>
      <c r="C211" t="s">
        <v>748</v>
      </c>
      <c r="D211">
        <v>209</v>
      </c>
      <c r="E211" t="str">
        <f t="shared" si="6"/>
        <v>WR</v>
      </c>
      <c r="F211">
        <f t="shared" si="7"/>
        <v>88</v>
      </c>
    </row>
    <row r="212" spans="1:6" x14ac:dyDescent="0.25">
      <c r="A212">
        <v>217</v>
      </c>
      <c r="B212" t="s">
        <v>749</v>
      </c>
      <c r="C212" t="s">
        <v>750</v>
      </c>
      <c r="D212">
        <v>210</v>
      </c>
      <c r="E212" t="str">
        <f t="shared" si="6"/>
        <v>TE</v>
      </c>
      <c r="F212">
        <f t="shared" si="7"/>
        <v>31</v>
      </c>
    </row>
    <row r="213" spans="1:6" x14ac:dyDescent="0.25">
      <c r="A213">
        <v>218</v>
      </c>
      <c r="B213" t="s">
        <v>484</v>
      </c>
      <c r="C213" t="s">
        <v>751</v>
      </c>
      <c r="D213">
        <v>211</v>
      </c>
      <c r="E213" t="str">
        <f t="shared" si="6"/>
        <v>WR</v>
      </c>
      <c r="F213">
        <f t="shared" si="7"/>
        <v>89</v>
      </c>
    </row>
    <row r="214" spans="1:6" x14ac:dyDescent="0.25">
      <c r="A214">
        <v>186</v>
      </c>
      <c r="B214" t="s">
        <v>435</v>
      </c>
      <c r="C214" t="s">
        <v>717</v>
      </c>
      <c r="D214">
        <v>212</v>
      </c>
      <c r="E214" t="str">
        <f t="shared" si="6"/>
        <v>WR</v>
      </c>
      <c r="F214">
        <f t="shared" si="7"/>
        <v>71</v>
      </c>
    </row>
    <row r="215" spans="1:6" x14ac:dyDescent="0.25">
      <c r="A215">
        <v>187</v>
      </c>
      <c r="B215" t="s">
        <v>491</v>
      </c>
      <c r="C215" t="s">
        <v>718</v>
      </c>
      <c r="D215">
        <v>213</v>
      </c>
      <c r="E215" t="str">
        <f t="shared" si="6"/>
        <v>RB</v>
      </c>
      <c r="F215">
        <f t="shared" si="7"/>
        <v>64</v>
      </c>
    </row>
    <row r="216" spans="1:6" x14ac:dyDescent="0.25">
      <c r="A216">
        <v>219</v>
      </c>
      <c r="B216" t="s">
        <v>182</v>
      </c>
      <c r="C216" t="s">
        <v>752</v>
      </c>
      <c r="D216">
        <v>214</v>
      </c>
      <c r="E216" t="str">
        <f t="shared" si="6"/>
        <v>WR</v>
      </c>
      <c r="F216">
        <f t="shared" si="7"/>
        <v>90</v>
      </c>
    </row>
    <row r="217" spans="1:6" x14ac:dyDescent="0.25">
      <c r="A217">
        <v>220</v>
      </c>
      <c r="B217" t="s">
        <v>328</v>
      </c>
      <c r="C217" t="s">
        <v>753</v>
      </c>
      <c r="D217">
        <v>215</v>
      </c>
      <c r="E217" t="str">
        <f t="shared" si="6"/>
        <v>RB</v>
      </c>
      <c r="F217">
        <f t="shared" si="7"/>
        <v>69</v>
      </c>
    </row>
    <row r="218" spans="1:6" x14ac:dyDescent="0.25">
      <c r="A218">
        <v>221</v>
      </c>
      <c r="B218" t="s">
        <v>489</v>
      </c>
      <c r="C218" t="s">
        <v>754</v>
      </c>
      <c r="D218">
        <v>216</v>
      </c>
      <c r="E218" t="str">
        <f t="shared" si="6"/>
        <v>RB</v>
      </c>
      <c r="F218">
        <f t="shared" si="7"/>
        <v>70</v>
      </c>
    </row>
    <row r="219" spans="1:6" x14ac:dyDescent="0.25">
      <c r="A219">
        <v>188</v>
      </c>
      <c r="B219" t="s">
        <v>437</v>
      </c>
      <c r="C219" t="s">
        <v>719</v>
      </c>
      <c r="D219">
        <v>217</v>
      </c>
      <c r="E219" t="str">
        <f t="shared" si="6"/>
        <v>TE</v>
      </c>
      <c r="F219">
        <f t="shared" si="7"/>
        <v>27</v>
      </c>
    </row>
    <row r="220" spans="1:6" x14ac:dyDescent="0.25">
      <c r="A220">
        <v>222</v>
      </c>
      <c r="B220" t="s">
        <v>362</v>
      </c>
      <c r="C220" t="s">
        <v>755</v>
      </c>
      <c r="D220">
        <v>218</v>
      </c>
      <c r="E220" t="str">
        <f t="shared" si="6"/>
        <v>QB</v>
      </c>
      <c r="F220">
        <f t="shared" si="7"/>
        <v>31</v>
      </c>
    </row>
    <row r="221" spans="1:6" x14ac:dyDescent="0.25">
      <c r="A221">
        <v>224</v>
      </c>
      <c r="B221" t="s">
        <v>757</v>
      </c>
      <c r="C221" t="s">
        <v>758</v>
      </c>
      <c r="D221">
        <v>219</v>
      </c>
      <c r="E221" t="str">
        <f t="shared" si="6"/>
        <v>WR</v>
      </c>
      <c r="F221">
        <f t="shared" si="7"/>
        <v>91</v>
      </c>
    </row>
    <row r="222" spans="1:6" x14ac:dyDescent="0.25">
      <c r="A222">
        <v>225</v>
      </c>
      <c r="B222" t="s">
        <v>508</v>
      </c>
      <c r="C222" t="s">
        <v>759</v>
      </c>
      <c r="D222">
        <v>220</v>
      </c>
      <c r="E222" t="str">
        <f t="shared" si="6"/>
        <v>QB</v>
      </c>
      <c r="F222">
        <f t="shared" si="7"/>
        <v>32</v>
      </c>
    </row>
    <row r="223" spans="1:6" x14ac:dyDescent="0.25">
      <c r="A223">
        <v>226</v>
      </c>
      <c r="B223" t="s">
        <v>90</v>
      </c>
      <c r="C223" t="s">
        <v>760</v>
      </c>
      <c r="D223">
        <v>221</v>
      </c>
      <c r="E223" t="str">
        <f t="shared" si="6"/>
        <v>TE</v>
      </c>
      <c r="F223">
        <f t="shared" si="7"/>
        <v>33</v>
      </c>
    </row>
    <row r="224" spans="1:6" x14ac:dyDescent="0.25">
      <c r="A224">
        <v>227</v>
      </c>
      <c r="B224" t="s">
        <v>162</v>
      </c>
      <c r="C224" t="s">
        <v>761</v>
      </c>
      <c r="D224">
        <v>222</v>
      </c>
      <c r="E224" t="str">
        <f t="shared" si="6"/>
        <v>WR</v>
      </c>
      <c r="F224">
        <f t="shared" si="7"/>
        <v>92</v>
      </c>
    </row>
    <row r="225" spans="1:6" x14ac:dyDescent="0.25">
      <c r="A225">
        <v>229</v>
      </c>
      <c r="B225" t="s">
        <v>470</v>
      </c>
      <c r="C225" t="s">
        <v>763</v>
      </c>
      <c r="D225">
        <v>223</v>
      </c>
      <c r="E225" t="str">
        <f t="shared" si="6"/>
        <v>WR</v>
      </c>
      <c r="F225">
        <f t="shared" si="7"/>
        <v>93</v>
      </c>
    </row>
    <row r="226" spans="1:6" x14ac:dyDescent="0.25">
      <c r="A226">
        <v>230</v>
      </c>
      <c r="B226" t="s">
        <v>764</v>
      </c>
      <c r="C226" t="s">
        <v>765</v>
      </c>
      <c r="D226">
        <v>224</v>
      </c>
      <c r="E226" t="str">
        <f t="shared" si="6"/>
        <v>WR</v>
      </c>
      <c r="F226">
        <f t="shared" si="7"/>
        <v>94</v>
      </c>
    </row>
    <row r="227" spans="1:6" x14ac:dyDescent="0.25">
      <c r="A227">
        <v>231</v>
      </c>
      <c r="B227" t="s">
        <v>93</v>
      </c>
      <c r="C227" t="s">
        <v>766</v>
      </c>
      <c r="D227">
        <v>225</v>
      </c>
      <c r="E227" t="str">
        <f t="shared" si="6"/>
        <v>TE</v>
      </c>
      <c r="F227">
        <f t="shared" si="7"/>
        <v>34</v>
      </c>
    </row>
    <row r="228" spans="1:6" x14ac:dyDescent="0.25">
      <c r="A228">
        <v>232</v>
      </c>
      <c r="B228" t="s">
        <v>393</v>
      </c>
      <c r="C228" t="s">
        <v>767</v>
      </c>
      <c r="D228">
        <v>226</v>
      </c>
      <c r="E228" t="str">
        <f t="shared" si="6"/>
        <v>RB</v>
      </c>
      <c r="F228">
        <f t="shared" si="7"/>
        <v>71</v>
      </c>
    </row>
    <row r="229" spans="1:6" x14ac:dyDescent="0.25">
      <c r="A229">
        <v>233</v>
      </c>
      <c r="B229" t="s">
        <v>272</v>
      </c>
      <c r="C229" t="s">
        <v>768</v>
      </c>
      <c r="D229">
        <v>227</v>
      </c>
      <c r="E229" t="str">
        <f t="shared" si="6"/>
        <v>RB</v>
      </c>
      <c r="F229">
        <f t="shared" si="7"/>
        <v>72</v>
      </c>
    </row>
    <row r="230" spans="1:6" x14ac:dyDescent="0.25">
      <c r="A230">
        <v>234</v>
      </c>
      <c r="B230" t="s">
        <v>769</v>
      </c>
      <c r="C230" t="s">
        <v>770</v>
      </c>
      <c r="D230">
        <v>228</v>
      </c>
      <c r="E230" t="str">
        <f t="shared" si="6"/>
        <v>WR</v>
      </c>
      <c r="F230">
        <f t="shared" si="7"/>
        <v>95</v>
      </c>
    </row>
    <row r="231" spans="1:6" x14ac:dyDescent="0.25">
      <c r="A231">
        <v>191</v>
      </c>
      <c r="B231" t="s">
        <v>217</v>
      </c>
      <c r="C231" t="s">
        <v>722</v>
      </c>
      <c r="D231">
        <v>229</v>
      </c>
      <c r="E231" t="str">
        <f t="shared" si="6"/>
        <v>WR</v>
      </c>
      <c r="F231">
        <f t="shared" si="7"/>
        <v>73</v>
      </c>
    </row>
    <row r="232" spans="1:6" x14ac:dyDescent="0.25">
      <c r="A232">
        <v>193</v>
      </c>
      <c r="B232" t="s">
        <v>456</v>
      </c>
      <c r="C232" t="s">
        <v>724</v>
      </c>
      <c r="D232">
        <v>230</v>
      </c>
      <c r="E232" t="str">
        <f t="shared" si="6"/>
        <v>TE</v>
      </c>
      <c r="F232">
        <f t="shared" si="7"/>
        <v>28</v>
      </c>
    </row>
    <row r="233" spans="1:6" x14ac:dyDescent="0.25">
      <c r="A233">
        <v>235</v>
      </c>
      <c r="B233" t="s">
        <v>109</v>
      </c>
      <c r="C233" t="s">
        <v>771</v>
      </c>
      <c r="D233">
        <v>231</v>
      </c>
      <c r="E233" t="str">
        <f t="shared" si="6"/>
        <v>WR</v>
      </c>
      <c r="F233">
        <f t="shared" si="7"/>
        <v>96</v>
      </c>
    </row>
    <row r="234" spans="1:6" x14ac:dyDescent="0.25">
      <c r="A234">
        <v>236</v>
      </c>
      <c r="B234" t="s">
        <v>400</v>
      </c>
      <c r="C234" t="s">
        <v>772</v>
      </c>
      <c r="D234">
        <v>232</v>
      </c>
      <c r="E234" t="str">
        <f t="shared" si="6"/>
        <v>RB</v>
      </c>
      <c r="F234">
        <f t="shared" si="7"/>
        <v>73</v>
      </c>
    </row>
    <row r="235" spans="1:6" x14ac:dyDescent="0.25">
      <c r="A235">
        <v>194</v>
      </c>
      <c r="B235" t="s">
        <v>910</v>
      </c>
      <c r="C235" t="s">
        <v>725</v>
      </c>
      <c r="D235">
        <v>233</v>
      </c>
      <c r="E235" t="str">
        <f t="shared" si="6"/>
        <v>WR</v>
      </c>
      <c r="F235">
        <f t="shared" si="7"/>
        <v>75</v>
      </c>
    </row>
    <row r="236" spans="1:6" x14ac:dyDescent="0.25">
      <c r="A236">
        <v>237</v>
      </c>
      <c r="B236" t="s">
        <v>20</v>
      </c>
      <c r="C236" t="s">
        <v>773</v>
      </c>
      <c r="D236">
        <v>234</v>
      </c>
      <c r="E236" t="str">
        <f t="shared" si="6"/>
        <v>TE</v>
      </c>
      <c r="F236">
        <f t="shared" si="7"/>
        <v>35</v>
      </c>
    </row>
    <row r="237" spans="1:6" x14ac:dyDescent="0.25">
      <c r="A237">
        <v>238</v>
      </c>
      <c r="B237" t="s">
        <v>199</v>
      </c>
      <c r="C237" t="s">
        <v>774</v>
      </c>
      <c r="D237">
        <v>235</v>
      </c>
      <c r="E237" t="str">
        <f t="shared" si="6"/>
        <v>WR</v>
      </c>
      <c r="F237">
        <f t="shared" si="7"/>
        <v>97</v>
      </c>
    </row>
    <row r="238" spans="1:6" x14ac:dyDescent="0.25">
      <c r="A238">
        <v>195</v>
      </c>
      <c r="B238" t="s">
        <v>256</v>
      </c>
      <c r="C238" t="s">
        <v>726</v>
      </c>
      <c r="D238">
        <v>236</v>
      </c>
      <c r="E238" t="str">
        <f t="shared" si="6"/>
        <v>RB</v>
      </c>
      <c r="F238">
        <f t="shared" si="7"/>
        <v>65</v>
      </c>
    </row>
    <row r="239" spans="1:6" x14ac:dyDescent="0.25">
      <c r="A239">
        <v>239</v>
      </c>
      <c r="B239" t="s">
        <v>911</v>
      </c>
      <c r="C239" t="s">
        <v>775</v>
      </c>
      <c r="D239">
        <v>237</v>
      </c>
      <c r="E239" t="str">
        <f t="shared" si="6"/>
        <v>RB</v>
      </c>
      <c r="F239">
        <f t="shared" si="7"/>
        <v>74</v>
      </c>
    </row>
    <row r="240" spans="1:6" x14ac:dyDescent="0.25">
      <c r="A240">
        <v>240</v>
      </c>
      <c r="B240" t="s">
        <v>88</v>
      </c>
      <c r="C240" t="s">
        <v>776</v>
      </c>
      <c r="D240">
        <v>238</v>
      </c>
      <c r="E240" t="str">
        <f t="shared" si="6"/>
        <v>TE</v>
      </c>
      <c r="F240">
        <f t="shared" si="7"/>
        <v>36</v>
      </c>
    </row>
    <row r="241" spans="1:6" x14ac:dyDescent="0.25">
      <c r="A241">
        <v>241</v>
      </c>
      <c r="B241" t="s">
        <v>493</v>
      </c>
      <c r="C241" t="s">
        <v>777</v>
      </c>
      <c r="D241">
        <v>239</v>
      </c>
      <c r="E241" t="str">
        <f t="shared" si="6"/>
        <v>RB</v>
      </c>
      <c r="F241">
        <f t="shared" si="7"/>
        <v>75</v>
      </c>
    </row>
    <row r="242" spans="1:6" x14ac:dyDescent="0.25">
      <c r="A242">
        <v>242</v>
      </c>
      <c r="B242" t="s">
        <v>58</v>
      </c>
      <c r="C242" t="s">
        <v>778</v>
      </c>
      <c r="D242">
        <v>240</v>
      </c>
      <c r="E242" t="str">
        <f t="shared" si="6"/>
        <v>TE</v>
      </c>
      <c r="F242">
        <f t="shared" si="7"/>
        <v>37</v>
      </c>
    </row>
    <row r="243" spans="1:6" x14ac:dyDescent="0.25">
      <c r="A243">
        <v>243</v>
      </c>
      <c r="B243" t="s">
        <v>465</v>
      </c>
      <c r="C243" t="s">
        <v>779</v>
      </c>
      <c r="D243">
        <v>241</v>
      </c>
      <c r="E243" t="str">
        <f t="shared" si="6"/>
        <v>WR</v>
      </c>
      <c r="F243">
        <f t="shared" si="7"/>
        <v>98</v>
      </c>
    </row>
    <row r="244" spans="1:6" x14ac:dyDescent="0.25">
      <c r="A244">
        <v>197</v>
      </c>
      <c r="B244" t="s">
        <v>432</v>
      </c>
      <c r="C244" t="s">
        <v>728</v>
      </c>
      <c r="D244">
        <v>242</v>
      </c>
      <c r="E244" t="str">
        <f t="shared" si="6"/>
        <v>WR</v>
      </c>
      <c r="F244">
        <f t="shared" si="7"/>
        <v>77</v>
      </c>
    </row>
    <row r="245" spans="1:6" x14ac:dyDescent="0.25">
      <c r="A245">
        <v>244</v>
      </c>
      <c r="B245" t="s">
        <v>227</v>
      </c>
      <c r="C245" t="s">
        <v>780</v>
      </c>
      <c r="D245">
        <v>243</v>
      </c>
      <c r="E245" t="str">
        <f t="shared" si="6"/>
        <v>RB</v>
      </c>
      <c r="F245">
        <f t="shared" si="7"/>
        <v>76</v>
      </c>
    </row>
    <row r="246" spans="1:6" x14ac:dyDescent="0.25">
      <c r="A246">
        <v>245</v>
      </c>
      <c r="B246" t="s">
        <v>187</v>
      </c>
      <c r="C246" t="s">
        <v>781</v>
      </c>
      <c r="D246">
        <v>244</v>
      </c>
      <c r="E246" t="str">
        <f t="shared" si="6"/>
        <v>WR</v>
      </c>
      <c r="F246">
        <f t="shared" si="7"/>
        <v>99</v>
      </c>
    </row>
    <row r="247" spans="1:6" x14ac:dyDescent="0.25">
      <c r="A247">
        <v>246</v>
      </c>
      <c r="B247" t="s">
        <v>143</v>
      </c>
      <c r="C247" t="s">
        <v>782</v>
      </c>
      <c r="D247">
        <v>245</v>
      </c>
      <c r="E247" t="str">
        <f t="shared" si="6"/>
        <v>WR</v>
      </c>
      <c r="F247">
        <f t="shared" si="7"/>
        <v>100</v>
      </c>
    </row>
    <row r="248" spans="1:6" x14ac:dyDescent="0.25">
      <c r="A248">
        <v>247</v>
      </c>
      <c r="B248" t="s">
        <v>113</v>
      </c>
      <c r="C248" t="s">
        <v>783</v>
      </c>
      <c r="D248">
        <v>246</v>
      </c>
      <c r="E248" t="str">
        <f t="shared" si="6"/>
        <v>WR</v>
      </c>
      <c r="F248">
        <f t="shared" si="7"/>
        <v>101</v>
      </c>
    </row>
    <row r="249" spans="1:6" x14ac:dyDescent="0.25">
      <c r="A249">
        <v>249</v>
      </c>
      <c r="B249" t="s">
        <v>474</v>
      </c>
      <c r="C249" t="s">
        <v>785</v>
      </c>
      <c r="D249">
        <v>247</v>
      </c>
      <c r="E249" t="str">
        <f t="shared" si="6"/>
        <v>WR</v>
      </c>
      <c r="F249">
        <f t="shared" si="7"/>
        <v>103</v>
      </c>
    </row>
    <row r="250" spans="1:6" x14ac:dyDescent="0.25">
      <c r="A250">
        <v>251</v>
      </c>
      <c r="B250" t="s">
        <v>788</v>
      </c>
      <c r="C250" t="s">
        <v>789</v>
      </c>
      <c r="D250">
        <v>248</v>
      </c>
      <c r="E250" t="str">
        <f t="shared" si="6"/>
        <v>RB</v>
      </c>
      <c r="F250">
        <f t="shared" si="7"/>
        <v>77</v>
      </c>
    </row>
    <row r="251" spans="1:6" x14ac:dyDescent="0.25">
      <c r="A251">
        <v>298</v>
      </c>
      <c r="B251" t="s">
        <v>869</v>
      </c>
      <c r="C251" t="s">
        <v>870</v>
      </c>
      <c r="D251">
        <v>249</v>
      </c>
      <c r="E251" t="str">
        <f t="shared" si="6"/>
        <v>RB</v>
      </c>
      <c r="F251">
        <f t="shared" si="7"/>
        <v>88</v>
      </c>
    </row>
    <row r="252" spans="1:6" x14ac:dyDescent="0.25">
      <c r="A252">
        <v>252</v>
      </c>
      <c r="B252" t="s">
        <v>790</v>
      </c>
      <c r="C252" t="s">
        <v>791</v>
      </c>
      <c r="D252">
        <v>250</v>
      </c>
      <c r="E252" t="str">
        <f t="shared" si="6"/>
        <v>WR</v>
      </c>
      <c r="F252">
        <f t="shared" si="7"/>
        <v>105</v>
      </c>
    </row>
    <row r="253" spans="1:6" x14ac:dyDescent="0.25">
      <c r="A253">
        <v>253</v>
      </c>
      <c r="B253" t="s">
        <v>157</v>
      </c>
      <c r="C253" t="s">
        <v>792</v>
      </c>
      <c r="D253">
        <v>251</v>
      </c>
      <c r="E253" t="str">
        <f t="shared" si="6"/>
        <v>WR</v>
      </c>
      <c r="F253">
        <f t="shared" si="7"/>
        <v>106</v>
      </c>
    </row>
    <row r="254" spans="1:6" x14ac:dyDescent="0.25">
      <c r="A254">
        <v>254</v>
      </c>
      <c r="B254" t="s">
        <v>173</v>
      </c>
      <c r="C254" t="s">
        <v>793</v>
      </c>
      <c r="D254">
        <v>252</v>
      </c>
      <c r="E254" t="str">
        <f t="shared" si="6"/>
        <v>WR</v>
      </c>
      <c r="F254">
        <f t="shared" si="7"/>
        <v>107</v>
      </c>
    </row>
    <row r="255" spans="1:6" x14ac:dyDescent="0.25">
      <c r="A255">
        <v>255</v>
      </c>
      <c r="B255" t="s">
        <v>197</v>
      </c>
      <c r="C255" t="s">
        <v>794</v>
      </c>
      <c r="D255">
        <v>253</v>
      </c>
      <c r="E255" t="str">
        <f t="shared" si="6"/>
        <v>WR</v>
      </c>
      <c r="F255">
        <f t="shared" si="7"/>
        <v>108</v>
      </c>
    </row>
    <row r="256" spans="1:6" x14ac:dyDescent="0.25">
      <c r="A256">
        <v>256</v>
      </c>
      <c r="B256" t="s">
        <v>167</v>
      </c>
      <c r="C256" t="s">
        <v>795</v>
      </c>
      <c r="D256">
        <v>254</v>
      </c>
      <c r="E256" t="str">
        <f t="shared" si="6"/>
        <v>WR</v>
      </c>
      <c r="F256">
        <f t="shared" si="7"/>
        <v>109</v>
      </c>
    </row>
    <row r="257" spans="1:6" x14ac:dyDescent="0.25">
      <c r="A257">
        <v>257</v>
      </c>
      <c r="B257" t="s">
        <v>912</v>
      </c>
      <c r="C257" t="s">
        <v>796</v>
      </c>
      <c r="D257">
        <v>255</v>
      </c>
      <c r="E257" t="str">
        <f t="shared" si="6"/>
        <v>WR</v>
      </c>
      <c r="F257">
        <f t="shared" si="7"/>
        <v>110</v>
      </c>
    </row>
    <row r="258" spans="1:6" x14ac:dyDescent="0.25">
      <c r="A258">
        <v>215</v>
      </c>
      <c r="B258" t="s">
        <v>746</v>
      </c>
      <c r="C258" t="s">
        <v>747</v>
      </c>
      <c r="D258">
        <v>256</v>
      </c>
      <c r="E258" t="str">
        <f t="shared" si="6"/>
        <v>RB</v>
      </c>
      <c r="F258">
        <f t="shared" si="7"/>
        <v>68</v>
      </c>
    </row>
    <row r="259" spans="1:6" x14ac:dyDescent="0.25">
      <c r="A259">
        <v>258</v>
      </c>
      <c r="B259" t="s">
        <v>797</v>
      </c>
      <c r="C259" t="s">
        <v>798</v>
      </c>
      <c r="D259">
        <v>257</v>
      </c>
      <c r="E259" t="str">
        <f t="shared" si="6"/>
        <v>RB</v>
      </c>
      <c r="F259">
        <f t="shared" si="7"/>
        <v>78</v>
      </c>
    </row>
    <row r="260" spans="1:6" x14ac:dyDescent="0.25">
      <c r="A260">
        <v>259</v>
      </c>
      <c r="B260" t="s">
        <v>799</v>
      </c>
      <c r="C260" t="s">
        <v>800</v>
      </c>
      <c r="D260">
        <v>258</v>
      </c>
      <c r="E260" t="str">
        <f t="shared" ref="E260:E323" si="8">LEFT(C260,2)</f>
        <v>WR</v>
      </c>
      <c r="F260">
        <f t="shared" ref="F260:F323" si="9">VALUE(MID(C260,3,LEN(C260)))</f>
        <v>111</v>
      </c>
    </row>
    <row r="261" spans="1:6" x14ac:dyDescent="0.25">
      <c r="A261">
        <v>223</v>
      </c>
      <c r="B261" t="s">
        <v>68</v>
      </c>
      <c r="C261" t="s">
        <v>756</v>
      </c>
      <c r="D261">
        <v>259</v>
      </c>
      <c r="E261" t="str">
        <f t="shared" si="8"/>
        <v>TE</v>
      </c>
      <c r="F261">
        <f t="shared" si="9"/>
        <v>32</v>
      </c>
    </row>
    <row r="262" spans="1:6" x14ac:dyDescent="0.25">
      <c r="A262">
        <v>304</v>
      </c>
      <c r="B262" t="s">
        <v>268</v>
      </c>
      <c r="C262" t="s">
        <v>879</v>
      </c>
      <c r="D262">
        <v>260</v>
      </c>
      <c r="E262" t="str">
        <f t="shared" si="8"/>
        <v>RB</v>
      </c>
      <c r="F262">
        <f t="shared" si="9"/>
        <v>91</v>
      </c>
    </row>
    <row r="263" spans="1:6" x14ac:dyDescent="0.25">
      <c r="A263">
        <v>260</v>
      </c>
      <c r="B263" t="s">
        <v>449</v>
      </c>
      <c r="C263" t="s">
        <v>801</v>
      </c>
      <c r="D263">
        <v>261</v>
      </c>
      <c r="E263" t="str">
        <f t="shared" si="8"/>
        <v>TE</v>
      </c>
      <c r="F263">
        <f t="shared" si="9"/>
        <v>38</v>
      </c>
    </row>
    <row r="264" spans="1:6" x14ac:dyDescent="0.25">
      <c r="A264">
        <v>261</v>
      </c>
      <c r="B264" t="s">
        <v>913</v>
      </c>
      <c r="C264" t="s">
        <v>802</v>
      </c>
      <c r="D264">
        <v>262</v>
      </c>
      <c r="E264" t="str">
        <f t="shared" si="8"/>
        <v>TE</v>
      </c>
      <c r="F264">
        <f t="shared" si="9"/>
        <v>39</v>
      </c>
    </row>
    <row r="265" spans="1:6" x14ac:dyDescent="0.25">
      <c r="A265">
        <v>262</v>
      </c>
      <c r="B265" t="s">
        <v>417</v>
      </c>
      <c r="C265" t="s">
        <v>804</v>
      </c>
      <c r="D265">
        <v>263</v>
      </c>
      <c r="E265" t="str">
        <f t="shared" si="8"/>
        <v>WR</v>
      </c>
      <c r="F265">
        <f t="shared" si="9"/>
        <v>112</v>
      </c>
    </row>
    <row r="266" spans="1:6" x14ac:dyDescent="0.25">
      <c r="A266">
        <v>263</v>
      </c>
      <c r="B266" t="s">
        <v>805</v>
      </c>
      <c r="C266" t="s">
        <v>806</v>
      </c>
      <c r="D266">
        <v>264</v>
      </c>
      <c r="E266" t="str">
        <f t="shared" si="8"/>
        <v>RB</v>
      </c>
      <c r="F266">
        <f t="shared" si="9"/>
        <v>79</v>
      </c>
    </row>
    <row r="267" spans="1:6" x14ac:dyDescent="0.25">
      <c r="A267">
        <v>264</v>
      </c>
      <c r="B267" t="s">
        <v>403</v>
      </c>
      <c r="C267" t="s">
        <v>807</v>
      </c>
      <c r="D267">
        <v>265</v>
      </c>
      <c r="E267" t="str">
        <f t="shared" si="8"/>
        <v>RB</v>
      </c>
      <c r="F267">
        <f t="shared" si="9"/>
        <v>80</v>
      </c>
    </row>
    <row r="268" spans="1:6" x14ac:dyDescent="0.25">
      <c r="A268">
        <v>265</v>
      </c>
      <c r="B268" t="s">
        <v>914</v>
      </c>
      <c r="C268" t="s">
        <v>808</v>
      </c>
      <c r="D268">
        <v>266</v>
      </c>
      <c r="E268" t="str">
        <f t="shared" si="8"/>
        <v>TE</v>
      </c>
      <c r="F268">
        <f t="shared" si="9"/>
        <v>40</v>
      </c>
    </row>
    <row r="269" spans="1:6" x14ac:dyDescent="0.25">
      <c r="A269">
        <v>266</v>
      </c>
      <c r="B269" t="s">
        <v>501</v>
      </c>
      <c r="C269" t="s">
        <v>809</v>
      </c>
      <c r="D269">
        <v>267</v>
      </c>
      <c r="E269" t="str">
        <f t="shared" si="8"/>
        <v>RB</v>
      </c>
      <c r="F269">
        <f t="shared" si="9"/>
        <v>81</v>
      </c>
    </row>
    <row r="270" spans="1:6" x14ac:dyDescent="0.25">
      <c r="A270">
        <v>267</v>
      </c>
      <c r="B270" t="s">
        <v>344</v>
      </c>
      <c r="C270" t="s">
        <v>810</v>
      </c>
      <c r="D270">
        <v>268</v>
      </c>
      <c r="E270" t="str">
        <f t="shared" si="8"/>
        <v>QB</v>
      </c>
      <c r="F270">
        <f t="shared" si="9"/>
        <v>34</v>
      </c>
    </row>
    <row r="271" spans="1:6" x14ac:dyDescent="0.25">
      <c r="A271">
        <v>306</v>
      </c>
      <c r="B271" t="s">
        <v>881</v>
      </c>
      <c r="C271" t="s">
        <v>882</v>
      </c>
      <c r="D271">
        <v>269</v>
      </c>
      <c r="E271" t="str">
        <f t="shared" si="8"/>
        <v>QB</v>
      </c>
      <c r="F271">
        <f t="shared" si="9"/>
        <v>41</v>
      </c>
    </row>
    <row r="272" spans="1:6" x14ac:dyDescent="0.25">
      <c r="A272">
        <v>268</v>
      </c>
      <c r="B272" t="s">
        <v>915</v>
      </c>
      <c r="C272" t="s">
        <v>813</v>
      </c>
      <c r="D272">
        <v>270</v>
      </c>
      <c r="E272" t="str">
        <f t="shared" si="8"/>
        <v>QB</v>
      </c>
      <c r="F272">
        <f t="shared" si="9"/>
        <v>35</v>
      </c>
    </row>
    <row r="273" spans="1:6" x14ac:dyDescent="0.25">
      <c r="A273">
        <v>269</v>
      </c>
      <c r="B273" t="s">
        <v>815</v>
      </c>
      <c r="C273" t="s">
        <v>816</v>
      </c>
      <c r="D273">
        <v>271</v>
      </c>
      <c r="E273" t="str">
        <f t="shared" si="8"/>
        <v>RB</v>
      </c>
      <c r="F273">
        <f t="shared" si="9"/>
        <v>82</v>
      </c>
    </row>
    <row r="274" spans="1:6" x14ac:dyDescent="0.25">
      <c r="A274">
        <v>270</v>
      </c>
      <c r="B274" t="s">
        <v>180</v>
      </c>
      <c r="C274" t="s">
        <v>817</v>
      </c>
      <c r="D274">
        <v>272</v>
      </c>
      <c r="E274" t="str">
        <f t="shared" si="8"/>
        <v>WR</v>
      </c>
      <c r="F274">
        <f t="shared" si="9"/>
        <v>113</v>
      </c>
    </row>
    <row r="275" spans="1:6" x14ac:dyDescent="0.25">
      <c r="A275">
        <v>271</v>
      </c>
      <c r="B275" t="s">
        <v>463</v>
      </c>
      <c r="C275" t="s">
        <v>820</v>
      </c>
      <c r="D275">
        <v>273</v>
      </c>
      <c r="E275" t="str">
        <f t="shared" si="8"/>
        <v>WR</v>
      </c>
      <c r="F275">
        <f t="shared" si="9"/>
        <v>114</v>
      </c>
    </row>
    <row r="276" spans="1:6" x14ac:dyDescent="0.25">
      <c r="A276">
        <v>309</v>
      </c>
      <c r="B276" t="s">
        <v>455</v>
      </c>
      <c r="C276" t="s">
        <v>887</v>
      </c>
      <c r="D276">
        <v>274</v>
      </c>
      <c r="E276" t="str">
        <f t="shared" si="8"/>
        <v>TE</v>
      </c>
      <c r="F276">
        <f t="shared" si="9"/>
        <v>48</v>
      </c>
    </row>
    <row r="277" spans="1:6" x14ac:dyDescent="0.25">
      <c r="A277">
        <v>272</v>
      </c>
      <c r="B277" t="s">
        <v>459</v>
      </c>
      <c r="C277" t="s">
        <v>821</v>
      </c>
      <c r="D277">
        <v>275</v>
      </c>
      <c r="E277" t="str">
        <f t="shared" si="8"/>
        <v>TE</v>
      </c>
      <c r="F277">
        <f t="shared" si="9"/>
        <v>41</v>
      </c>
    </row>
    <row r="278" spans="1:6" x14ac:dyDescent="0.25">
      <c r="A278">
        <v>273</v>
      </c>
      <c r="B278" t="s">
        <v>823</v>
      </c>
      <c r="C278" t="s">
        <v>824</v>
      </c>
      <c r="D278">
        <v>276</v>
      </c>
      <c r="E278" t="str">
        <f t="shared" si="8"/>
        <v>WR</v>
      </c>
      <c r="F278">
        <f t="shared" si="9"/>
        <v>115</v>
      </c>
    </row>
    <row r="279" spans="1:6" x14ac:dyDescent="0.25">
      <c r="A279">
        <v>274</v>
      </c>
      <c r="B279" t="s">
        <v>457</v>
      </c>
      <c r="C279" t="s">
        <v>825</v>
      </c>
      <c r="D279">
        <v>277</v>
      </c>
      <c r="E279" t="str">
        <f t="shared" si="8"/>
        <v>TE</v>
      </c>
      <c r="F279">
        <f t="shared" si="9"/>
        <v>42</v>
      </c>
    </row>
    <row r="280" spans="1:6" x14ac:dyDescent="0.25">
      <c r="A280">
        <v>275</v>
      </c>
      <c r="B280" t="s">
        <v>507</v>
      </c>
      <c r="C280" t="s">
        <v>827</v>
      </c>
      <c r="D280">
        <v>278</v>
      </c>
      <c r="E280" t="str">
        <f t="shared" si="8"/>
        <v>QB</v>
      </c>
      <c r="F280">
        <f t="shared" si="9"/>
        <v>36</v>
      </c>
    </row>
    <row r="281" spans="1:6" x14ac:dyDescent="0.25">
      <c r="A281">
        <v>248</v>
      </c>
      <c r="B281" t="s">
        <v>419</v>
      </c>
      <c r="C281" t="s">
        <v>784</v>
      </c>
      <c r="D281">
        <v>279</v>
      </c>
      <c r="E281" t="str">
        <f t="shared" si="8"/>
        <v>WR</v>
      </c>
      <c r="F281">
        <f t="shared" si="9"/>
        <v>102</v>
      </c>
    </row>
    <row r="282" spans="1:6" x14ac:dyDescent="0.25">
      <c r="A282">
        <v>276</v>
      </c>
      <c r="B282" t="s">
        <v>447</v>
      </c>
      <c r="C282" t="s">
        <v>829</v>
      </c>
      <c r="D282">
        <v>280</v>
      </c>
      <c r="E282" t="str">
        <f t="shared" si="8"/>
        <v>TE</v>
      </c>
      <c r="F282">
        <f t="shared" si="9"/>
        <v>43</v>
      </c>
    </row>
    <row r="283" spans="1:6" x14ac:dyDescent="0.25">
      <c r="A283">
        <v>277</v>
      </c>
      <c r="B283" t="s">
        <v>380</v>
      </c>
      <c r="C283" t="s">
        <v>830</v>
      </c>
      <c r="D283">
        <v>281</v>
      </c>
      <c r="E283" t="str">
        <f t="shared" si="8"/>
        <v>QB</v>
      </c>
      <c r="F283">
        <f t="shared" si="9"/>
        <v>37</v>
      </c>
    </row>
    <row r="284" spans="1:6" x14ac:dyDescent="0.25">
      <c r="A284">
        <v>278</v>
      </c>
      <c r="B284" t="s">
        <v>210</v>
      </c>
      <c r="C284" t="s">
        <v>832</v>
      </c>
      <c r="D284">
        <v>282</v>
      </c>
      <c r="E284" t="str">
        <f t="shared" si="8"/>
        <v>WR</v>
      </c>
      <c r="F284">
        <f t="shared" si="9"/>
        <v>116</v>
      </c>
    </row>
    <row r="285" spans="1:6" x14ac:dyDescent="0.25">
      <c r="A285">
        <v>279</v>
      </c>
      <c r="B285" t="s">
        <v>475</v>
      </c>
      <c r="C285" t="s">
        <v>833</v>
      </c>
      <c r="D285">
        <v>283</v>
      </c>
      <c r="E285" t="str">
        <f t="shared" si="8"/>
        <v>WR</v>
      </c>
      <c r="F285">
        <f t="shared" si="9"/>
        <v>117</v>
      </c>
    </row>
    <row r="286" spans="1:6" x14ac:dyDescent="0.25">
      <c r="A286">
        <v>314</v>
      </c>
      <c r="B286" t="s">
        <v>925</v>
      </c>
      <c r="C286" t="s">
        <v>895</v>
      </c>
      <c r="D286">
        <v>284</v>
      </c>
      <c r="E286" t="str">
        <f t="shared" si="8"/>
        <v>WR</v>
      </c>
      <c r="F286">
        <f t="shared" si="9"/>
        <v>130</v>
      </c>
    </row>
    <row r="287" spans="1:6" x14ac:dyDescent="0.25">
      <c r="A287">
        <v>280</v>
      </c>
      <c r="B287" t="s">
        <v>91</v>
      </c>
      <c r="C287" t="s">
        <v>837</v>
      </c>
      <c r="D287">
        <v>285</v>
      </c>
      <c r="E287" t="str">
        <f t="shared" si="8"/>
        <v>TE</v>
      </c>
      <c r="F287">
        <f t="shared" si="9"/>
        <v>44</v>
      </c>
    </row>
    <row r="288" spans="1:6" x14ac:dyDescent="0.25">
      <c r="A288">
        <v>281</v>
      </c>
      <c r="B288" t="s">
        <v>495</v>
      </c>
      <c r="C288" t="s">
        <v>838</v>
      </c>
      <c r="D288">
        <v>286</v>
      </c>
      <c r="E288" t="str">
        <f t="shared" si="8"/>
        <v>RB</v>
      </c>
      <c r="F288">
        <f t="shared" si="9"/>
        <v>83</v>
      </c>
    </row>
    <row r="289" spans="1:6" x14ac:dyDescent="0.25">
      <c r="A289">
        <v>282</v>
      </c>
      <c r="B289" t="s">
        <v>384</v>
      </c>
      <c r="C289" t="s">
        <v>839</v>
      </c>
      <c r="D289">
        <v>287</v>
      </c>
      <c r="E289" t="str">
        <f t="shared" si="8"/>
        <v>QB</v>
      </c>
      <c r="F289">
        <f t="shared" si="9"/>
        <v>38</v>
      </c>
    </row>
    <row r="290" spans="1:6" x14ac:dyDescent="0.25">
      <c r="A290">
        <v>283</v>
      </c>
      <c r="B290" t="s">
        <v>840</v>
      </c>
      <c r="C290" t="s">
        <v>841</v>
      </c>
      <c r="D290">
        <v>288</v>
      </c>
      <c r="E290" t="str">
        <f t="shared" si="8"/>
        <v>RB</v>
      </c>
      <c r="F290">
        <f t="shared" si="9"/>
        <v>84</v>
      </c>
    </row>
    <row r="291" spans="1:6" x14ac:dyDescent="0.25">
      <c r="A291">
        <v>284</v>
      </c>
      <c r="B291" t="s">
        <v>183</v>
      </c>
      <c r="C291" t="s">
        <v>842</v>
      </c>
      <c r="D291">
        <v>289</v>
      </c>
      <c r="E291" t="str">
        <f t="shared" si="8"/>
        <v>WR</v>
      </c>
      <c r="F291">
        <f t="shared" si="9"/>
        <v>118</v>
      </c>
    </row>
    <row r="292" spans="1:6" x14ac:dyDescent="0.25">
      <c r="A292">
        <v>315</v>
      </c>
      <c r="B292" t="s">
        <v>896</v>
      </c>
      <c r="C292" t="s">
        <v>897</v>
      </c>
      <c r="D292">
        <v>290</v>
      </c>
      <c r="E292" t="str">
        <f t="shared" si="8"/>
        <v>TE</v>
      </c>
      <c r="F292">
        <f t="shared" si="9"/>
        <v>50</v>
      </c>
    </row>
    <row r="293" spans="1:6" x14ac:dyDescent="0.25">
      <c r="A293">
        <v>285</v>
      </c>
      <c r="B293" t="s">
        <v>315</v>
      </c>
      <c r="C293" t="s">
        <v>843</v>
      </c>
      <c r="D293">
        <v>291</v>
      </c>
      <c r="E293" t="str">
        <f t="shared" si="8"/>
        <v>RB</v>
      </c>
      <c r="F293">
        <f t="shared" si="9"/>
        <v>85</v>
      </c>
    </row>
    <row r="294" spans="1:6" x14ac:dyDescent="0.25">
      <c r="A294">
        <v>318</v>
      </c>
      <c r="B294" t="s">
        <v>902</v>
      </c>
      <c r="C294" t="s">
        <v>903</v>
      </c>
      <c r="D294">
        <v>292</v>
      </c>
      <c r="E294" t="str">
        <f t="shared" si="8"/>
        <v>QB</v>
      </c>
      <c r="F294">
        <f t="shared" si="9"/>
        <v>45</v>
      </c>
    </row>
    <row r="295" spans="1:6" x14ac:dyDescent="0.25">
      <c r="A295">
        <v>286</v>
      </c>
      <c r="B295" t="s">
        <v>847</v>
      </c>
      <c r="C295" t="s">
        <v>848</v>
      </c>
      <c r="D295">
        <v>293</v>
      </c>
      <c r="E295" t="str">
        <f t="shared" si="8"/>
        <v>QB</v>
      </c>
      <c r="F295">
        <f t="shared" si="9"/>
        <v>39</v>
      </c>
    </row>
    <row r="296" spans="1:6" x14ac:dyDescent="0.25">
      <c r="A296">
        <v>287</v>
      </c>
      <c r="B296" t="s">
        <v>164</v>
      </c>
      <c r="C296" t="s">
        <v>849</v>
      </c>
      <c r="D296">
        <v>294</v>
      </c>
      <c r="E296" t="str">
        <f t="shared" si="8"/>
        <v>WR</v>
      </c>
      <c r="F296">
        <f t="shared" si="9"/>
        <v>119</v>
      </c>
    </row>
    <row r="297" spans="1:6" x14ac:dyDescent="0.25">
      <c r="A297">
        <v>288</v>
      </c>
      <c r="B297" t="s">
        <v>916</v>
      </c>
      <c r="C297" t="s">
        <v>851</v>
      </c>
      <c r="D297">
        <v>295</v>
      </c>
      <c r="E297" t="str">
        <f t="shared" si="8"/>
        <v>WR</v>
      </c>
      <c r="F297">
        <f t="shared" si="9"/>
        <v>120</v>
      </c>
    </row>
    <row r="298" spans="1:6" x14ac:dyDescent="0.25">
      <c r="A298">
        <v>320</v>
      </c>
      <c r="B298" t="s">
        <v>175</v>
      </c>
      <c r="C298" t="s">
        <v>905</v>
      </c>
      <c r="D298">
        <v>296</v>
      </c>
      <c r="E298" t="str">
        <f t="shared" si="8"/>
        <v>WR</v>
      </c>
      <c r="F298">
        <f t="shared" si="9"/>
        <v>131</v>
      </c>
    </row>
    <row r="299" spans="1:6" x14ac:dyDescent="0.25">
      <c r="A299">
        <v>289</v>
      </c>
      <c r="B299" t="s">
        <v>498</v>
      </c>
      <c r="C299" t="s">
        <v>854</v>
      </c>
      <c r="D299">
        <v>297</v>
      </c>
      <c r="E299" t="str">
        <f t="shared" si="8"/>
        <v>RB</v>
      </c>
      <c r="F299">
        <f t="shared" si="9"/>
        <v>86</v>
      </c>
    </row>
    <row r="300" spans="1:6" x14ac:dyDescent="0.25">
      <c r="A300">
        <v>290</v>
      </c>
      <c r="B300" t="s">
        <v>179</v>
      </c>
      <c r="C300" t="s">
        <v>855</v>
      </c>
      <c r="D300">
        <v>298</v>
      </c>
      <c r="E300" t="str">
        <f t="shared" si="8"/>
        <v>WR</v>
      </c>
      <c r="F300">
        <f t="shared" si="9"/>
        <v>121</v>
      </c>
    </row>
    <row r="301" spans="1:6" x14ac:dyDescent="0.25">
      <c r="A301">
        <v>291</v>
      </c>
      <c r="B301" t="s">
        <v>917</v>
      </c>
      <c r="C301" t="s">
        <v>856</v>
      </c>
      <c r="D301">
        <v>299</v>
      </c>
      <c r="E301" t="str">
        <f t="shared" si="8"/>
        <v>TE</v>
      </c>
      <c r="F301">
        <f t="shared" si="9"/>
        <v>45</v>
      </c>
    </row>
    <row r="302" spans="1:6" x14ac:dyDescent="0.25">
      <c r="A302">
        <v>292</v>
      </c>
      <c r="B302" t="s">
        <v>150</v>
      </c>
      <c r="C302" t="s">
        <v>857</v>
      </c>
      <c r="D302">
        <v>300</v>
      </c>
      <c r="E302" t="str">
        <f t="shared" si="8"/>
        <v>WR</v>
      </c>
      <c r="F302">
        <f t="shared" si="9"/>
        <v>122</v>
      </c>
    </row>
    <row r="303" spans="1:6" x14ac:dyDescent="0.25">
      <c r="A303">
        <v>293</v>
      </c>
      <c r="B303" t="s">
        <v>859</v>
      </c>
      <c r="C303" t="s">
        <v>860</v>
      </c>
      <c r="D303">
        <v>301</v>
      </c>
      <c r="E303" t="str">
        <f t="shared" si="8"/>
        <v>TE</v>
      </c>
      <c r="F303">
        <f t="shared" si="9"/>
        <v>46</v>
      </c>
    </row>
    <row r="304" spans="1:6" x14ac:dyDescent="0.25">
      <c r="A304">
        <v>294</v>
      </c>
      <c r="B304" t="s">
        <v>193</v>
      </c>
      <c r="C304" t="s">
        <v>861</v>
      </c>
      <c r="D304">
        <v>302</v>
      </c>
      <c r="E304" t="str">
        <f t="shared" si="8"/>
        <v>WR</v>
      </c>
      <c r="F304">
        <f t="shared" si="9"/>
        <v>123</v>
      </c>
    </row>
    <row r="305" spans="1:6" x14ac:dyDescent="0.25">
      <c r="A305">
        <v>295</v>
      </c>
      <c r="B305" t="s">
        <v>480</v>
      </c>
      <c r="C305" t="s">
        <v>862</v>
      </c>
      <c r="D305">
        <v>303</v>
      </c>
      <c r="E305" t="str">
        <f t="shared" si="8"/>
        <v>WR</v>
      </c>
      <c r="F305">
        <f t="shared" si="9"/>
        <v>124</v>
      </c>
    </row>
    <row r="306" spans="1:6" x14ac:dyDescent="0.25">
      <c r="A306">
        <v>296</v>
      </c>
      <c r="B306" t="s">
        <v>864</v>
      </c>
      <c r="C306" t="s">
        <v>865</v>
      </c>
      <c r="D306">
        <v>304</v>
      </c>
      <c r="E306" t="str">
        <f t="shared" si="8"/>
        <v>RB</v>
      </c>
      <c r="F306">
        <f t="shared" si="9"/>
        <v>87</v>
      </c>
    </row>
    <row r="307" spans="1:6" x14ac:dyDescent="0.25">
      <c r="A307">
        <v>297</v>
      </c>
      <c r="B307" t="s">
        <v>479</v>
      </c>
      <c r="C307" t="s">
        <v>868</v>
      </c>
      <c r="D307">
        <v>305</v>
      </c>
      <c r="E307" t="str">
        <f t="shared" si="8"/>
        <v>WR</v>
      </c>
      <c r="F307">
        <f t="shared" si="9"/>
        <v>125</v>
      </c>
    </row>
    <row r="308" spans="1:6" x14ac:dyDescent="0.25">
      <c r="A308">
        <v>299</v>
      </c>
      <c r="B308" t="s">
        <v>871</v>
      </c>
      <c r="C308" t="s">
        <v>872</v>
      </c>
      <c r="D308">
        <v>306</v>
      </c>
      <c r="E308" t="str">
        <f t="shared" si="8"/>
        <v>WR</v>
      </c>
      <c r="F308">
        <f t="shared" si="9"/>
        <v>126</v>
      </c>
    </row>
    <row r="309" spans="1:6" x14ac:dyDescent="0.25">
      <c r="A309">
        <v>300</v>
      </c>
      <c r="B309" t="s">
        <v>169</v>
      </c>
      <c r="C309" t="s">
        <v>873</v>
      </c>
      <c r="D309">
        <v>307</v>
      </c>
      <c r="E309" t="str">
        <f t="shared" si="8"/>
        <v>WR</v>
      </c>
      <c r="F309">
        <f t="shared" si="9"/>
        <v>127</v>
      </c>
    </row>
    <row r="310" spans="1:6" x14ac:dyDescent="0.25">
      <c r="A310">
        <v>301</v>
      </c>
      <c r="B310" t="s">
        <v>918</v>
      </c>
      <c r="C310" t="s">
        <v>874</v>
      </c>
      <c r="D310">
        <v>308</v>
      </c>
      <c r="E310" t="str">
        <f t="shared" si="8"/>
        <v>QB</v>
      </c>
      <c r="F310">
        <f t="shared" si="9"/>
        <v>40</v>
      </c>
    </row>
    <row r="311" spans="1:6" x14ac:dyDescent="0.25">
      <c r="A311">
        <v>302</v>
      </c>
      <c r="B311" t="s">
        <v>919</v>
      </c>
      <c r="C311" t="s">
        <v>875</v>
      </c>
      <c r="D311">
        <v>309</v>
      </c>
      <c r="E311" t="str">
        <f t="shared" si="8"/>
        <v>RB</v>
      </c>
      <c r="F311">
        <f t="shared" si="9"/>
        <v>89</v>
      </c>
    </row>
    <row r="312" spans="1:6" x14ac:dyDescent="0.25">
      <c r="A312">
        <v>303</v>
      </c>
      <c r="B312" t="s">
        <v>920</v>
      </c>
      <c r="C312" t="s">
        <v>877</v>
      </c>
      <c r="D312">
        <v>310</v>
      </c>
      <c r="E312" t="str">
        <f t="shared" si="8"/>
        <v>RB</v>
      </c>
      <c r="F312">
        <f t="shared" si="9"/>
        <v>90</v>
      </c>
    </row>
    <row r="313" spans="1:6" x14ac:dyDescent="0.25">
      <c r="A313">
        <v>305</v>
      </c>
      <c r="B313" t="s">
        <v>921</v>
      </c>
      <c r="C313" t="s">
        <v>880</v>
      </c>
      <c r="D313">
        <v>311</v>
      </c>
      <c r="E313" t="str">
        <f t="shared" si="8"/>
        <v>WR</v>
      </c>
      <c r="F313">
        <f t="shared" si="9"/>
        <v>128</v>
      </c>
    </row>
    <row r="314" spans="1:6" x14ac:dyDescent="0.25">
      <c r="A314">
        <v>307</v>
      </c>
      <c r="B314" t="s">
        <v>922</v>
      </c>
      <c r="C314" t="s">
        <v>883</v>
      </c>
      <c r="D314">
        <v>312</v>
      </c>
      <c r="E314" t="str">
        <f t="shared" si="8"/>
        <v>RB</v>
      </c>
      <c r="F314">
        <f t="shared" si="9"/>
        <v>92</v>
      </c>
    </row>
    <row r="315" spans="1:6" x14ac:dyDescent="0.25">
      <c r="A315">
        <v>308</v>
      </c>
      <c r="B315" t="s">
        <v>439</v>
      </c>
      <c r="C315" t="s">
        <v>884</v>
      </c>
      <c r="D315">
        <v>313</v>
      </c>
      <c r="E315" t="str">
        <f t="shared" si="8"/>
        <v>TE</v>
      </c>
      <c r="F315">
        <f t="shared" si="9"/>
        <v>47</v>
      </c>
    </row>
    <row r="316" spans="1:6" x14ac:dyDescent="0.25">
      <c r="A316">
        <v>310</v>
      </c>
      <c r="B316" t="s">
        <v>923</v>
      </c>
      <c r="C316" t="s">
        <v>888</v>
      </c>
      <c r="D316">
        <v>314</v>
      </c>
      <c r="E316" t="str">
        <f t="shared" si="8"/>
        <v>TE</v>
      </c>
      <c r="F316">
        <f t="shared" si="9"/>
        <v>49</v>
      </c>
    </row>
    <row r="317" spans="1:6" x14ac:dyDescent="0.25">
      <c r="A317">
        <v>311</v>
      </c>
      <c r="B317" t="s">
        <v>412</v>
      </c>
      <c r="C317" t="s">
        <v>890</v>
      </c>
      <c r="D317">
        <v>315</v>
      </c>
      <c r="E317" t="str">
        <f t="shared" si="8"/>
        <v>WR</v>
      </c>
      <c r="F317">
        <f t="shared" si="9"/>
        <v>129</v>
      </c>
    </row>
    <row r="318" spans="1:6" x14ac:dyDescent="0.25">
      <c r="A318">
        <v>312</v>
      </c>
      <c r="B318" t="s">
        <v>892</v>
      </c>
      <c r="C318" t="s">
        <v>893</v>
      </c>
      <c r="D318">
        <v>316</v>
      </c>
      <c r="E318" t="str">
        <f t="shared" si="8"/>
        <v>RB</v>
      </c>
      <c r="F318">
        <f t="shared" si="9"/>
        <v>93</v>
      </c>
    </row>
    <row r="319" spans="1:6" x14ac:dyDescent="0.25">
      <c r="A319">
        <v>313</v>
      </c>
      <c r="B319" t="s">
        <v>924</v>
      </c>
      <c r="C319" t="s">
        <v>894</v>
      </c>
      <c r="D319">
        <v>317</v>
      </c>
      <c r="E319" t="str">
        <f t="shared" si="8"/>
        <v>QB</v>
      </c>
      <c r="F319">
        <f t="shared" si="9"/>
        <v>42</v>
      </c>
    </row>
    <row r="320" spans="1:6" x14ac:dyDescent="0.25">
      <c r="A320">
        <v>316</v>
      </c>
      <c r="B320" t="s">
        <v>898</v>
      </c>
      <c r="C320" t="s">
        <v>899</v>
      </c>
      <c r="D320">
        <v>318</v>
      </c>
      <c r="E320" t="str">
        <f t="shared" si="8"/>
        <v>QB</v>
      </c>
      <c r="F320">
        <f t="shared" si="9"/>
        <v>43</v>
      </c>
    </row>
    <row r="321" spans="1:6" x14ac:dyDescent="0.25">
      <c r="A321">
        <v>319</v>
      </c>
      <c r="B321" t="s">
        <v>293</v>
      </c>
      <c r="C321" t="s">
        <v>904</v>
      </c>
      <c r="D321">
        <v>319</v>
      </c>
      <c r="E321" t="str">
        <f t="shared" si="8"/>
        <v>RB</v>
      </c>
      <c r="F321">
        <f t="shared" si="9"/>
        <v>94</v>
      </c>
    </row>
    <row r="322" spans="1:6" x14ac:dyDescent="0.25">
      <c r="A322">
        <v>317</v>
      </c>
      <c r="B322" t="s">
        <v>347</v>
      </c>
      <c r="C322" t="s">
        <v>900</v>
      </c>
      <c r="D322">
        <v>320</v>
      </c>
      <c r="E322" t="str">
        <f t="shared" si="8"/>
        <v>QB</v>
      </c>
      <c r="F322">
        <f t="shared" si="9"/>
        <v>44</v>
      </c>
    </row>
    <row r="323" spans="1:6" x14ac:dyDescent="0.25">
      <c r="A323">
        <v>321</v>
      </c>
      <c r="B323" t="s">
        <v>382</v>
      </c>
      <c r="C323" t="s">
        <v>906</v>
      </c>
      <c r="E323" t="str">
        <f t="shared" si="8"/>
        <v>QB</v>
      </c>
      <c r="F323">
        <f t="shared" si="9"/>
        <v>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33AC4-8E56-4F2D-93C7-FB43900894B3}">
  <sheetPr filterMode="1"/>
  <dimension ref="A1:F436"/>
  <sheetViews>
    <sheetView workbookViewId="0">
      <selection activeCell="B437" sqref="B437"/>
    </sheetView>
  </sheetViews>
  <sheetFormatPr defaultRowHeight="15" x14ac:dyDescent="0.25"/>
  <cols>
    <col min="2" max="2" width="21.7109375" customWidth="1"/>
  </cols>
  <sheetData>
    <row r="1" spans="1:6" x14ac:dyDescent="0.25">
      <c r="A1" t="s">
        <v>520</v>
      </c>
    </row>
    <row r="2" spans="1:6" x14ac:dyDescent="0.25">
      <c r="A2" t="s">
        <v>521</v>
      </c>
      <c r="B2" t="s">
        <v>522</v>
      </c>
      <c r="C2" t="s">
        <v>523</v>
      </c>
      <c r="D2" t="s">
        <v>6</v>
      </c>
      <c r="E2" t="s">
        <v>523</v>
      </c>
      <c r="F2" t="s">
        <v>1069</v>
      </c>
    </row>
    <row r="3" spans="1:6" hidden="1" x14ac:dyDescent="0.25">
      <c r="A3">
        <v>1</v>
      </c>
      <c r="B3" t="s">
        <v>221</v>
      </c>
      <c r="C3" t="s">
        <v>524</v>
      </c>
      <c r="D3">
        <v>1</v>
      </c>
      <c r="E3" t="str">
        <f>LEFT(C3,2)</f>
        <v>RB</v>
      </c>
      <c r="F3">
        <f>VALUE(MID(C3,3,LEN(C3)))</f>
        <v>1</v>
      </c>
    </row>
    <row r="4" spans="1:6" hidden="1" x14ac:dyDescent="0.25">
      <c r="A4">
        <v>2</v>
      </c>
      <c r="B4" t="s">
        <v>121</v>
      </c>
      <c r="C4" t="s">
        <v>525</v>
      </c>
      <c r="D4">
        <v>2</v>
      </c>
      <c r="E4" t="str">
        <f t="shared" ref="E4:E67" si="0">LEFT(C4,2)</f>
        <v>WR</v>
      </c>
      <c r="F4">
        <f t="shared" ref="F4:F67" si="1">VALUE(MID(C4,3,LEN(C4)))</f>
        <v>1</v>
      </c>
    </row>
    <row r="5" spans="1:6" hidden="1" x14ac:dyDescent="0.25">
      <c r="A5">
        <v>3</v>
      </c>
      <c r="B5" t="s">
        <v>204</v>
      </c>
      <c r="C5" t="s">
        <v>527</v>
      </c>
      <c r="D5">
        <v>3</v>
      </c>
      <c r="E5" t="str">
        <f t="shared" si="0"/>
        <v>WR</v>
      </c>
      <c r="F5">
        <f t="shared" si="1"/>
        <v>2</v>
      </c>
    </row>
    <row r="6" spans="1:6" hidden="1" x14ac:dyDescent="0.25">
      <c r="A6">
        <v>4</v>
      </c>
      <c r="B6" t="s">
        <v>239</v>
      </c>
      <c r="C6" t="s">
        <v>531</v>
      </c>
      <c r="D6">
        <v>4</v>
      </c>
      <c r="E6" t="str">
        <f t="shared" si="0"/>
        <v>RB</v>
      </c>
      <c r="F6">
        <f t="shared" si="1"/>
        <v>2</v>
      </c>
    </row>
    <row r="7" spans="1:6" hidden="1" x14ac:dyDescent="0.25">
      <c r="A7">
        <v>5</v>
      </c>
      <c r="B7" t="s">
        <v>102</v>
      </c>
      <c r="C7" t="s">
        <v>528</v>
      </c>
      <c r="D7">
        <v>5</v>
      </c>
      <c r="E7" t="str">
        <f t="shared" si="0"/>
        <v>WR</v>
      </c>
      <c r="F7">
        <f t="shared" si="1"/>
        <v>3</v>
      </c>
    </row>
    <row r="8" spans="1:6" hidden="1" x14ac:dyDescent="0.25">
      <c r="A8">
        <v>6</v>
      </c>
      <c r="B8" t="s">
        <v>222</v>
      </c>
      <c r="C8" t="s">
        <v>540</v>
      </c>
      <c r="D8">
        <v>6</v>
      </c>
      <c r="E8" t="str">
        <f t="shared" si="0"/>
        <v>RB</v>
      </c>
      <c r="F8">
        <f t="shared" si="1"/>
        <v>3</v>
      </c>
    </row>
    <row r="9" spans="1:6" hidden="1" x14ac:dyDescent="0.25">
      <c r="A9">
        <v>7</v>
      </c>
      <c r="B9" t="s">
        <v>103</v>
      </c>
      <c r="C9" t="s">
        <v>529</v>
      </c>
      <c r="D9">
        <v>7</v>
      </c>
      <c r="E9" t="str">
        <f t="shared" si="0"/>
        <v>WR</v>
      </c>
      <c r="F9">
        <f t="shared" si="1"/>
        <v>4</v>
      </c>
    </row>
    <row r="10" spans="1:6" hidden="1" x14ac:dyDescent="0.25">
      <c r="A10">
        <v>8</v>
      </c>
      <c r="B10" t="s">
        <v>120</v>
      </c>
      <c r="C10" t="s">
        <v>530</v>
      </c>
      <c r="D10">
        <v>8</v>
      </c>
      <c r="E10" t="str">
        <f t="shared" si="0"/>
        <v>WR</v>
      </c>
      <c r="F10">
        <f t="shared" si="1"/>
        <v>5</v>
      </c>
    </row>
    <row r="11" spans="1:6" hidden="1" x14ac:dyDescent="0.25">
      <c r="A11">
        <v>9</v>
      </c>
      <c r="B11" t="s">
        <v>110</v>
      </c>
      <c r="C11" t="s">
        <v>535</v>
      </c>
      <c r="D11">
        <v>9</v>
      </c>
      <c r="E11" t="str">
        <f t="shared" si="0"/>
        <v>WR</v>
      </c>
      <c r="F11">
        <f t="shared" si="1"/>
        <v>6</v>
      </c>
    </row>
    <row r="12" spans="1:6" hidden="1" x14ac:dyDescent="0.25">
      <c r="A12">
        <v>10</v>
      </c>
      <c r="B12" t="s">
        <v>161</v>
      </c>
      <c r="C12" t="s">
        <v>536</v>
      </c>
      <c r="D12">
        <v>10</v>
      </c>
      <c r="E12" t="str">
        <f t="shared" si="0"/>
        <v>WR</v>
      </c>
      <c r="F12">
        <f t="shared" si="1"/>
        <v>7</v>
      </c>
    </row>
    <row r="13" spans="1:6" hidden="1" x14ac:dyDescent="0.25">
      <c r="A13">
        <v>11</v>
      </c>
      <c r="B13" t="s">
        <v>224</v>
      </c>
      <c r="C13" t="s">
        <v>544</v>
      </c>
      <c r="D13">
        <v>11</v>
      </c>
      <c r="E13" t="str">
        <f t="shared" si="0"/>
        <v>RB</v>
      </c>
      <c r="F13">
        <f t="shared" si="1"/>
        <v>4</v>
      </c>
    </row>
    <row r="14" spans="1:6" hidden="1" x14ac:dyDescent="0.25">
      <c r="A14">
        <v>12</v>
      </c>
      <c r="B14" t="s">
        <v>100</v>
      </c>
      <c r="C14" t="s">
        <v>538</v>
      </c>
      <c r="D14">
        <v>12</v>
      </c>
      <c r="E14" t="str">
        <f t="shared" si="0"/>
        <v>WR</v>
      </c>
      <c r="F14">
        <f t="shared" si="1"/>
        <v>8</v>
      </c>
    </row>
    <row r="15" spans="1:6" hidden="1" x14ac:dyDescent="0.25">
      <c r="A15">
        <v>13</v>
      </c>
      <c r="B15" t="s">
        <v>223</v>
      </c>
      <c r="C15" t="s">
        <v>545</v>
      </c>
      <c r="D15">
        <v>13</v>
      </c>
      <c r="E15" t="str">
        <f t="shared" si="0"/>
        <v>RB</v>
      </c>
      <c r="F15">
        <f t="shared" si="1"/>
        <v>5</v>
      </c>
    </row>
    <row r="16" spans="1:6" hidden="1" x14ac:dyDescent="0.25">
      <c r="A16">
        <v>14</v>
      </c>
      <c r="B16" t="s">
        <v>148</v>
      </c>
      <c r="C16" t="s">
        <v>539</v>
      </c>
      <c r="D16">
        <v>14</v>
      </c>
      <c r="E16" t="str">
        <f t="shared" si="0"/>
        <v>WR</v>
      </c>
      <c r="F16">
        <f t="shared" si="1"/>
        <v>9</v>
      </c>
    </row>
    <row r="17" spans="1:6" hidden="1" x14ac:dyDescent="0.25">
      <c r="A17">
        <v>15</v>
      </c>
      <c r="B17" t="s">
        <v>234</v>
      </c>
      <c r="C17" t="s">
        <v>547</v>
      </c>
      <c r="D17">
        <v>15</v>
      </c>
      <c r="E17" t="str">
        <f t="shared" si="0"/>
        <v>RB</v>
      </c>
      <c r="F17">
        <f t="shared" si="1"/>
        <v>6</v>
      </c>
    </row>
    <row r="18" spans="1:6" hidden="1" x14ac:dyDescent="0.25">
      <c r="A18">
        <v>16</v>
      </c>
      <c r="B18" t="s">
        <v>118</v>
      </c>
      <c r="C18" t="s">
        <v>541</v>
      </c>
      <c r="D18">
        <v>16</v>
      </c>
      <c r="E18" t="str">
        <f t="shared" si="0"/>
        <v>WR</v>
      </c>
      <c r="F18">
        <f t="shared" si="1"/>
        <v>10</v>
      </c>
    </row>
    <row r="19" spans="1:6" x14ac:dyDescent="0.25">
      <c r="A19">
        <v>17</v>
      </c>
      <c r="B19" t="s">
        <v>225</v>
      </c>
      <c r="C19" t="s">
        <v>550</v>
      </c>
      <c r="D19">
        <v>17</v>
      </c>
      <c r="E19" t="str">
        <f t="shared" si="0"/>
        <v>RB</v>
      </c>
      <c r="F19">
        <f t="shared" si="1"/>
        <v>7</v>
      </c>
    </row>
    <row r="20" spans="1:6" hidden="1" x14ac:dyDescent="0.25">
      <c r="A20">
        <v>18</v>
      </c>
      <c r="B20" t="s">
        <v>107</v>
      </c>
      <c r="C20" t="s">
        <v>543</v>
      </c>
      <c r="D20">
        <v>18</v>
      </c>
      <c r="E20" t="str">
        <f t="shared" si="0"/>
        <v>WR</v>
      </c>
      <c r="F20">
        <f t="shared" si="1"/>
        <v>11</v>
      </c>
    </row>
    <row r="21" spans="1:6" hidden="1" x14ac:dyDescent="0.25">
      <c r="A21">
        <v>19</v>
      </c>
      <c r="B21" t="s">
        <v>108</v>
      </c>
      <c r="C21" t="s">
        <v>548</v>
      </c>
      <c r="D21">
        <v>19</v>
      </c>
      <c r="E21" t="str">
        <f t="shared" si="0"/>
        <v>WR</v>
      </c>
      <c r="F21">
        <f t="shared" si="1"/>
        <v>12</v>
      </c>
    </row>
    <row r="22" spans="1:6" hidden="1" x14ac:dyDescent="0.25">
      <c r="A22">
        <v>20</v>
      </c>
      <c r="B22" t="s">
        <v>124</v>
      </c>
      <c r="C22" t="s">
        <v>549</v>
      </c>
      <c r="D22">
        <v>20</v>
      </c>
      <c r="E22" t="str">
        <f t="shared" si="0"/>
        <v>WR</v>
      </c>
      <c r="F22">
        <f t="shared" si="1"/>
        <v>13</v>
      </c>
    </row>
    <row r="23" spans="1:6" hidden="1" x14ac:dyDescent="0.25">
      <c r="A23">
        <v>21</v>
      </c>
      <c r="B23" t="s">
        <v>229</v>
      </c>
      <c r="C23" t="s">
        <v>552</v>
      </c>
      <c r="D23">
        <v>21</v>
      </c>
      <c r="E23" t="str">
        <f t="shared" si="0"/>
        <v>RB</v>
      </c>
      <c r="F23">
        <f t="shared" si="1"/>
        <v>8</v>
      </c>
    </row>
    <row r="24" spans="1:6" hidden="1" x14ac:dyDescent="0.25">
      <c r="A24">
        <v>22</v>
      </c>
      <c r="B24" t="s">
        <v>105</v>
      </c>
      <c r="C24" t="s">
        <v>555</v>
      </c>
      <c r="D24">
        <v>22</v>
      </c>
      <c r="E24" t="str">
        <f t="shared" si="0"/>
        <v>WR</v>
      </c>
      <c r="F24">
        <f t="shared" si="1"/>
        <v>14</v>
      </c>
    </row>
    <row r="25" spans="1:6" hidden="1" x14ac:dyDescent="0.25">
      <c r="A25">
        <v>23</v>
      </c>
      <c r="B25" t="s">
        <v>152</v>
      </c>
      <c r="C25" t="s">
        <v>556</v>
      </c>
      <c r="D25">
        <v>23</v>
      </c>
      <c r="E25" t="str">
        <f t="shared" si="0"/>
        <v>WR</v>
      </c>
      <c r="F25">
        <f t="shared" si="1"/>
        <v>15</v>
      </c>
    </row>
    <row r="26" spans="1:6" hidden="1" x14ac:dyDescent="0.25">
      <c r="A26">
        <v>24</v>
      </c>
      <c r="B26" t="s">
        <v>228</v>
      </c>
      <c r="C26" t="s">
        <v>553</v>
      </c>
      <c r="D26">
        <v>24</v>
      </c>
      <c r="E26" t="str">
        <f t="shared" si="0"/>
        <v>RB</v>
      </c>
      <c r="F26">
        <f t="shared" si="1"/>
        <v>9</v>
      </c>
    </row>
    <row r="27" spans="1:6" hidden="1" x14ac:dyDescent="0.25">
      <c r="A27">
        <v>25</v>
      </c>
      <c r="B27" t="s">
        <v>230</v>
      </c>
      <c r="C27" t="s">
        <v>554</v>
      </c>
      <c r="D27">
        <v>25</v>
      </c>
      <c r="E27" t="str">
        <f t="shared" si="0"/>
        <v>RB</v>
      </c>
      <c r="F27">
        <f t="shared" si="1"/>
        <v>10</v>
      </c>
    </row>
    <row r="28" spans="1:6" hidden="1" x14ac:dyDescent="0.25">
      <c r="A28">
        <v>26</v>
      </c>
      <c r="B28" t="s">
        <v>276</v>
      </c>
      <c r="C28" t="s">
        <v>563</v>
      </c>
      <c r="D28">
        <v>26</v>
      </c>
      <c r="E28" t="str">
        <f t="shared" si="0"/>
        <v>RB</v>
      </c>
      <c r="F28">
        <f t="shared" si="1"/>
        <v>11</v>
      </c>
    </row>
    <row r="29" spans="1:6" hidden="1" x14ac:dyDescent="0.25">
      <c r="A29">
        <v>27</v>
      </c>
      <c r="B29" t="s">
        <v>123</v>
      </c>
      <c r="C29" t="s">
        <v>557</v>
      </c>
      <c r="D29">
        <v>27</v>
      </c>
      <c r="E29" t="str">
        <f t="shared" si="0"/>
        <v>WR</v>
      </c>
      <c r="F29">
        <f t="shared" si="1"/>
        <v>16</v>
      </c>
    </row>
    <row r="30" spans="1:6" hidden="1" x14ac:dyDescent="0.25">
      <c r="A30">
        <v>28</v>
      </c>
      <c r="B30" t="s">
        <v>332</v>
      </c>
      <c r="C30" t="s">
        <v>532</v>
      </c>
      <c r="D30">
        <v>28</v>
      </c>
      <c r="E30" t="str">
        <f t="shared" si="0"/>
        <v>QB</v>
      </c>
      <c r="F30">
        <f t="shared" si="1"/>
        <v>1</v>
      </c>
    </row>
    <row r="31" spans="1:6" hidden="1" x14ac:dyDescent="0.25">
      <c r="A31">
        <v>29</v>
      </c>
      <c r="B31" t="s">
        <v>125</v>
      </c>
      <c r="C31" t="s">
        <v>558</v>
      </c>
      <c r="D31">
        <v>29</v>
      </c>
      <c r="E31" t="str">
        <f t="shared" si="0"/>
        <v>WR</v>
      </c>
      <c r="F31">
        <f t="shared" si="1"/>
        <v>17</v>
      </c>
    </row>
    <row r="32" spans="1:6" hidden="1" x14ac:dyDescent="0.25">
      <c r="A32">
        <v>30</v>
      </c>
      <c r="B32" t="s">
        <v>134</v>
      </c>
      <c r="C32" t="s">
        <v>560</v>
      </c>
      <c r="D32">
        <v>30</v>
      </c>
      <c r="E32" t="str">
        <f t="shared" si="0"/>
        <v>WR</v>
      </c>
      <c r="F32">
        <f t="shared" si="1"/>
        <v>18</v>
      </c>
    </row>
    <row r="33" spans="1:6" hidden="1" x14ac:dyDescent="0.25">
      <c r="A33">
        <v>31</v>
      </c>
      <c r="B33" t="s">
        <v>426</v>
      </c>
      <c r="C33" t="s">
        <v>562</v>
      </c>
      <c r="D33">
        <v>31</v>
      </c>
      <c r="E33" t="str">
        <f t="shared" si="0"/>
        <v>WR</v>
      </c>
      <c r="F33">
        <f t="shared" si="1"/>
        <v>19</v>
      </c>
    </row>
    <row r="34" spans="1:6" hidden="1" x14ac:dyDescent="0.25">
      <c r="A34">
        <v>32</v>
      </c>
      <c r="B34" t="s">
        <v>201</v>
      </c>
      <c r="C34" t="s">
        <v>566</v>
      </c>
      <c r="D34">
        <v>32</v>
      </c>
      <c r="E34" t="str">
        <f t="shared" si="0"/>
        <v>WR</v>
      </c>
      <c r="F34">
        <f t="shared" si="1"/>
        <v>20</v>
      </c>
    </row>
    <row r="35" spans="1:6" hidden="1" x14ac:dyDescent="0.25">
      <c r="A35">
        <v>33</v>
      </c>
      <c r="B35" t="s">
        <v>174</v>
      </c>
      <c r="C35" t="s">
        <v>567</v>
      </c>
      <c r="D35">
        <v>33</v>
      </c>
      <c r="E35" t="str">
        <f t="shared" si="0"/>
        <v>WR</v>
      </c>
      <c r="F35">
        <f t="shared" si="1"/>
        <v>21</v>
      </c>
    </row>
    <row r="36" spans="1:6" hidden="1" x14ac:dyDescent="0.25">
      <c r="A36">
        <v>34</v>
      </c>
      <c r="B36" t="s">
        <v>119</v>
      </c>
      <c r="C36" t="s">
        <v>570</v>
      </c>
      <c r="D36">
        <v>34</v>
      </c>
      <c r="E36" t="str">
        <f t="shared" si="0"/>
        <v>WR</v>
      </c>
      <c r="F36">
        <f t="shared" si="1"/>
        <v>22</v>
      </c>
    </row>
    <row r="37" spans="1:6" hidden="1" x14ac:dyDescent="0.25">
      <c r="A37">
        <v>35</v>
      </c>
      <c r="B37" t="s">
        <v>117</v>
      </c>
      <c r="C37" t="s">
        <v>573</v>
      </c>
      <c r="D37">
        <v>35</v>
      </c>
      <c r="E37" t="str">
        <f t="shared" si="0"/>
        <v>WR</v>
      </c>
      <c r="F37">
        <f t="shared" si="1"/>
        <v>23</v>
      </c>
    </row>
    <row r="38" spans="1:6" hidden="1" x14ac:dyDescent="0.25">
      <c r="A38">
        <v>36</v>
      </c>
      <c r="B38" t="s">
        <v>74</v>
      </c>
      <c r="C38" t="s">
        <v>526</v>
      </c>
      <c r="D38">
        <v>36</v>
      </c>
      <c r="E38" t="str">
        <f t="shared" si="0"/>
        <v>TE</v>
      </c>
      <c r="F38">
        <f t="shared" si="1"/>
        <v>1</v>
      </c>
    </row>
    <row r="39" spans="1:6" hidden="1" x14ac:dyDescent="0.25">
      <c r="A39">
        <v>37</v>
      </c>
      <c r="B39" t="s">
        <v>340</v>
      </c>
      <c r="C39" t="s">
        <v>533</v>
      </c>
      <c r="D39">
        <v>37</v>
      </c>
      <c r="E39" t="str">
        <f t="shared" si="0"/>
        <v>QB</v>
      </c>
      <c r="F39">
        <f t="shared" si="1"/>
        <v>2</v>
      </c>
    </row>
    <row r="40" spans="1:6" hidden="1" x14ac:dyDescent="0.25">
      <c r="A40">
        <v>38</v>
      </c>
      <c r="B40" t="s">
        <v>233</v>
      </c>
      <c r="C40" t="s">
        <v>565</v>
      </c>
      <c r="D40">
        <v>38</v>
      </c>
      <c r="E40" t="str">
        <f t="shared" si="0"/>
        <v>RB</v>
      </c>
      <c r="F40">
        <f t="shared" si="1"/>
        <v>12</v>
      </c>
    </row>
    <row r="41" spans="1:6" hidden="1" x14ac:dyDescent="0.25">
      <c r="A41">
        <v>39</v>
      </c>
      <c r="B41" t="s">
        <v>342</v>
      </c>
      <c r="C41" t="s">
        <v>534</v>
      </c>
      <c r="D41">
        <v>39</v>
      </c>
      <c r="E41" t="str">
        <f t="shared" si="0"/>
        <v>QB</v>
      </c>
      <c r="F41">
        <f t="shared" si="1"/>
        <v>3</v>
      </c>
    </row>
    <row r="42" spans="1:6" hidden="1" x14ac:dyDescent="0.25">
      <c r="A42">
        <v>40</v>
      </c>
      <c r="B42" t="s">
        <v>25</v>
      </c>
      <c r="C42" t="s">
        <v>542</v>
      </c>
      <c r="D42">
        <v>40</v>
      </c>
      <c r="E42" t="str">
        <f t="shared" si="0"/>
        <v>TE</v>
      </c>
      <c r="F42">
        <f t="shared" si="1"/>
        <v>2</v>
      </c>
    </row>
    <row r="43" spans="1:6" hidden="1" x14ac:dyDescent="0.25">
      <c r="A43">
        <v>41</v>
      </c>
      <c r="B43" t="s">
        <v>116</v>
      </c>
      <c r="C43" t="s">
        <v>574</v>
      </c>
      <c r="D43">
        <v>41</v>
      </c>
      <c r="E43" t="str">
        <f t="shared" si="0"/>
        <v>WR</v>
      </c>
      <c r="F43">
        <f t="shared" si="1"/>
        <v>24</v>
      </c>
    </row>
    <row r="44" spans="1:6" hidden="1" x14ac:dyDescent="0.25">
      <c r="A44">
        <v>42</v>
      </c>
      <c r="B44" t="s">
        <v>139</v>
      </c>
      <c r="C44" t="s">
        <v>578</v>
      </c>
      <c r="D44">
        <v>42</v>
      </c>
      <c r="E44" t="str">
        <f t="shared" si="0"/>
        <v>WR</v>
      </c>
      <c r="F44">
        <f t="shared" si="1"/>
        <v>25</v>
      </c>
    </row>
    <row r="45" spans="1:6" hidden="1" x14ac:dyDescent="0.25">
      <c r="A45">
        <v>43</v>
      </c>
      <c r="B45" t="s">
        <v>351</v>
      </c>
      <c r="C45" t="s">
        <v>537</v>
      </c>
      <c r="D45">
        <v>43</v>
      </c>
      <c r="E45" t="str">
        <f t="shared" si="0"/>
        <v>QB</v>
      </c>
      <c r="F45">
        <f t="shared" si="1"/>
        <v>4</v>
      </c>
    </row>
    <row r="46" spans="1:6" hidden="1" x14ac:dyDescent="0.25">
      <c r="A46">
        <v>44</v>
      </c>
      <c r="B46" t="s">
        <v>226</v>
      </c>
      <c r="C46" t="s">
        <v>568</v>
      </c>
      <c r="D46">
        <v>44</v>
      </c>
      <c r="E46" t="str">
        <f t="shared" si="0"/>
        <v>RB</v>
      </c>
      <c r="F46">
        <f t="shared" si="1"/>
        <v>13</v>
      </c>
    </row>
    <row r="47" spans="1:6" hidden="1" x14ac:dyDescent="0.25">
      <c r="A47">
        <v>45</v>
      </c>
      <c r="B47" t="s">
        <v>20</v>
      </c>
      <c r="C47" t="s">
        <v>546</v>
      </c>
      <c r="D47">
        <v>45</v>
      </c>
      <c r="E47" t="str">
        <f t="shared" si="0"/>
        <v>TE</v>
      </c>
      <c r="F47">
        <f t="shared" si="1"/>
        <v>3</v>
      </c>
    </row>
    <row r="48" spans="1:6" hidden="1" x14ac:dyDescent="0.25">
      <c r="A48">
        <v>46</v>
      </c>
      <c r="B48" t="s">
        <v>242</v>
      </c>
      <c r="C48" t="s">
        <v>569</v>
      </c>
      <c r="D48">
        <v>46</v>
      </c>
      <c r="E48" t="str">
        <f t="shared" si="0"/>
        <v>RB</v>
      </c>
      <c r="F48">
        <f t="shared" si="1"/>
        <v>14</v>
      </c>
    </row>
    <row r="49" spans="1:6" hidden="1" x14ac:dyDescent="0.25">
      <c r="A49">
        <v>47</v>
      </c>
      <c r="B49" t="s">
        <v>252</v>
      </c>
      <c r="C49" t="s">
        <v>571</v>
      </c>
      <c r="D49">
        <v>47</v>
      </c>
      <c r="E49" t="str">
        <f t="shared" si="0"/>
        <v>RB</v>
      </c>
      <c r="F49">
        <f t="shared" si="1"/>
        <v>15</v>
      </c>
    </row>
    <row r="50" spans="1:6" hidden="1" x14ac:dyDescent="0.25">
      <c r="A50">
        <v>48</v>
      </c>
      <c r="B50" t="s">
        <v>410</v>
      </c>
      <c r="C50" t="s">
        <v>580</v>
      </c>
      <c r="D50">
        <v>48</v>
      </c>
      <c r="E50" t="str">
        <f t="shared" si="0"/>
        <v>WR</v>
      </c>
      <c r="F50">
        <f t="shared" si="1"/>
        <v>26</v>
      </c>
    </row>
    <row r="51" spans="1:6" hidden="1" x14ac:dyDescent="0.25">
      <c r="A51">
        <v>49</v>
      </c>
      <c r="B51" t="s">
        <v>114</v>
      </c>
      <c r="C51" t="s">
        <v>581</v>
      </c>
      <c r="D51">
        <v>49</v>
      </c>
      <c r="E51" t="str">
        <f t="shared" si="0"/>
        <v>WR</v>
      </c>
      <c r="F51">
        <f t="shared" si="1"/>
        <v>27</v>
      </c>
    </row>
    <row r="52" spans="1:6" hidden="1" x14ac:dyDescent="0.25">
      <c r="A52">
        <v>50</v>
      </c>
      <c r="B52" t="s">
        <v>415</v>
      </c>
      <c r="C52" t="s">
        <v>583</v>
      </c>
      <c r="D52">
        <v>50</v>
      </c>
      <c r="E52" t="str">
        <f t="shared" si="0"/>
        <v>WR</v>
      </c>
      <c r="F52">
        <f t="shared" si="1"/>
        <v>28</v>
      </c>
    </row>
    <row r="53" spans="1:6" hidden="1" x14ac:dyDescent="0.25">
      <c r="A53">
        <v>51</v>
      </c>
      <c r="B53" t="s">
        <v>106</v>
      </c>
      <c r="C53" t="s">
        <v>585</v>
      </c>
      <c r="D53">
        <v>51</v>
      </c>
      <c r="E53" t="str">
        <f t="shared" si="0"/>
        <v>WR</v>
      </c>
      <c r="F53">
        <f t="shared" si="1"/>
        <v>29</v>
      </c>
    </row>
    <row r="54" spans="1:6" hidden="1" x14ac:dyDescent="0.25">
      <c r="A54">
        <v>52</v>
      </c>
      <c r="B54" t="s">
        <v>60</v>
      </c>
      <c r="C54" t="s">
        <v>551</v>
      </c>
      <c r="D54">
        <v>52</v>
      </c>
      <c r="E54" t="str">
        <f t="shared" si="0"/>
        <v>TE</v>
      </c>
      <c r="F54">
        <f t="shared" si="1"/>
        <v>4</v>
      </c>
    </row>
    <row r="55" spans="1:6" hidden="1" x14ac:dyDescent="0.25">
      <c r="A55">
        <v>53</v>
      </c>
      <c r="B55" t="s">
        <v>52</v>
      </c>
      <c r="C55" t="s">
        <v>564</v>
      </c>
      <c r="D55">
        <v>53</v>
      </c>
      <c r="E55" t="str">
        <f t="shared" si="0"/>
        <v>TE</v>
      </c>
      <c r="F55">
        <f t="shared" si="1"/>
        <v>5</v>
      </c>
    </row>
    <row r="56" spans="1:6" hidden="1" x14ac:dyDescent="0.25">
      <c r="A56">
        <v>54</v>
      </c>
      <c r="B56" t="s">
        <v>389</v>
      </c>
      <c r="C56" t="s">
        <v>575</v>
      </c>
      <c r="D56">
        <v>54</v>
      </c>
      <c r="E56" t="str">
        <f t="shared" si="0"/>
        <v>RB</v>
      </c>
      <c r="F56">
        <f t="shared" si="1"/>
        <v>16</v>
      </c>
    </row>
    <row r="57" spans="1:6" hidden="1" x14ac:dyDescent="0.25">
      <c r="A57">
        <v>55</v>
      </c>
      <c r="B57" t="s">
        <v>266</v>
      </c>
      <c r="C57" t="s">
        <v>576</v>
      </c>
      <c r="D57">
        <v>55</v>
      </c>
      <c r="E57" t="str">
        <f t="shared" si="0"/>
        <v>RB</v>
      </c>
      <c r="F57">
        <f t="shared" si="1"/>
        <v>17</v>
      </c>
    </row>
    <row r="58" spans="1:6" hidden="1" x14ac:dyDescent="0.25">
      <c r="A58">
        <v>56</v>
      </c>
      <c r="B58" t="s">
        <v>155</v>
      </c>
      <c r="C58" t="s">
        <v>590</v>
      </c>
      <c r="D58">
        <v>56</v>
      </c>
      <c r="E58" t="str">
        <f t="shared" si="0"/>
        <v>WR</v>
      </c>
      <c r="F58">
        <f t="shared" si="1"/>
        <v>30</v>
      </c>
    </row>
    <row r="59" spans="1:6" hidden="1" x14ac:dyDescent="0.25">
      <c r="A59">
        <v>57</v>
      </c>
      <c r="B59" t="s">
        <v>104</v>
      </c>
      <c r="C59" t="s">
        <v>592</v>
      </c>
      <c r="D59">
        <v>57</v>
      </c>
      <c r="E59" t="str">
        <f t="shared" si="0"/>
        <v>WR</v>
      </c>
      <c r="F59">
        <f t="shared" si="1"/>
        <v>31</v>
      </c>
    </row>
    <row r="60" spans="1:6" hidden="1" x14ac:dyDescent="0.25">
      <c r="A60">
        <v>58</v>
      </c>
      <c r="B60" t="s">
        <v>377</v>
      </c>
      <c r="C60" t="s">
        <v>559</v>
      </c>
      <c r="D60">
        <v>58</v>
      </c>
      <c r="E60" t="str">
        <f t="shared" si="0"/>
        <v>QB</v>
      </c>
      <c r="F60">
        <f t="shared" si="1"/>
        <v>5</v>
      </c>
    </row>
    <row r="61" spans="1:6" hidden="1" x14ac:dyDescent="0.25">
      <c r="A61">
        <v>59</v>
      </c>
      <c r="B61" t="s">
        <v>200</v>
      </c>
      <c r="C61" t="s">
        <v>595</v>
      </c>
      <c r="D61">
        <v>59</v>
      </c>
      <c r="E61" t="str">
        <f t="shared" si="0"/>
        <v>WR</v>
      </c>
      <c r="F61">
        <f t="shared" si="1"/>
        <v>32</v>
      </c>
    </row>
    <row r="62" spans="1:6" hidden="1" x14ac:dyDescent="0.25">
      <c r="A62">
        <v>60</v>
      </c>
      <c r="B62" t="s">
        <v>352</v>
      </c>
      <c r="C62" t="s">
        <v>561</v>
      </c>
      <c r="D62">
        <v>60</v>
      </c>
      <c r="E62" t="str">
        <f t="shared" si="0"/>
        <v>QB</v>
      </c>
      <c r="F62">
        <f t="shared" si="1"/>
        <v>6</v>
      </c>
    </row>
    <row r="63" spans="1:6" hidden="1" x14ac:dyDescent="0.25">
      <c r="A63">
        <v>61</v>
      </c>
      <c r="B63" t="s">
        <v>23</v>
      </c>
      <c r="C63" t="s">
        <v>577</v>
      </c>
      <c r="D63">
        <v>61</v>
      </c>
      <c r="E63" t="str">
        <f t="shared" si="0"/>
        <v>TE</v>
      </c>
      <c r="F63">
        <f t="shared" si="1"/>
        <v>6</v>
      </c>
    </row>
    <row r="64" spans="1:6" hidden="1" x14ac:dyDescent="0.25">
      <c r="A64">
        <v>62</v>
      </c>
      <c r="B64" t="s">
        <v>369</v>
      </c>
      <c r="C64" t="s">
        <v>572</v>
      </c>
      <c r="D64">
        <v>62</v>
      </c>
      <c r="E64" t="str">
        <f t="shared" si="0"/>
        <v>QB</v>
      </c>
      <c r="F64">
        <f t="shared" si="1"/>
        <v>7</v>
      </c>
    </row>
    <row r="65" spans="1:6" hidden="1" x14ac:dyDescent="0.25">
      <c r="A65">
        <v>63</v>
      </c>
      <c r="B65" t="s">
        <v>216</v>
      </c>
      <c r="C65" t="s">
        <v>596</v>
      </c>
      <c r="D65">
        <v>63</v>
      </c>
      <c r="E65" t="str">
        <f t="shared" si="0"/>
        <v>WR</v>
      </c>
      <c r="F65">
        <f t="shared" si="1"/>
        <v>33</v>
      </c>
    </row>
    <row r="66" spans="1:6" hidden="1" x14ac:dyDescent="0.25">
      <c r="A66">
        <v>64</v>
      </c>
      <c r="B66" t="s">
        <v>177</v>
      </c>
      <c r="C66" t="s">
        <v>599</v>
      </c>
      <c r="D66">
        <v>64</v>
      </c>
      <c r="E66" t="str">
        <f t="shared" si="0"/>
        <v>WR</v>
      </c>
      <c r="F66">
        <f t="shared" si="1"/>
        <v>34</v>
      </c>
    </row>
    <row r="67" spans="1:6" hidden="1" x14ac:dyDescent="0.25">
      <c r="A67">
        <v>65</v>
      </c>
      <c r="B67" t="s">
        <v>128</v>
      </c>
      <c r="C67" t="s">
        <v>600</v>
      </c>
      <c r="D67">
        <v>65</v>
      </c>
      <c r="E67" t="str">
        <f t="shared" si="0"/>
        <v>WR</v>
      </c>
      <c r="F67">
        <f t="shared" si="1"/>
        <v>35</v>
      </c>
    </row>
    <row r="68" spans="1:6" hidden="1" x14ac:dyDescent="0.25">
      <c r="A68">
        <v>66</v>
      </c>
      <c r="B68" t="s">
        <v>46</v>
      </c>
      <c r="C68" t="s">
        <v>584</v>
      </c>
      <c r="D68">
        <v>66</v>
      </c>
      <c r="E68" t="str">
        <f t="shared" ref="E68:E129" si="2">LEFT(C68,2)</f>
        <v>TE</v>
      </c>
      <c r="F68">
        <f t="shared" ref="F68:F129" si="3">VALUE(MID(C68,3,LEN(C68)))</f>
        <v>7</v>
      </c>
    </row>
    <row r="69" spans="1:6" hidden="1" x14ac:dyDescent="0.25">
      <c r="A69">
        <v>67</v>
      </c>
      <c r="B69" t="s">
        <v>299</v>
      </c>
      <c r="C69" t="s">
        <v>579</v>
      </c>
      <c r="D69">
        <v>67</v>
      </c>
      <c r="E69" t="str">
        <f t="shared" si="2"/>
        <v>RB</v>
      </c>
      <c r="F69">
        <f t="shared" si="3"/>
        <v>18</v>
      </c>
    </row>
    <row r="70" spans="1:6" hidden="1" x14ac:dyDescent="0.25">
      <c r="A70">
        <v>68</v>
      </c>
      <c r="B70" t="s">
        <v>247</v>
      </c>
      <c r="C70" t="s">
        <v>582</v>
      </c>
      <c r="D70">
        <v>68</v>
      </c>
      <c r="E70" t="str">
        <f t="shared" si="2"/>
        <v>RB</v>
      </c>
      <c r="F70">
        <f t="shared" si="3"/>
        <v>19</v>
      </c>
    </row>
    <row r="71" spans="1:6" hidden="1" x14ac:dyDescent="0.25">
      <c r="A71">
        <v>69</v>
      </c>
      <c r="B71" t="s">
        <v>77</v>
      </c>
      <c r="C71" t="s">
        <v>588</v>
      </c>
      <c r="D71">
        <v>69</v>
      </c>
      <c r="E71" t="str">
        <f t="shared" si="2"/>
        <v>TE</v>
      </c>
      <c r="F71">
        <f t="shared" si="3"/>
        <v>8</v>
      </c>
    </row>
    <row r="72" spans="1:6" hidden="1" x14ac:dyDescent="0.25">
      <c r="A72">
        <v>70</v>
      </c>
      <c r="B72" t="s">
        <v>158</v>
      </c>
      <c r="C72" t="s">
        <v>603</v>
      </c>
      <c r="D72">
        <v>70</v>
      </c>
      <c r="E72" t="str">
        <f t="shared" si="2"/>
        <v>WR</v>
      </c>
      <c r="F72">
        <f t="shared" si="3"/>
        <v>36</v>
      </c>
    </row>
    <row r="73" spans="1:6" hidden="1" x14ac:dyDescent="0.25">
      <c r="A73">
        <v>71</v>
      </c>
      <c r="B73" t="s">
        <v>261</v>
      </c>
      <c r="C73" t="s">
        <v>586</v>
      </c>
      <c r="D73">
        <v>71</v>
      </c>
      <c r="E73" t="str">
        <f t="shared" si="2"/>
        <v>RB</v>
      </c>
      <c r="F73">
        <f t="shared" si="3"/>
        <v>20</v>
      </c>
    </row>
    <row r="74" spans="1:6" hidden="1" x14ac:dyDescent="0.25">
      <c r="A74">
        <v>72</v>
      </c>
      <c r="B74" t="s">
        <v>214</v>
      </c>
      <c r="C74" t="s">
        <v>610</v>
      </c>
      <c r="D74">
        <v>72</v>
      </c>
      <c r="E74" t="str">
        <f t="shared" si="2"/>
        <v>WR</v>
      </c>
      <c r="F74">
        <f t="shared" si="3"/>
        <v>37</v>
      </c>
    </row>
    <row r="75" spans="1:6" hidden="1" x14ac:dyDescent="0.25">
      <c r="A75">
        <v>73</v>
      </c>
      <c r="B75" t="s">
        <v>323</v>
      </c>
      <c r="C75" t="s">
        <v>587</v>
      </c>
      <c r="D75">
        <v>73</v>
      </c>
      <c r="E75" t="str">
        <f t="shared" si="2"/>
        <v>RB</v>
      </c>
      <c r="F75">
        <f t="shared" si="3"/>
        <v>21</v>
      </c>
    </row>
    <row r="76" spans="1:6" hidden="1" x14ac:dyDescent="0.25">
      <c r="A76">
        <v>74</v>
      </c>
      <c r="B76" t="s">
        <v>418</v>
      </c>
      <c r="C76" t="s">
        <v>611</v>
      </c>
      <c r="D76">
        <v>74</v>
      </c>
      <c r="E76" t="str">
        <f t="shared" si="2"/>
        <v>WR</v>
      </c>
      <c r="F76">
        <f t="shared" si="3"/>
        <v>38</v>
      </c>
    </row>
    <row r="77" spans="1:6" hidden="1" x14ac:dyDescent="0.25">
      <c r="A77">
        <v>75</v>
      </c>
      <c r="B77" t="s">
        <v>235</v>
      </c>
      <c r="C77" t="s">
        <v>591</v>
      </c>
      <c r="D77">
        <v>75</v>
      </c>
      <c r="E77" t="str">
        <f t="shared" si="2"/>
        <v>RB</v>
      </c>
      <c r="F77">
        <f t="shared" si="3"/>
        <v>22</v>
      </c>
    </row>
    <row r="78" spans="1:6" hidden="1" x14ac:dyDescent="0.25">
      <c r="A78">
        <v>76</v>
      </c>
      <c r="B78" t="s">
        <v>245</v>
      </c>
      <c r="C78" t="s">
        <v>593</v>
      </c>
      <c r="D78">
        <v>76</v>
      </c>
      <c r="E78" t="str">
        <f t="shared" si="2"/>
        <v>RB</v>
      </c>
      <c r="F78">
        <f t="shared" si="3"/>
        <v>23</v>
      </c>
    </row>
    <row r="79" spans="1:6" hidden="1" x14ac:dyDescent="0.25">
      <c r="A79">
        <v>77</v>
      </c>
      <c r="B79" t="s">
        <v>360</v>
      </c>
      <c r="C79" t="s">
        <v>594</v>
      </c>
      <c r="D79">
        <v>77</v>
      </c>
      <c r="E79" t="str">
        <f t="shared" si="2"/>
        <v>QB</v>
      </c>
      <c r="F79">
        <f t="shared" si="3"/>
        <v>8</v>
      </c>
    </row>
    <row r="80" spans="1:6" hidden="1" x14ac:dyDescent="0.25">
      <c r="A80">
        <v>78</v>
      </c>
      <c r="B80" t="s">
        <v>346</v>
      </c>
      <c r="C80" t="s">
        <v>601</v>
      </c>
      <c r="D80">
        <v>78</v>
      </c>
      <c r="E80" t="str">
        <f t="shared" si="2"/>
        <v>QB</v>
      </c>
      <c r="F80">
        <f t="shared" si="3"/>
        <v>9</v>
      </c>
    </row>
    <row r="81" spans="1:6" hidden="1" x14ac:dyDescent="0.25">
      <c r="A81">
        <v>79</v>
      </c>
      <c r="B81" t="s">
        <v>140</v>
      </c>
      <c r="C81" t="s">
        <v>613</v>
      </c>
      <c r="D81">
        <v>79</v>
      </c>
      <c r="E81" t="str">
        <f t="shared" si="2"/>
        <v>WR</v>
      </c>
      <c r="F81">
        <f t="shared" si="3"/>
        <v>39</v>
      </c>
    </row>
    <row r="82" spans="1:6" hidden="1" x14ac:dyDescent="0.25">
      <c r="A82">
        <v>80</v>
      </c>
      <c r="B82" t="s">
        <v>328</v>
      </c>
      <c r="C82" t="s">
        <v>597</v>
      </c>
      <c r="D82">
        <v>80</v>
      </c>
      <c r="E82" t="str">
        <f t="shared" si="2"/>
        <v>RB</v>
      </c>
      <c r="F82">
        <f t="shared" si="3"/>
        <v>24</v>
      </c>
    </row>
    <row r="83" spans="1:6" hidden="1" x14ac:dyDescent="0.25">
      <c r="A83">
        <v>81</v>
      </c>
      <c r="B83" t="s">
        <v>304</v>
      </c>
      <c r="C83" t="s">
        <v>598</v>
      </c>
      <c r="D83">
        <v>81</v>
      </c>
      <c r="E83" t="str">
        <f t="shared" si="2"/>
        <v>RB</v>
      </c>
      <c r="F83">
        <f t="shared" si="3"/>
        <v>25</v>
      </c>
    </row>
    <row r="84" spans="1:6" hidden="1" x14ac:dyDescent="0.25">
      <c r="A84">
        <v>82</v>
      </c>
      <c r="B84" t="s">
        <v>101</v>
      </c>
      <c r="C84" t="s">
        <v>616</v>
      </c>
      <c r="D84">
        <v>82</v>
      </c>
      <c r="E84" t="str">
        <f t="shared" si="2"/>
        <v>WR</v>
      </c>
      <c r="F84">
        <f t="shared" si="3"/>
        <v>40</v>
      </c>
    </row>
    <row r="85" spans="1:6" hidden="1" x14ac:dyDescent="0.25">
      <c r="A85">
        <v>83</v>
      </c>
      <c r="B85" t="s">
        <v>336</v>
      </c>
      <c r="C85" t="s">
        <v>602</v>
      </c>
      <c r="D85">
        <v>83</v>
      </c>
      <c r="E85" t="str">
        <f t="shared" si="2"/>
        <v>QB</v>
      </c>
      <c r="F85">
        <f t="shared" si="3"/>
        <v>10</v>
      </c>
    </row>
    <row r="86" spans="1:6" hidden="1" x14ac:dyDescent="0.25">
      <c r="A86">
        <v>84</v>
      </c>
      <c r="B86" t="s">
        <v>232</v>
      </c>
      <c r="C86" t="s">
        <v>605</v>
      </c>
      <c r="D86">
        <v>84</v>
      </c>
      <c r="E86" t="str">
        <f t="shared" si="2"/>
        <v>RB</v>
      </c>
      <c r="F86">
        <f t="shared" si="3"/>
        <v>26</v>
      </c>
    </row>
    <row r="87" spans="1:6" hidden="1" x14ac:dyDescent="0.25">
      <c r="A87">
        <v>85</v>
      </c>
      <c r="B87" t="s">
        <v>145</v>
      </c>
      <c r="C87" t="s">
        <v>619</v>
      </c>
      <c r="D87">
        <v>85</v>
      </c>
      <c r="E87" t="str">
        <f t="shared" si="2"/>
        <v>WR</v>
      </c>
      <c r="F87">
        <f t="shared" si="3"/>
        <v>41</v>
      </c>
    </row>
    <row r="88" spans="1:6" hidden="1" x14ac:dyDescent="0.25">
      <c r="A88">
        <v>86</v>
      </c>
      <c r="B88" t="s">
        <v>29</v>
      </c>
      <c r="C88" t="s">
        <v>589</v>
      </c>
      <c r="D88">
        <v>86</v>
      </c>
      <c r="E88" t="str">
        <f t="shared" si="2"/>
        <v>TE</v>
      </c>
      <c r="F88">
        <f t="shared" si="3"/>
        <v>9</v>
      </c>
    </row>
    <row r="89" spans="1:6" hidden="1" x14ac:dyDescent="0.25">
      <c r="A89">
        <v>87</v>
      </c>
      <c r="B89" t="s">
        <v>141</v>
      </c>
      <c r="C89" t="s">
        <v>622</v>
      </c>
      <c r="D89">
        <v>87</v>
      </c>
      <c r="E89" t="str">
        <f t="shared" si="2"/>
        <v>WR</v>
      </c>
      <c r="F89">
        <f t="shared" si="3"/>
        <v>42</v>
      </c>
    </row>
    <row r="90" spans="1:6" hidden="1" x14ac:dyDescent="0.25">
      <c r="A90">
        <v>88</v>
      </c>
      <c r="B90" t="s">
        <v>365</v>
      </c>
      <c r="C90" t="s">
        <v>604</v>
      </c>
      <c r="D90">
        <v>88</v>
      </c>
      <c r="E90" t="str">
        <f t="shared" si="2"/>
        <v>QB</v>
      </c>
      <c r="F90">
        <f t="shared" si="3"/>
        <v>11</v>
      </c>
    </row>
    <row r="91" spans="1:6" hidden="1" x14ac:dyDescent="0.25">
      <c r="A91">
        <v>89</v>
      </c>
      <c r="B91" t="s">
        <v>243</v>
      </c>
      <c r="C91" t="s">
        <v>607</v>
      </c>
      <c r="D91">
        <v>89</v>
      </c>
      <c r="E91" t="str">
        <f t="shared" si="2"/>
        <v>RB</v>
      </c>
      <c r="F91">
        <f t="shared" si="3"/>
        <v>27</v>
      </c>
    </row>
    <row r="92" spans="1:6" hidden="1" x14ac:dyDescent="0.25">
      <c r="A92">
        <v>90</v>
      </c>
      <c r="B92" t="s">
        <v>192</v>
      </c>
      <c r="C92" t="s">
        <v>624</v>
      </c>
      <c r="D92">
        <v>90</v>
      </c>
      <c r="E92" t="str">
        <f t="shared" si="2"/>
        <v>WR</v>
      </c>
      <c r="F92">
        <f t="shared" si="3"/>
        <v>43</v>
      </c>
    </row>
    <row r="93" spans="1:6" hidden="1" x14ac:dyDescent="0.25">
      <c r="A93">
        <v>91</v>
      </c>
      <c r="B93" t="s">
        <v>237</v>
      </c>
      <c r="C93" t="s">
        <v>608</v>
      </c>
      <c r="D93">
        <v>91</v>
      </c>
      <c r="E93" t="str">
        <f t="shared" si="2"/>
        <v>RB</v>
      </c>
      <c r="F93">
        <f t="shared" si="3"/>
        <v>28</v>
      </c>
    </row>
    <row r="94" spans="1:6" hidden="1" x14ac:dyDescent="0.25">
      <c r="A94">
        <v>92</v>
      </c>
      <c r="B94" t="s">
        <v>112</v>
      </c>
      <c r="C94" t="s">
        <v>625</v>
      </c>
      <c r="D94">
        <v>92</v>
      </c>
      <c r="E94" t="str">
        <f t="shared" si="2"/>
        <v>WR</v>
      </c>
      <c r="F94">
        <f t="shared" si="3"/>
        <v>44</v>
      </c>
    </row>
    <row r="95" spans="1:6" hidden="1" x14ac:dyDescent="0.25">
      <c r="A95">
        <v>93</v>
      </c>
      <c r="B95" t="s">
        <v>142</v>
      </c>
      <c r="C95" t="s">
        <v>626</v>
      </c>
      <c r="D95">
        <v>93</v>
      </c>
      <c r="E95" t="str">
        <f t="shared" si="2"/>
        <v>WR</v>
      </c>
      <c r="F95">
        <f t="shared" si="3"/>
        <v>45</v>
      </c>
    </row>
    <row r="96" spans="1:6" hidden="1" x14ac:dyDescent="0.25">
      <c r="A96">
        <v>94</v>
      </c>
      <c r="B96" t="s">
        <v>129</v>
      </c>
      <c r="C96" t="s">
        <v>631</v>
      </c>
      <c r="D96">
        <v>94</v>
      </c>
      <c r="E96" t="str">
        <f t="shared" si="2"/>
        <v>WR</v>
      </c>
      <c r="F96">
        <f t="shared" si="3"/>
        <v>46</v>
      </c>
    </row>
    <row r="97" spans="1:6" hidden="1" x14ac:dyDescent="0.25">
      <c r="A97">
        <v>95</v>
      </c>
      <c r="B97" t="s">
        <v>111</v>
      </c>
      <c r="C97" t="s">
        <v>632</v>
      </c>
      <c r="D97">
        <v>95</v>
      </c>
      <c r="E97" t="str">
        <f t="shared" si="2"/>
        <v>WR</v>
      </c>
      <c r="F97">
        <f t="shared" si="3"/>
        <v>47</v>
      </c>
    </row>
    <row r="98" spans="1:6" hidden="1" x14ac:dyDescent="0.25">
      <c r="A98">
        <v>96</v>
      </c>
      <c r="B98" t="s">
        <v>283</v>
      </c>
      <c r="C98" t="s">
        <v>609</v>
      </c>
      <c r="D98">
        <v>96</v>
      </c>
      <c r="E98" t="str">
        <f t="shared" si="2"/>
        <v>RB</v>
      </c>
      <c r="F98">
        <f t="shared" si="3"/>
        <v>29</v>
      </c>
    </row>
    <row r="99" spans="1:6" hidden="1" x14ac:dyDescent="0.25">
      <c r="A99">
        <v>97</v>
      </c>
      <c r="B99" t="s">
        <v>337</v>
      </c>
      <c r="C99" t="s">
        <v>615</v>
      </c>
      <c r="D99">
        <v>97</v>
      </c>
      <c r="E99" t="str">
        <f t="shared" si="2"/>
        <v>QB</v>
      </c>
      <c r="F99">
        <f t="shared" si="3"/>
        <v>12</v>
      </c>
    </row>
    <row r="100" spans="1:6" hidden="1" x14ac:dyDescent="0.25">
      <c r="A100">
        <v>98</v>
      </c>
      <c r="B100" t="s">
        <v>85</v>
      </c>
      <c r="C100" t="s">
        <v>606</v>
      </c>
      <c r="D100">
        <v>98</v>
      </c>
      <c r="E100" t="str">
        <f t="shared" si="2"/>
        <v>TE</v>
      </c>
      <c r="F100">
        <f t="shared" si="3"/>
        <v>10</v>
      </c>
    </row>
    <row r="101" spans="1:6" hidden="1" x14ac:dyDescent="0.25">
      <c r="A101">
        <v>99</v>
      </c>
      <c r="B101" t="s">
        <v>159</v>
      </c>
      <c r="C101" t="s">
        <v>634</v>
      </c>
      <c r="D101">
        <v>99</v>
      </c>
      <c r="E101" t="str">
        <f t="shared" si="2"/>
        <v>WR</v>
      </c>
      <c r="F101">
        <f t="shared" si="3"/>
        <v>48</v>
      </c>
    </row>
    <row r="102" spans="1:6" hidden="1" x14ac:dyDescent="0.25">
      <c r="A102">
        <v>100</v>
      </c>
      <c r="B102" t="s">
        <v>265</v>
      </c>
      <c r="C102" t="s">
        <v>614</v>
      </c>
      <c r="D102">
        <v>100</v>
      </c>
      <c r="E102" t="str">
        <f t="shared" si="2"/>
        <v>RB</v>
      </c>
      <c r="F102">
        <f t="shared" si="3"/>
        <v>30</v>
      </c>
    </row>
    <row r="103" spans="1:6" hidden="1" x14ac:dyDescent="0.25">
      <c r="A103">
        <v>101</v>
      </c>
      <c r="B103" t="s">
        <v>42</v>
      </c>
      <c r="C103" t="s">
        <v>612</v>
      </c>
      <c r="D103">
        <v>101</v>
      </c>
      <c r="E103" t="str">
        <f t="shared" si="2"/>
        <v>TE</v>
      </c>
      <c r="F103">
        <f t="shared" si="3"/>
        <v>11</v>
      </c>
    </row>
    <row r="104" spans="1:6" hidden="1" x14ac:dyDescent="0.25">
      <c r="A104">
        <v>102</v>
      </c>
      <c r="B104" t="s">
        <v>355</v>
      </c>
      <c r="C104" t="s">
        <v>630</v>
      </c>
      <c r="D104">
        <v>102</v>
      </c>
      <c r="E104" t="str">
        <f t="shared" si="2"/>
        <v>QB</v>
      </c>
      <c r="F104">
        <f t="shared" si="3"/>
        <v>13</v>
      </c>
    </row>
    <row r="105" spans="1:6" hidden="1" x14ac:dyDescent="0.25">
      <c r="A105">
        <v>103</v>
      </c>
      <c r="B105" t="s">
        <v>144</v>
      </c>
      <c r="C105" t="s">
        <v>635</v>
      </c>
      <c r="D105">
        <v>103</v>
      </c>
      <c r="E105" t="str">
        <f t="shared" si="2"/>
        <v>WR</v>
      </c>
      <c r="F105">
        <f t="shared" si="3"/>
        <v>49</v>
      </c>
    </row>
    <row r="106" spans="1:6" hidden="1" x14ac:dyDescent="0.25">
      <c r="A106">
        <v>104</v>
      </c>
      <c r="B106" t="s">
        <v>227</v>
      </c>
      <c r="C106" t="s">
        <v>618</v>
      </c>
      <c r="D106">
        <v>104</v>
      </c>
      <c r="E106" t="str">
        <f t="shared" si="2"/>
        <v>RB</v>
      </c>
      <c r="F106">
        <f t="shared" si="3"/>
        <v>31</v>
      </c>
    </row>
    <row r="107" spans="1:6" hidden="1" x14ac:dyDescent="0.25">
      <c r="A107">
        <v>105</v>
      </c>
      <c r="B107" t="s">
        <v>393</v>
      </c>
      <c r="C107" t="s">
        <v>620</v>
      </c>
      <c r="D107">
        <v>105</v>
      </c>
      <c r="E107" t="str">
        <f t="shared" si="2"/>
        <v>RB</v>
      </c>
      <c r="F107">
        <f t="shared" si="3"/>
        <v>32</v>
      </c>
    </row>
    <row r="108" spans="1:6" hidden="1" x14ac:dyDescent="0.25">
      <c r="A108">
        <v>106</v>
      </c>
      <c r="B108" t="s">
        <v>264</v>
      </c>
      <c r="C108" t="s">
        <v>621</v>
      </c>
      <c r="D108">
        <v>106</v>
      </c>
      <c r="E108" t="str">
        <f t="shared" si="2"/>
        <v>RB</v>
      </c>
      <c r="F108">
        <f t="shared" si="3"/>
        <v>33</v>
      </c>
    </row>
    <row r="109" spans="1:6" hidden="1" x14ac:dyDescent="0.25">
      <c r="A109">
        <v>107</v>
      </c>
      <c r="B109" t="s">
        <v>135</v>
      </c>
      <c r="C109" t="s">
        <v>643</v>
      </c>
      <c r="D109">
        <v>107</v>
      </c>
      <c r="E109" t="str">
        <f t="shared" si="2"/>
        <v>WR</v>
      </c>
      <c r="F109">
        <f t="shared" si="3"/>
        <v>50</v>
      </c>
    </row>
    <row r="110" spans="1:6" hidden="1" x14ac:dyDescent="0.25">
      <c r="A110">
        <v>108</v>
      </c>
      <c r="B110" t="s">
        <v>1070</v>
      </c>
      <c r="C110" t="s">
        <v>623</v>
      </c>
      <c r="D110">
        <v>108</v>
      </c>
      <c r="E110" t="str">
        <f t="shared" si="2"/>
        <v>RB</v>
      </c>
      <c r="F110">
        <f t="shared" si="3"/>
        <v>34</v>
      </c>
    </row>
    <row r="111" spans="1:6" hidden="1" x14ac:dyDescent="0.25">
      <c r="A111">
        <v>109</v>
      </c>
      <c r="B111" t="s">
        <v>339</v>
      </c>
      <c r="C111" t="s">
        <v>640</v>
      </c>
      <c r="D111">
        <v>109</v>
      </c>
      <c r="E111" t="str">
        <f t="shared" si="2"/>
        <v>QB</v>
      </c>
      <c r="F111">
        <f t="shared" si="3"/>
        <v>14</v>
      </c>
    </row>
    <row r="112" spans="1:6" hidden="1" x14ac:dyDescent="0.25">
      <c r="A112">
        <v>110</v>
      </c>
      <c r="B112" t="s">
        <v>356</v>
      </c>
      <c r="C112" t="s">
        <v>641</v>
      </c>
      <c r="D112">
        <v>110</v>
      </c>
      <c r="E112" t="str">
        <f t="shared" si="2"/>
        <v>QB</v>
      </c>
      <c r="F112">
        <f t="shared" si="3"/>
        <v>15</v>
      </c>
    </row>
    <row r="113" spans="1:6" hidden="1" x14ac:dyDescent="0.25">
      <c r="A113">
        <v>111</v>
      </c>
      <c r="B113" t="s">
        <v>292</v>
      </c>
      <c r="C113" t="s">
        <v>628</v>
      </c>
      <c r="D113">
        <v>111</v>
      </c>
      <c r="E113" t="str">
        <f t="shared" si="2"/>
        <v>RB</v>
      </c>
      <c r="F113">
        <f t="shared" si="3"/>
        <v>35</v>
      </c>
    </row>
    <row r="114" spans="1:6" hidden="1" x14ac:dyDescent="0.25">
      <c r="A114">
        <v>112</v>
      </c>
      <c r="B114" t="s">
        <v>136</v>
      </c>
      <c r="C114" t="s">
        <v>645</v>
      </c>
      <c r="D114">
        <v>112</v>
      </c>
      <c r="E114" t="str">
        <f t="shared" si="2"/>
        <v>WR</v>
      </c>
      <c r="F114">
        <f t="shared" si="3"/>
        <v>51</v>
      </c>
    </row>
    <row r="115" spans="1:6" hidden="1" x14ac:dyDescent="0.25">
      <c r="A115">
        <v>113</v>
      </c>
      <c r="B115" t="s">
        <v>335</v>
      </c>
      <c r="C115" t="s">
        <v>644</v>
      </c>
      <c r="D115">
        <v>113</v>
      </c>
      <c r="E115" t="str">
        <f t="shared" si="2"/>
        <v>QB</v>
      </c>
      <c r="F115">
        <f t="shared" si="3"/>
        <v>16</v>
      </c>
    </row>
    <row r="116" spans="1:6" hidden="1" x14ac:dyDescent="0.25">
      <c r="A116">
        <v>114</v>
      </c>
      <c r="B116" t="s">
        <v>321</v>
      </c>
      <c r="C116" t="s">
        <v>629</v>
      </c>
      <c r="D116">
        <v>114</v>
      </c>
      <c r="E116" t="str">
        <f t="shared" si="2"/>
        <v>RB</v>
      </c>
      <c r="F116">
        <f t="shared" si="3"/>
        <v>36</v>
      </c>
    </row>
    <row r="117" spans="1:6" hidden="1" x14ac:dyDescent="0.25">
      <c r="A117">
        <v>115</v>
      </c>
      <c r="B117" t="s">
        <v>205</v>
      </c>
      <c r="C117" t="s">
        <v>647</v>
      </c>
      <c r="D117">
        <v>115</v>
      </c>
      <c r="E117" t="str">
        <f t="shared" si="2"/>
        <v>WR</v>
      </c>
      <c r="F117">
        <f t="shared" si="3"/>
        <v>52</v>
      </c>
    </row>
    <row r="118" spans="1:6" hidden="1" x14ac:dyDescent="0.25">
      <c r="A118">
        <v>116</v>
      </c>
      <c r="B118" t="s">
        <v>260</v>
      </c>
      <c r="C118" t="s">
        <v>633</v>
      </c>
      <c r="D118">
        <v>116</v>
      </c>
      <c r="E118" t="str">
        <f t="shared" si="2"/>
        <v>RB</v>
      </c>
      <c r="F118">
        <f t="shared" si="3"/>
        <v>37</v>
      </c>
    </row>
    <row r="119" spans="1:6" hidden="1" x14ac:dyDescent="0.25">
      <c r="A119">
        <v>117</v>
      </c>
      <c r="B119" t="s">
        <v>424</v>
      </c>
      <c r="C119" t="s">
        <v>651</v>
      </c>
      <c r="D119">
        <v>117</v>
      </c>
      <c r="E119" t="str">
        <f t="shared" si="2"/>
        <v>WR</v>
      </c>
      <c r="F119">
        <f t="shared" si="3"/>
        <v>53</v>
      </c>
    </row>
    <row r="120" spans="1:6" hidden="1" x14ac:dyDescent="0.25">
      <c r="A120">
        <v>118</v>
      </c>
      <c r="B120" t="s">
        <v>34</v>
      </c>
      <c r="C120" t="s">
        <v>617</v>
      </c>
      <c r="D120">
        <v>118</v>
      </c>
      <c r="E120" t="str">
        <f t="shared" si="2"/>
        <v>TE</v>
      </c>
      <c r="F120">
        <f t="shared" si="3"/>
        <v>12</v>
      </c>
    </row>
    <row r="121" spans="1:6" hidden="1" x14ac:dyDescent="0.25">
      <c r="A121">
        <v>119</v>
      </c>
      <c r="B121" t="s">
        <v>395</v>
      </c>
      <c r="C121" t="s">
        <v>637</v>
      </c>
      <c r="D121">
        <v>119</v>
      </c>
      <c r="E121" t="str">
        <f t="shared" si="2"/>
        <v>RB</v>
      </c>
      <c r="F121">
        <f t="shared" si="3"/>
        <v>38</v>
      </c>
    </row>
    <row r="122" spans="1:6" hidden="1" x14ac:dyDescent="0.25">
      <c r="A122">
        <v>120</v>
      </c>
      <c r="B122" t="s">
        <v>238</v>
      </c>
      <c r="C122" t="s">
        <v>638</v>
      </c>
      <c r="D122">
        <v>120</v>
      </c>
      <c r="E122" t="str">
        <f t="shared" si="2"/>
        <v>RB</v>
      </c>
      <c r="F122">
        <f t="shared" si="3"/>
        <v>39</v>
      </c>
    </row>
    <row r="123" spans="1:6" hidden="1" x14ac:dyDescent="0.25">
      <c r="A123">
        <v>121</v>
      </c>
      <c r="B123" t="s">
        <v>131</v>
      </c>
      <c r="C123" t="s">
        <v>654</v>
      </c>
      <c r="D123">
        <v>121</v>
      </c>
      <c r="E123" t="str">
        <f t="shared" si="2"/>
        <v>WR</v>
      </c>
      <c r="F123">
        <f t="shared" si="3"/>
        <v>54</v>
      </c>
    </row>
    <row r="124" spans="1:6" hidden="1" x14ac:dyDescent="0.25">
      <c r="A124">
        <v>122</v>
      </c>
      <c r="B124" t="s">
        <v>298</v>
      </c>
      <c r="C124" t="s">
        <v>639</v>
      </c>
      <c r="D124">
        <v>122</v>
      </c>
      <c r="E124" t="str">
        <f t="shared" si="2"/>
        <v>RB</v>
      </c>
      <c r="F124">
        <f t="shared" si="3"/>
        <v>40</v>
      </c>
    </row>
    <row r="125" spans="1:6" hidden="1" x14ac:dyDescent="0.25">
      <c r="A125">
        <v>123</v>
      </c>
      <c r="B125" t="s">
        <v>366</v>
      </c>
      <c r="C125" t="s">
        <v>646</v>
      </c>
      <c r="D125">
        <v>123</v>
      </c>
      <c r="E125" t="str">
        <f t="shared" si="2"/>
        <v>QB</v>
      </c>
      <c r="F125">
        <f t="shared" si="3"/>
        <v>17</v>
      </c>
    </row>
    <row r="126" spans="1:6" hidden="1" x14ac:dyDescent="0.25">
      <c r="A126">
        <v>124</v>
      </c>
      <c r="B126" t="s">
        <v>274</v>
      </c>
      <c r="C126" t="s">
        <v>648</v>
      </c>
      <c r="D126">
        <v>124</v>
      </c>
      <c r="E126" t="str">
        <f t="shared" si="2"/>
        <v>RB</v>
      </c>
      <c r="F126">
        <f t="shared" si="3"/>
        <v>41</v>
      </c>
    </row>
    <row r="127" spans="1:6" hidden="1" x14ac:dyDescent="0.25">
      <c r="A127">
        <v>125</v>
      </c>
      <c r="B127" t="s">
        <v>341</v>
      </c>
      <c r="C127" t="s">
        <v>649</v>
      </c>
      <c r="D127">
        <v>125</v>
      </c>
      <c r="E127" t="str">
        <f t="shared" si="2"/>
        <v>QB</v>
      </c>
      <c r="F127">
        <f t="shared" si="3"/>
        <v>18</v>
      </c>
    </row>
    <row r="128" spans="1:6" hidden="1" x14ac:dyDescent="0.25">
      <c r="A128">
        <v>126</v>
      </c>
      <c r="B128" t="s">
        <v>182</v>
      </c>
      <c r="C128" t="s">
        <v>658</v>
      </c>
      <c r="D128">
        <v>126</v>
      </c>
      <c r="E128" t="str">
        <f t="shared" si="2"/>
        <v>WR</v>
      </c>
      <c r="F128">
        <f t="shared" si="3"/>
        <v>55</v>
      </c>
    </row>
    <row r="129" spans="1:6" hidden="1" x14ac:dyDescent="0.25">
      <c r="A129">
        <v>127</v>
      </c>
      <c r="B129" t="s">
        <v>396</v>
      </c>
      <c r="C129" t="s">
        <v>650</v>
      </c>
      <c r="D129">
        <v>127</v>
      </c>
      <c r="E129" t="str">
        <f t="shared" si="2"/>
        <v>RB</v>
      </c>
      <c r="F129">
        <f t="shared" si="3"/>
        <v>42</v>
      </c>
    </row>
    <row r="130" spans="1:6" hidden="1" x14ac:dyDescent="0.25">
      <c r="A130">
        <v>128</v>
      </c>
      <c r="B130" t="s">
        <v>258</v>
      </c>
      <c r="C130" t="s">
        <v>652</v>
      </c>
      <c r="D130">
        <v>128</v>
      </c>
      <c r="E130" t="str">
        <f t="shared" ref="E130:E188" si="4">LEFT(C130,2)</f>
        <v>RB</v>
      </c>
      <c r="F130">
        <f t="shared" ref="F130:F188" si="5">VALUE(MID(C130,3,LEN(C130)))</f>
        <v>43</v>
      </c>
    </row>
    <row r="131" spans="1:6" hidden="1" x14ac:dyDescent="0.25">
      <c r="A131">
        <v>129</v>
      </c>
      <c r="B131" t="s">
        <v>138</v>
      </c>
      <c r="C131" t="s">
        <v>660</v>
      </c>
      <c r="D131">
        <v>129</v>
      </c>
      <c r="E131" t="str">
        <f t="shared" si="4"/>
        <v>WR</v>
      </c>
      <c r="F131">
        <f t="shared" si="5"/>
        <v>56</v>
      </c>
    </row>
    <row r="132" spans="1:6" hidden="1" x14ac:dyDescent="0.25">
      <c r="A132">
        <v>130</v>
      </c>
      <c r="B132" t="s">
        <v>186</v>
      </c>
      <c r="C132" t="s">
        <v>662</v>
      </c>
      <c r="D132">
        <v>130</v>
      </c>
      <c r="E132" t="str">
        <f t="shared" si="4"/>
        <v>WR</v>
      </c>
      <c r="F132">
        <f t="shared" si="5"/>
        <v>57</v>
      </c>
    </row>
    <row r="133" spans="1:6" hidden="1" x14ac:dyDescent="0.25">
      <c r="A133">
        <v>131</v>
      </c>
      <c r="B133" t="s">
        <v>40</v>
      </c>
      <c r="C133" t="s">
        <v>627</v>
      </c>
      <c r="D133">
        <v>131</v>
      </c>
      <c r="E133" t="str">
        <f t="shared" si="4"/>
        <v>TE</v>
      </c>
      <c r="F133">
        <f t="shared" si="5"/>
        <v>13</v>
      </c>
    </row>
    <row r="134" spans="1:6" hidden="1" x14ac:dyDescent="0.25">
      <c r="A134">
        <v>132</v>
      </c>
      <c r="B134" t="s">
        <v>334</v>
      </c>
      <c r="C134" t="s">
        <v>657</v>
      </c>
      <c r="D134">
        <v>132</v>
      </c>
      <c r="E134" t="str">
        <f t="shared" si="4"/>
        <v>QB</v>
      </c>
      <c r="F134">
        <f t="shared" si="5"/>
        <v>19</v>
      </c>
    </row>
    <row r="135" spans="1:6" hidden="1" x14ac:dyDescent="0.25">
      <c r="A135">
        <v>133</v>
      </c>
      <c r="B135" t="s">
        <v>151</v>
      </c>
      <c r="C135" t="s">
        <v>666</v>
      </c>
      <c r="D135">
        <v>133</v>
      </c>
      <c r="E135" t="str">
        <f t="shared" si="4"/>
        <v>WR</v>
      </c>
      <c r="F135">
        <f t="shared" si="5"/>
        <v>58</v>
      </c>
    </row>
    <row r="136" spans="1:6" hidden="1" x14ac:dyDescent="0.25">
      <c r="A136">
        <v>134</v>
      </c>
      <c r="B136" t="s">
        <v>70</v>
      </c>
      <c r="C136" t="s">
        <v>636</v>
      </c>
      <c r="D136">
        <v>134</v>
      </c>
      <c r="E136" t="str">
        <f t="shared" si="4"/>
        <v>TE</v>
      </c>
      <c r="F136">
        <f t="shared" si="5"/>
        <v>14</v>
      </c>
    </row>
    <row r="137" spans="1:6" hidden="1" x14ac:dyDescent="0.25">
      <c r="A137">
        <v>135</v>
      </c>
      <c r="B137" t="s">
        <v>428</v>
      </c>
      <c r="C137" t="s">
        <v>667</v>
      </c>
      <c r="D137">
        <v>135</v>
      </c>
      <c r="E137" t="str">
        <f t="shared" si="4"/>
        <v>WR</v>
      </c>
      <c r="F137">
        <f t="shared" si="5"/>
        <v>59</v>
      </c>
    </row>
    <row r="138" spans="1:6" hidden="1" x14ac:dyDescent="0.25">
      <c r="A138">
        <v>136</v>
      </c>
      <c r="B138" t="s">
        <v>263</v>
      </c>
      <c r="C138" t="s">
        <v>653</v>
      </c>
      <c r="D138">
        <v>136</v>
      </c>
      <c r="E138" t="str">
        <f t="shared" si="4"/>
        <v>RB</v>
      </c>
      <c r="F138">
        <f t="shared" si="5"/>
        <v>44</v>
      </c>
    </row>
    <row r="139" spans="1:6" hidden="1" x14ac:dyDescent="0.25">
      <c r="A139">
        <v>137</v>
      </c>
      <c r="B139" t="s">
        <v>349</v>
      </c>
      <c r="C139" t="s">
        <v>659</v>
      </c>
      <c r="D139">
        <v>137</v>
      </c>
      <c r="E139" t="str">
        <f t="shared" si="4"/>
        <v>QB</v>
      </c>
      <c r="F139">
        <f t="shared" si="5"/>
        <v>20</v>
      </c>
    </row>
    <row r="140" spans="1:6" hidden="1" x14ac:dyDescent="0.25">
      <c r="A140">
        <v>138</v>
      </c>
      <c r="B140" t="s">
        <v>429</v>
      </c>
      <c r="C140" t="s">
        <v>669</v>
      </c>
      <c r="D140">
        <v>138</v>
      </c>
      <c r="E140" t="str">
        <f t="shared" si="4"/>
        <v>WR</v>
      </c>
      <c r="F140">
        <f t="shared" si="5"/>
        <v>60</v>
      </c>
    </row>
    <row r="141" spans="1:6" hidden="1" x14ac:dyDescent="0.25">
      <c r="A141">
        <v>139</v>
      </c>
      <c r="B141" t="s">
        <v>489</v>
      </c>
      <c r="C141" t="s">
        <v>656</v>
      </c>
      <c r="D141">
        <v>139</v>
      </c>
      <c r="E141" t="str">
        <f t="shared" si="4"/>
        <v>RB</v>
      </c>
      <c r="F141">
        <f t="shared" si="5"/>
        <v>45</v>
      </c>
    </row>
    <row r="142" spans="1:6" hidden="1" x14ac:dyDescent="0.25">
      <c r="A142">
        <v>140</v>
      </c>
      <c r="B142" t="s">
        <v>206</v>
      </c>
      <c r="C142" t="s">
        <v>672</v>
      </c>
      <c r="D142">
        <v>140</v>
      </c>
      <c r="E142" t="str">
        <f t="shared" si="4"/>
        <v>WR</v>
      </c>
      <c r="F142">
        <f t="shared" si="5"/>
        <v>61</v>
      </c>
    </row>
    <row r="143" spans="1:6" hidden="1" x14ac:dyDescent="0.25">
      <c r="A143">
        <v>141</v>
      </c>
      <c r="B143" t="s">
        <v>244</v>
      </c>
      <c r="C143" t="s">
        <v>661</v>
      </c>
      <c r="D143">
        <v>141</v>
      </c>
      <c r="E143" t="str">
        <f t="shared" si="4"/>
        <v>RB</v>
      </c>
      <c r="F143">
        <f t="shared" si="5"/>
        <v>46</v>
      </c>
    </row>
    <row r="144" spans="1:6" hidden="1" x14ac:dyDescent="0.25">
      <c r="A144">
        <v>142</v>
      </c>
      <c r="B144" t="s">
        <v>72</v>
      </c>
      <c r="C144" t="s">
        <v>642</v>
      </c>
      <c r="D144">
        <v>142</v>
      </c>
      <c r="E144" t="str">
        <f t="shared" si="4"/>
        <v>TE</v>
      </c>
      <c r="F144">
        <f t="shared" si="5"/>
        <v>15</v>
      </c>
    </row>
    <row r="145" spans="1:6" hidden="1" x14ac:dyDescent="0.25">
      <c r="A145">
        <v>143</v>
      </c>
      <c r="B145" t="s">
        <v>302</v>
      </c>
      <c r="C145" t="s">
        <v>665</v>
      </c>
      <c r="D145">
        <v>143</v>
      </c>
      <c r="E145" t="str">
        <f t="shared" si="4"/>
        <v>RB</v>
      </c>
      <c r="F145">
        <f t="shared" si="5"/>
        <v>47</v>
      </c>
    </row>
    <row r="146" spans="1:6" hidden="1" x14ac:dyDescent="0.25">
      <c r="A146">
        <v>144</v>
      </c>
      <c r="B146" t="s">
        <v>290</v>
      </c>
      <c r="C146" t="s">
        <v>668</v>
      </c>
      <c r="D146">
        <v>144</v>
      </c>
      <c r="E146" t="str">
        <f t="shared" si="4"/>
        <v>RB</v>
      </c>
      <c r="F146">
        <f t="shared" si="5"/>
        <v>48</v>
      </c>
    </row>
    <row r="147" spans="1:6" hidden="1" x14ac:dyDescent="0.25">
      <c r="A147">
        <v>145</v>
      </c>
      <c r="B147" t="s">
        <v>172</v>
      </c>
      <c r="C147" t="s">
        <v>676</v>
      </c>
      <c r="D147">
        <v>145</v>
      </c>
      <c r="E147" t="str">
        <f t="shared" si="4"/>
        <v>WR</v>
      </c>
      <c r="F147">
        <f t="shared" si="5"/>
        <v>62</v>
      </c>
    </row>
    <row r="148" spans="1:6" hidden="1" x14ac:dyDescent="0.25">
      <c r="A148">
        <v>146</v>
      </c>
      <c r="B148" t="s">
        <v>87</v>
      </c>
      <c r="C148" t="s">
        <v>673</v>
      </c>
      <c r="D148">
        <v>146</v>
      </c>
      <c r="E148" t="str">
        <f t="shared" si="4"/>
        <v>TE</v>
      </c>
      <c r="F148">
        <f t="shared" si="5"/>
        <v>16</v>
      </c>
    </row>
    <row r="149" spans="1:6" hidden="1" x14ac:dyDescent="0.25">
      <c r="A149">
        <v>147</v>
      </c>
      <c r="B149" t="s">
        <v>178</v>
      </c>
      <c r="C149" t="s">
        <v>677</v>
      </c>
      <c r="D149">
        <v>147</v>
      </c>
      <c r="E149" t="str">
        <f t="shared" si="4"/>
        <v>WR</v>
      </c>
      <c r="F149">
        <f t="shared" si="5"/>
        <v>63</v>
      </c>
    </row>
    <row r="150" spans="1:6" hidden="1" x14ac:dyDescent="0.25">
      <c r="A150">
        <v>148</v>
      </c>
      <c r="B150" t="s">
        <v>259</v>
      </c>
      <c r="C150" t="s">
        <v>670</v>
      </c>
      <c r="D150">
        <v>148</v>
      </c>
      <c r="E150" t="str">
        <f t="shared" si="4"/>
        <v>RB</v>
      </c>
      <c r="F150">
        <f t="shared" si="5"/>
        <v>49</v>
      </c>
    </row>
    <row r="151" spans="1:6" hidden="1" x14ac:dyDescent="0.25">
      <c r="A151">
        <v>149</v>
      </c>
      <c r="B151" t="s">
        <v>343</v>
      </c>
      <c r="C151" t="s">
        <v>663</v>
      </c>
      <c r="D151">
        <v>149</v>
      </c>
      <c r="E151" t="str">
        <f t="shared" si="4"/>
        <v>QB</v>
      </c>
      <c r="F151">
        <f t="shared" si="5"/>
        <v>21</v>
      </c>
    </row>
    <row r="152" spans="1:6" hidden="1" x14ac:dyDescent="0.25">
      <c r="A152">
        <v>150</v>
      </c>
      <c r="B152" t="s">
        <v>386</v>
      </c>
      <c r="C152" t="s">
        <v>671</v>
      </c>
      <c r="D152">
        <v>150</v>
      </c>
      <c r="E152" t="str">
        <f t="shared" si="4"/>
        <v>QB</v>
      </c>
      <c r="F152">
        <f t="shared" si="5"/>
        <v>22</v>
      </c>
    </row>
    <row r="153" spans="1:6" hidden="1" x14ac:dyDescent="0.25">
      <c r="A153">
        <v>151</v>
      </c>
      <c r="B153" t="s">
        <v>109</v>
      </c>
      <c r="C153" t="s">
        <v>683</v>
      </c>
      <c r="D153">
        <v>151</v>
      </c>
      <c r="E153" t="str">
        <f t="shared" si="4"/>
        <v>WR</v>
      </c>
      <c r="F153">
        <f t="shared" si="5"/>
        <v>64</v>
      </c>
    </row>
    <row r="154" spans="1:6" hidden="1" x14ac:dyDescent="0.25">
      <c r="A154">
        <v>152</v>
      </c>
      <c r="B154" t="s">
        <v>932</v>
      </c>
      <c r="C154" t="s">
        <v>687</v>
      </c>
      <c r="D154">
        <v>152</v>
      </c>
      <c r="E154" t="str">
        <f t="shared" si="4"/>
        <v>WR</v>
      </c>
      <c r="F154">
        <f t="shared" si="5"/>
        <v>65</v>
      </c>
    </row>
    <row r="155" spans="1:6" hidden="1" x14ac:dyDescent="0.25">
      <c r="A155">
        <v>153</v>
      </c>
      <c r="B155" t="s">
        <v>354</v>
      </c>
      <c r="C155" t="s">
        <v>682</v>
      </c>
      <c r="D155">
        <v>153</v>
      </c>
      <c r="E155" t="str">
        <f t="shared" si="4"/>
        <v>QB</v>
      </c>
      <c r="F155">
        <f t="shared" si="5"/>
        <v>23</v>
      </c>
    </row>
    <row r="156" spans="1:6" hidden="1" x14ac:dyDescent="0.25">
      <c r="A156">
        <v>154</v>
      </c>
      <c r="B156" t="s">
        <v>454</v>
      </c>
      <c r="C156" t="s">
        <v>674</v>
      </c>
      <c r="D156">
        <v>154</v>
      </c>
      <c r="E156" t="str">
        <f t="shared" si="4"/>
        <v>TE</v>
      </c>
      <c r="F156">
        <f t="shared" si="5"/>
        <v>17</v>
      </c>
    </row>
    <row r="157" spans="1:6" hidden="1" x14ac:dyDescent="0.25">
      <c r="A157">
        <v>155</v>
      </c>
      <c r="B157" t="s">
        <v>411</v>
      </c>
      <c r="C157" t="s">
        <v>691</v>
      </c>
      <c r="D157">
        <v>155</v>
      </c>
      <c r="E157" t="str">
        <f t="shared" si="4"/>
        <v>WR</v>
      </c>
      <c r="F157">
        <f t="shared" si="5"/>
        <v>66</v>
      </c>
    </row>
    <row r="158" spans="1:6" hidden="1" x14ac:dyDescent="0.25">
      <c r="A158">
        <v>156</v>
      </c>
      <c r="B158" t="s">
        <v>440</v>
      </c>
      <c r="C158" t="s">
        <v>678</v>
      </c>
      <c r="D158">
        <v>156</v>
      </c>
      <c r="E158" t="str">
        <f t="shared" si="4"/>
        <v>TE</v>
      </c>
      <c r="F158">
        <f t="shared" si="5"/>
        <v>18</v>
      </c>
    </row>
    <row r="159" spans="1:6" hidden="1" x14ac:dyDescent="0.25">
      <c r="A159">
        <v>157</v>
      </c>
      <c r="B159" t="s">
        <v>281</v>
      </c>
      <c r="C159" t="s">
        <v>675</v>
      </c>
      <c r="D159">
        <v>157</v>
      </c>
      <c r="E159" t="str">
        <f t="shared" si="4"/>
        <v>RB</v>
      </c>
      <c r="F159">
        <f t="shared" si="5"/>
        <v>50</v>
      </c>
    </row>
    <row r="160" spans="1:6" hidden="1" x14ac:dyDescent="0.25">
      <c r="A160">
        <v>158</v>
      </c>
      <c r="B160" t="s">
        <v>380</v>
      </c>
      <c r="C160" t="s">
        <v>692</v>
      </c>
      <c r="D160">
        <v>158</v>
      </c>
      <c r="E160" t="str">
        <f t="shared" si="4"/>
        <v>QB</v>
      </c>
      <c r="F160">
        <f t="shared" si="5"/>
        <v>24</v>
      </c>
    </row>
    <row r="161" spans="1:6" hidden="1" x14ac:dyDescent="0.25">
      <c r="A161">
        <v>159</v>
      </c>
      <c r="B161" t="s">
        <v>254</v>
      </c>
      <c r="C161" t="s">
        <v>680</v>
      </c>
      <c r="D161">
        <v>159</v>
      </c>
      <c r="E161" t="str">
        <f t="shared" si="4"/>
        <v>RB</v>
      </c>
      <c r="F161">
        <f t="shared" si="5"/>
        <v>51</v>
      </c>
    </row>
    <row r="162" spans="1:6" hidden="1" x14ac:dyDescent="0.25">
      <c r="A162">
        <v>160</v>
      </c>
      <c r="B162" t="s">
        <v>143</v>
      </c>
      <c r="C162" t="s">
        <v>695</v>
      </c>
      <c r="D162">
        <v>160</v>
      </c>
      <c r="E162" t="str">
        <f t="shared" si="4"/>
        <v>WR</v>
      </c>
      <c r="F162">
        <f t="shared" si="5"/>
        <v>67</v>
      </c>
    </row>
    <row r="163" spans="1:6" hidden="1" x14ac:dyDescent="0.25">
      <c r="A163">
        <v>161</v>
      </c>
      <c r="B163" t="s">
        <v>310</v>
      </c>
      <c r="C163" t="s">
        <v>681</v>
      </c>
      <c r="D163">
        <v>161</v>
      </c>
      <c r="E163" t="str">
        <f t="shared" si="4"/>
        <v>RB</v>
      </c>
      <c r="F163">
        <f t="shared" si="5"/>
        <v>52</v>
      </c>
    </row>
    <row r="164" spans="1:6" hidden="1" x14ac:dyDescent="0.25">
      <c r="A164">
        <v>162</v>
      </c>
      <c r="B164" t="s">
        <v>318</v>
      </c>
      <c r="C164" t="s">
        <v>684</v>
      </c>
      <c r="D164">
        <v>162</v>
      </c>
      <c r="E164" t="str">
        <f t="shared" si="4"/>
        <v>RB</v>
      </c>
      <c r="F164">
        <f t="shared" si="5"/>
        <v>53</v>
      </c>
    </row>
    <row r="165" spans="1:6" hidden="1" x14ac:dyDescent="0.25">
      <c r="A165">
        <v>163</v>
      </c>
      <c r="B165" t="s">
        <v>256</v>
      </c>
      <c r="C165" t="s">
        <v>688</v>
      </c>
      <c r="D165">
        <v>163</v>
      </c>
      <c r="E165" t="str">
        <f t="shared" si="4"/>
        <v>RB</v>
      </c>
      <c r="F165">
        <f t="shared" si="5"/>
        <v>54</v>
      </c>
    </row>
    <row r="166" spans="1:6" hidden="1" x14ac:dyDescent="0.25">
      <c r="A166">
        <v>164</v>
      </c>
      <c r="B166" t="s">
        <v>1071</v>
      </c>
      <c r="C166" t="s">
        <v>689</v>
      </c>
      <c r="D166">
        <v>164</v>
      </c>
      <c r="E166" t="str">
        <f t="shared" si="4"/>
        <v>RB</v>
      </c>
      <c r="F166">
        <f t="shared" si="5"/>
        <v>55</v>
      </c>
    </row>
    <row r="167" spans="1:6" hidden="1" x14ac:dyDescent="0.25">
      <c r="A167">
        <v>165</v>
      </c>
      <c r="B167" t="s">
        <v>170</v>
      </c>
      <c r="C167" t="s">
        <v>708</v>
      </c>
      <c r="D167">
        <v>165</v>
      </c>
      <c r="E167" t="str">
        <f t="shared" si="4"/>
        <v>WR</v>
      </c>
      <c r="F167">
        <f t="shared" si="5"/>
        <v>68</v>
      </c>
    </row>
    <row r="168" spans="1:6" hidden="1" x14ac:dyDescent="0.25">
      <c r="A168">
        <v>166</v>
      </c>
      <c r="B168" t="s">
        <v>436</v>
      </c>
      <c r="C168" t="s">
        <v>679</v>
      </c>
      <c r="D168">
        <v>166</v>
      </c>
      <c r="E168" t="str">
        <f t="shared" si="4"/>
        <v>TE</v>
      </c>
      <c r="F168">
        <f t="shared" si="5"/>
        <v>19</v>
      </c>
    </row>
    <row r="169" spans="1:6" hidden="1" x14ac:dyDescent="0.25">
      <c r="A169">
        <v>167</v>
      </c>
      <c r="B169" t="s">
        <v>405</v>
      </c>
      <c r="C169" t="s">
        <v>694</v>
      </c>
      <c r="D169">
        <v>167</v>
      </c>
      <c r="E169" t="str">
        <f t="shared" si="4"/>
        <v>RB</v>
      </c>
      <c r="F169">
        <f t="shared" si="5"/>
        <v>56</v>
      </c>
    </row>
    <row r="170" spans="1:6" hidden="1" x14ac:dyDescent="0.25">
      <c r="A170">
        <v>168</v>
      </c>
      <c r="B170" t="s">
        <v>1208</v>
      </c>
      <c r="C170" t="s">
        <v>699</v>
      </c>
      <c r="D170">
        <v>168</v>
      </c>
      <c r="E170" t="str">
        <f t="shared" si="4"/>
        <v>RB</v>
      </c>
      <c r="F170">
        <f t="shared" si="5"/>
        <v>57</v>
      </c>
    </row>
    <row r="171" spans="1:6" hidden="1" x14ac:dyDescent="0.25">
      <c r="A171">
        <v>169</v>
      </c>
      <c r="B171" t="s">
        <v>38</v>
      </c>
      <c r="C171" t="s">
        <v>685</v>
      </c>
      <c r="D171">
        <v>169</v>
      </c>
      <c r="E171" t="str">
        <f t="shared" si="4"/>
        <v>TE</v>
      </c>
      <c r="F171">
        <f t="shared" si="5"/>
        <v>20</v>
      </c>
    </row>
    <row r="172" spans="1:6" hidden="1" x14ac:dyDescent="0.25">
      <c r="A172">
        <v>170</v>
      </c>
      <c r="B172" t="s">
        <v>98</v>
      </c>
      <c r="C172" t="s">
        <v>690</v>
      </c>
      <c r="D172">
        <v>170</v>
      </c>
      <c r="E172" t="str">
        <f t="shared" si="4"/>
        <v>TE</v>
      </c>
      <c r="F172">
        <f t="shared" si="5"/>
        <v>21</v>
      </c>
    </row>
    <row r="173" spans="1:6" hidden="1" x14ac:dyDescent="0.25">
      <c r="A173">
        <v>171</v>
      </c>
      <c r="B173" t="s">
        <v>209</v>
      </c>
      <c r="C173" t="s">
        <v>711</v>
      </c>
      <c r="D173">
        <v>171</v>
      </c>
      <c r="E173" t="str">
        <f t="shared" si="4"/>
        <v>WR</v>
      </c>
      <c r="F173">
        <f t="shared" si="5"/>
        <v>69</v>
      </c>
    </row>
    <row r="174" spans="1:6" hidden="1" x14ac:dyDescent="0.25">
      <c r="A174">
        <v>172</v>
      </c>
      <c r="B174" t="s">
        <v>338</v>
      </c>
      <c r="C174" t="s">
        <v>700</v>
      </c>
      <c r="D174">
        <v>172</v>
      </c>
      <c r="E174" t="str">
        <f t="shared" si="4"/>
        <v>QB</v>
      </c>
      <c r="F174">
        <f t="shared" si="5"/>
        <v>25</v>
      </c>
    </row>
    <row r="175" spans="1:6" hidden="1" x14ac:dyDescent="0.25">
      <c r="A175">
        <v>173</v>
      </c>
      <c r="B175" t="s">
        <v>164</v>
      </c>
      <c r="C175" t="s">
        <v>713</v>
      </c>
      <c r="D175">
        <v>173</v>
      </c>
      <c r="E175" t="str">
        <f t="shared" si="4"/>
        <v>WR</v>
      </c>
      <c r="F175">
        <f t="shared" si="5"/>
        <v>70</v>
      </c>
    </row>
    <row r="176" spans="1:6" hidden="1" x14ac:dyDescent="0.25">
      <c r="A176">
        <v>174</v>
      </c>
      <c r="B176" t="s">
        <v>350</v>
      </c>
      <c r="C176" t="s">
        <v>709</v>
      </c>
      <c r="D176">
        <v>174</v>
      </c>
      <c r="E176" t="str">
        <f t="shared" si="4"/>
        <v>QB</v>
      </c>
      <c r="F176">
        <f t="shared" si="5"/>
        <v>26</v>
      </c>
    </row>
    <row r="177" spans="1:6" hidden="1" x14ac:dyDescent="0.25">
      <c r="A177">
        <v>175</v>
      </c>
      <c r="B177" t="s">
        <v>378</v>
      </c>
      <c r="C177" t="s">
        <v>720</v>
      </c>
      <c r="D177">
        <v>175</v>
      </c>
      <c r="E177" t="str">
        <f t="shared" si="4"/>
        <v>QB</v>
      </c>
      <c r="F177">
        <f t="shared" si="5"/>
        <v>27</v>
      </c>
    </row>
    <row r="178" spans="1:6" hidden="1" x14ac:dyDescent="0.25">
      <c r="A178">
        <v>176</v>
      </c>
      <c r="B178" t="s">
        <v>64</v>
      </c>
      <c r="C178" t="s">
        <v>693</v>
      </c>
      <c r="D178">
        <v>176</v>
      </c>
      <c r="E178" t="str">
        <f t="shared" si="4"/>
        <v>TE</v>
      </c>
      <c r="F178">
        <f t="shared" si="5"/>
        <v>22</v>
      </c>
    </row>
    <row r="179" spans="1:6" hidden="1" x14ac:dyDescent="0.25">
      <c r="A179">
        <v>177</v>
      </c>
      <c r="B179" t="s">
        <v>344</v>
      </c>
      <c r="C179" t="s">
        <v>734</v>
      </c>
      <c r="D179">
        <v>177</v>
      </c>
      <c r="E179" t="str">
        <f t="shared" si="4"/>
        <v>QB</v>
      </c>
      <c r="F179">
        <f t="shared" si="5"/>
        <v>28</v>
      </c>
    </row>
    <row r="180" spans="1:6" hidden="1" x14ac:dyDescent="0.25">
      <c r="A180">
        <v>178</v>
      </c>
      <c r="B180" t="s">
        <v>133</v>
      </c>
      <c r="C180" t="s">
        <v>717</v>
      </c>
      <c r="D180">
        <v>178</v>
      </c>
      <c r="E180" t="str">
        <f t="shared" si="4"/>
        <v>WR</v>
      </c>
      <c r="F180">
        <f t="shared" si="5"/>
        <v>71</v>
      </c>
    </row>
    <row r="181" spans="1:6" hidden="1" x14ac:dyDescent="0.25">
      <c r="A181">
        <v>179</v>
      </c>
      <c r="B181" t="s">
        <v>248</v>
      </c>
      <c r="C181" t="s">
        <v>702</v>
      </c>
      <c r="D181">
        <v>179</v>
      </c>
      <c r="E181" t="str">
        <f t="shared" si="4"/>
        <v>RB</v>
      </c>
      <c r="F181">
        <f t="shared" si="5"/>
        <v>58</v>
      </c>
    </row>
    <row r="182" spans="1:6" hidden="1" x14ac:dyDescent="0.25">
      <c r="A182">
        <v>180</v>
      </c>
      <c r="B182" t="s">
        <v>113</v>
      </c>
      <c r="C182" t="s">
        <v>721</v>
      </c>
      <c r="D182">
        <v>180</v>
      </c>
      <c r="E182" t="str">
        <f t="shared" si="4"/>
        <v>WR</v>
      </c>
      <c r="F182">
        <f t="shared" si="5"/>
        <v>72</v>
      </c>
    </row>
    <row r="183" spans="1:6" hidden="1" x14ac:dyDescent="0.25">
      <c r="A183">
        <v>216</v>
      </c>
      <c r="B183" t="s">
        <v>199</v>
      </c>
      <c r="C183" t="s">
        <v>738</v>
      </c>
      <c r="D183">
        <v>181</v>
      </c>
      <c r="E183" t="str">
        <f t="shared" si="4"/>
        <v>WR</v>
      </c>
      <c r="F183">
        <f t="shared" si="5"/>
        <v>84</v>
      </c>
    </row>
    <row r="184" spans="1:6" hidden="1" x14ac:dyDescent="0.25">
      <c r="A184">
        <v>181</v>
      </c>
      <c r="B184" t="s">
        <v>348</v>
      </c>
      <c r="C184" t="s">
        <v>739</v>
      </c>
      <c r="D184">
        <v>182</v>
      </c>
      <c r="E184" t="str">
        <f t="shared" si="4"/>
        <v>QB</v>
      </c>
      <c r="F184">
        <f t="shared" si="5"/>
        <v>29</v>
      </c>
    </row>
    <row r="185" spans="1:6" hidden="1" x14ac:dyDescent="0.25">
      <c r="A185">
        <v>182</v>
      </c>
      <c r="B185" t="s">
        <v>88</v>
      </c>
      <c r="C185" t="s">
        <v>697</v>
      </c>
      <c r="D185">
        <v>183</v>
      </c>
      <c r="E185" t="str">
        <f t="shared" si="4"/>
        <v>TE</v>
      </c>
      <c r="F185">
        <f t="shared" si="5"/>
        <v>23</v>
      </c>
    </row>
    <row r="186" spans="1:6" hidden="1" x14ac:dyDescent="0.25">
      <c r="A186">
        <v>183</v>
      </c>
      <c r="B186" t="s">
        <v>86</v>
      </c>
      <c r="C186" t="s">
        <v>698</v>
      </c>
      <c r="D186">
        <v>184</v>
      </c>
      <c r="E186" t="str">
        <f t="shared" si="4"/>
        <v>TE</v>
      </c>
      <c r="F186">
        <f t="shared" si="5"/>
        <v>24</v>
      </c>
    </row>
    <row r="187" spans="1:6" hidden="1" x14ac:dyDescent="0.25">
      <c r="A187">
        <v>184</v>
      </c>
      <c r="B187" t="s">
        <v>217</v>
      </c>
      <c r="C187" t="s">
        <v>722</v>
      </c>
      <c r="D187">
        <v>185</v>
      </c>
      <c r="E187" t="str">
        <f t="shared" si="4"/>
        <v>WR</v>
      </c>
      <c r="F187">
        <f t="shared" si="5"/>
        <v>73</v>
      </c>
    </row>
    <row r="188" spans="1:6" hidden="1" x14ac:dyDescent="0.25">
      <c r="A188">
        <v>185</v>
      </c>
      <c r="B188" t="s">
        <v>202</v>
      </c>
      <c r="C188" t="s">
        <v>723</v>
      </c>
      <c r="D188">
        <v>186</v>
      </c>
      <c r="E188" t="str">
        <f t="shared" si="4"/>
        <v>WR</v>
      </c>
      <c r="F188">
        <f t="shared" si="5"/>
        <v>74</v>
      </c>
    </row>
    <row r="189" spans="1:6" hidden="1" x14ac:dyDescent="0.25">
      <c r="A189">
        <v>186</v>
      </c>
      <c r="B189" t="s">
        <v>1209</v>
      </c>
      <c r="C189" t="s">
        <v>703</v>
      </c>
      <c r="D189">
        <v>187</v>
      </c>
      <c r="E189" t="str">
        <f t="shared" ref="E189:E237" si="6">LEFT(C189,2)</f>
        <v>RB</v>
      </c>
      <c r="F189">
        <f t="shared" ref="F189:F237" si="7">VALUE(MID(C189,3,LEN(C189)))</f>
        <v>59</v>
      </c>
    </row>
    <row r="190" spans="1:6" hidden="1" x14ac:dyDescent="0.25">
      <c r="A190">
        <v>187</v>
      </c>
      <c r="B190" t="s">
        <v>165</v>
      </c>
      <c r="C190" t="s">
        <v>725</v>
      </c>
      <c r="D190">
        <v>188</v>
      </c>
      <c r="E190" t="str">
        <f t="shared" si="6"/>
        <v>WR</v>
      </c>
      <c r="F190">
        <f t="shared" si="7"/>
        <v>75</v>
      </c>
    </row>
    <row r="191" spans="1:6" hidden="1" x14ac:dyDescent="0.25">
      <c r="A191">
        <v>188</v>
      </c>
      <c r="B191" t="s">
        <v>289</v>
      </c>
      <c r="C191" t="s">
        <v>705</v>
      </c>
      <c r="D191">
        <v>189</v>
      </c>
      <c r="E191" t="str">
        <f t="shared" si="6"/>
        <v>RB</v>
      </c>
      <c r="F191">
        <f t="shared" si="7"/>
        <v>60</v>
      </c>
    </row>
    <row r="192" spans="1:6" hidden="1" x14ac:dyDescent="0.25">
      <c r="A192">
        <v>189</v>
      </c>
      <c r="B192" t="s">
        <v>413</v>
      </c>
      <c r="C192" t="s">
        <v>727</v>
      </c>
      <c r="D192">
        <v>190</v>
      </c>
      <c r="E192" t="str">
        <f t="shared" si="6"/>
        <v>WR</v>
      </c>
      <c r="F192">
        <f t="shared" si="7"/>
        <v>76</v>
      </c>
    </row>
    <row r="193" spans="1:6" hidden="1" x14ac:dyDescent="0.25">
      <c r="A193">
        <v>190</v>
      </c>
      <c r="B193" t="s">
        <v>183</v>
      </c>
      <c r="C193" t="s">
        <v>728</v>
      </c>
      <c r="D193">
        <v>191</v>
      </c>
      <c r="E193" t="str">
        <f t="shared" si="6"/>
        <v>WR</v>
      </c>
      <c r="F193">
        <f t="shared" si="7"/>
        <v>77</v>
      </c>
    </row>
    <row r="194" spans="1:6" hidden="1" x14ac:dyDescent="0.25">
      <c r="A194">
        <v>191</v>
      </c>
      <c r="B194" t="s">
        <v>36</v>
      </c>
      <c r="C194" t="s">
        <v>710</v>
      </c>
      <c r="D194">
        <v>192</v>
      </c>
      <c r="E194" t="str">
        <f t="shared" si="6"/>
        <v>TE</v>
      </c>
      <c r="F194">
        <f t="shared" si="7"/>
        <v>25</v>
      </c>
    </row>
    <row r="195" spans="1:6" hidden="1" x14ac:dyDescent="0.25">
      <c r="A195">
        <v>192</v>
      </c>
      <c r="B195" t="s">
        <v>933</v>
      </c>
      <c r="C195" t="s">
        <v>729</v>
      </c>
      <c r="D195">
        <v>193</v>
      </c>
      <c r="E195" t="str">
        <f t="shared" si="6"/>
        <v>WR</v>
      </c>
      <c r="F195">
        <f t="shared" si="7"/>
        <v>78</v>
      </c>
    </row>
    <row r="196" spans="1:6" hidden="1" x14ac:dyDescent="0.25">
      <c r="A196">
        <v>193</v>
      </c>
      <c r="B196" t="s">
        <v>1072</v>
      </c>
      <c r="C196" t="s">
        <v>715</v>
      </c>
      <c r="D196">
        <v>194</v>
      </c>
      <c r="E196" t="str">
        <f t="shared" si="6"/>
        <v>TE</v>
      </c>
      <c r="F196">
        <f t="shared" si="7"/>
        <v>26</v>
      </c>
    </row>
    <row r="197" spans="1:6" hidden="1" x14ac:dyDescent="0.25">
      <c r="A197">
        <v>194</v>
      </c>
      <c r="B197" t="s">
        <v>62</v>
      </c>
      <c r="C197" t="s">
        <v>719</v>
      </c>
      <c r="D197">
        <v>195</v>
      </c>
      <c r="E197" t="str">
        <f t="shared" si="6"/>
        <v>TE</v>
      </c>
      <c r="F197">
        <f t="shared" si="7"/>
        <v>27</v>
      </c>
    </row>
    <row r="198" spans="1:6" hidden="1" x14ac:dyDescent="0.25">
      <c r="A198">
        <v>195</v>
      </c>
      <c r="B198" t="s">
        <v>359</v>
      </c>
      <c r="C198" t="s">
        <v>742</v>
      </c>
      <c r="D198">
        <v>196</v>
      </c>
      <c r="E198" t="str">
        <f t="shared" si="6"/>
        <v>QB</v>
      </c>
      <c r="F198">
        <f t="shared" si="7"/>
        <v>30</v>
      </c>
    </row>
    <row r="199" spans="1:6" hidden="1" x14ac:dyDescent="0.25">
      <c r="A199">
        <v>196</v>
      </c>
      <c r="B199" t="s">
        <v>333</v>
      </c>
      <c r="C199" t="s">
        <v>755</v>
      </c>
      <c r="D199">
        <v>197</v>
      </c>
      <c r="E199" t="str">
        <f t="shared" si="6"/>
        <v>QB</v>
      </c>
      <c r="F199">
        <f t="shared" si="7"/>
        <v>31</v>
      </c>
    </row>
    <row r="200" spans="1:6" hidden="1" x14ac:dyDescent="0.25">
      <c r="A200">
        <v>220</v>
      </c>
      <c r="B200" t="s">
        <v>171</v>
      </c>
      <c r="C200" t="s">
        <v>744</v>
      </c>
      <c r="D200">
        <v>198</v>
      </c>
      <c r="E200" t="str">
        <f t="shared" si="6"/>
        <v>WR</v>
      </c>
      <c r="F200">
        <f t="shared" si="7"/>
        <v>87</v>
      </c>
    </row>
    <row r="201" spans="1:6" hidden="1" x14ac:dyDescent="0.25">
      <c r="A201">
        <v>197</v>
      </c>
      <c r="B201" t="s">
        <v>208</v>
      </c>
      <c r="C201" t="s">
        <v>730</v>
      </c>
      <c r="D201">
        <v>199</v>
      </c>
      <c r="E201" t="str">
        <f t="shared" si="6"/>
        <v>WR</v>
      </c>
      <c r="F201">
        <f t="shared" si="7"/>
        <v>79</v>
      </c>
    </row>
    <row r="202" spans="1:6" hidden="1" x14ac:dyDescent="0.25">
      <c r="A202">
        <v>198</v>
      </c>
      <c r="B202" t="s">
        <v>394</v>
      </c>
      <c r="C202" t="s">
        <v>707</v>
      </c>
      <c r="D202">
        <v>200</v>
      </c>
      <c r="E202" t="str">
        <f t="shared" si="6"/>
        <v>RB</v>
      </c>
      <c r="F202">
        <f t="shared" si="7"/>
        <v>61</v>
      </c>
    </row>
    <row r="203" spans="1:6" hidden="1" x14ac:dyDescent="0.25">
      <c r="A203">
        <v>199</v>
      </c>
      <c r="B203" t="s">
        <v>291</v>
      </c>
      <c r="C203" t="s">
        <v>714</v>
      </c>
      <c r="D203">
        <v>201</v>
      </c>
      <c r="E203" t="str">
        <f t="shared" si="6"/>
        <v>RB</v>
      </c>
      <c r="F203">
        <f t="shared" si="7"/>
        <v>62</v>
      </c>
    </row>
    <row r="204" spans="1:6" hidden="1" x14ac:dyDescent="0.25">
      <c r="A204">
        <v>200</v>
      </c>
      <c r="B204" t="s">
        <v>169</v>
      </c>
      <c r="C204" t="s">
        <v>732</v>
      </c>
      <c r="D204">
        <v>202</v>
      </c>
      <c r="E204" t="str">
        <f t="shared" si="6"/>
        <v>WR</v>
      </c>
      <c r="F204">
        <f t="shared" si="7"/>
        <v>80</v>
      </c>
    </row>
    <row r="205" spans="1:6" hidden="1" x14ac:dyDescent="0.25">
      <c r="A205">
        <v>201</v>
      </c>
      <c r="B205" t="s">
        <v>280</v>
      </c>
      <c r="C205" t="s">
        <v>716</v>
      </c>
      <c r="D205">
        <v>203</v>
      </c>
      <c r="E205" t="str">
        <f t="shared" si="6"/>
        <v>RB</v>
      </c>
      <c r="F205">
        <f t="shared" si="7"/>
        <v>63</v>
      </c>
    </row>
    <row r="206" spans="1:6" hidden="1" x14ac:dyDescent="0.25">
      <c r="A206">
        <v>202</v>
      </c>
      <c r="B206" t="s">
        <v>375</v>
      </c>
      <c r="C206" t="s">
        <v>759</v>
      </c>
      <c r="D206">
        <v>204</v>
      </c>
      <c r="E206" t="str">
        <f t="shared" si="6"/>
        <v>QB</v>
      </c>
      <c r="F206">
        <f t="shared" si="7"/>
        <v>32</v>
      </c>
    </row>
    <row r="207" spans="1:6" hidden="1" x14ac:dyDescent="0.25">
      <c r="A207">
        <v>203</v>
      </c>
      <c r="B207" t="s">
        <v>422</v>
      </c>
      <c r="C207" t="s">
        <v>735</v>
      </c>
      <c r="D207">
        <v>205</v>
      </c>
      <c r="E207" t="str">
        <f t="shared" si="6"/>
        <v>WR</v>
      </c>
      <c r="F207">
        <f t="shared" si="7"/>
        <v>81</v>
      </c>
    </row>
    <row r="208" spans="1:6" hidden="1" x14ac:dyDescent="0.25">
      <c r="A208">
        <v>204</v>
      </c>
      <c r="B208" t="s">
        <v>382</v>
      </c>
      <c r="C208" t="s">
        <v>762</v>
      </c>
      <c r="D208">
        <v>206</v>
      </c>
      <c r="E208" t="str">
        <f t="shared" si="6"/>
        <v>QB</v>
      </c>
      <c r="F208">
        <f t="shared" si="7"/>
        <v>33</v>
      </c>
    </row>
    <row r="209" spans="1:6" hidden="1" x14ac:dyDescent="0.25">
      <c r="A209">
        <v>205</v>
      </c>
      <c r="B209" t="s">
        <v>210</v>
      </c>
      <c r="C209" t="s">
        <v>736</v>
      </c>
      <c r="D209">
        <v>207</v>
      </c>
      <c r="E209" t="str">
        <f t="shared" si="6"/>
        <v>WR</v>
      </c>
      <c r="F209">
        <f t="shared" si="7"/>
        <v>82</v>
      </c>
    </row>
    <row r="210" spans="1:6" hidden="1" x14ac:dyDescent="0.25">
      <c r="A210">
        <v>228</v>
      </c>
      <c r="B210" t="s">
        <v>300</v>
      </c>
      <c r="C210" t="s">
        <v>772</v>
      </c>
      <c r="D210">
        <v>208</v>
      </c>
      <c r="E210" t="str">
        <f t="shared" si="6"/>
        <v>RB</v>
      </c>
      <c r="F210">
        <f t="shared" si="7"/>
        <v>73</v>
      </c>
    </row>
    <row r="211" spans="1:6" hidden="1" x14ac:dyDescent="0.25">
      <c r="A211">
        <v>206</v>
      </c>
      <c r="B211" t="s">
        <v>390</v>
      </c>
      <c r="C211" t="s">
        <v>718</v>
      </c>
      <c r="D211">
        <v>209</v>
      </c>
      <c r="E211" t="str">
        <f t="shared" si="6"/>
        <v>RB</v>
      </c>
      <c r="F211">
        <f t="shared" si="7"/>
        <v>64</v>
      </c>
    </row>
    <row r="212" spans="1:6" hidden="1" x14ac:dyDescent="0.25">
      <c r="A212">
        <v>207</v>
      </c>
      <c r="B212" t="s">
        <v>54</v>
      </c>
      <c r="C212" t="s">
        <v>724</v>
      </c>
      <c r="D212">
        <v>210</v>
      </c>
      <c r="E212" t="str">
        <f t="shared" si="6"/>
        <v>TE</v>
      </c>
      <c r="F212">
        <f t="shared" si="7"/>
        <v>28</v>
      </c>
    </row>
    <row r="213" spans="1:6" hidden="1" x14ac:dyDescent="0.25">
      <c r="A213">
        <v>208</v>
      </c>
      <c r="B213" t="s">
        <v>96</v>
      </c>
      <c r="C213" t="s">
        <v>743</v>
      </c>
      <c r="D213">
        <v>211</v>
      </c>
      <c r="E213" t="str">
        <f t="shared" si="6"/>
        <v>TE</v>
      </c>
      <c r="F213">
        <f t="shared" si="7"/>
        <v>29</v>
      </c>
    </row>
    <row r="214" spans="1:6" hidden="1" x14ac:dyDescent="0.25">
      <c r="A214">
        <v>231</v>
      </c>
      <c r="B214" t="s">
        <v>1073</v>
      </c>
      <c r="C214" t="s">
        <v>748</v>
      </c>
      <c r="D214">
        <v>212</v>
      </c>
      <c r="E214" t="str">
        <f t="shared" si="6"/>
        <v>WR</v>
      </c>
      <c r="F214">
        <f t="shared" si="7"/>
        <v>88</v>
      </c>
    </row>
    <row r="215" spans="1:6" hidden="1" x14ac:dyDescent="0.25">
      <c r="A215">
        <v>209</v>
      </c>
      <c r="B215" t="s">
        <v>93</v>
      </c>
      <c r="C215" t="s">
        <v>745</v>
      </c>
      <c r="D215">
        <v>213</v>
      </c>
      <c r="E215" t="str">
        <f t="shared" si="6"/>
        <v>TE</v>
      </c>
      <c r="F215">
        <f t="shared" si="7"/>
        <v>30</v>
      </c>
    </row>
    <row r="216" spans="1:6" hidden="1" x14ac:dyDescent="0.25">
      <c r="A216">
        <v>210</v>
      </c>
      <c r="B216" t="s">
        <v>500</v>
      </c>
      <c r="C216" t="s">
        <v>726</v>
      </c>
      <c r="D216">
        <v>214</v>
      </c>
      <c r="E216" t="str">
        <f t="shared" si="6"/>
        <v>RB</v>
      </c>
      <c r="F216">
        <f t="shared" si="7"/>
        <v>65</v>
      </c>
    </row>
    <row r="217" spans="1:6" hidden="1" x14ac:dyDescent="0.25">
      <c r="A217">
        <v>211</v>
      </c>
      <c r="B217" t="s">
        <v>130</v>
      </c>
      <c r="C217" t="s">
        <v>737</v>
      </c>
      <c r="D217">
        <v>215</v>
      </c>
      <c r="E217" t="str">
        <f t="shared" si="6"/>
        <v>WR</v>
      </c>
      <c r="F217">
        <f t="shared" si="7"/>
        <v>83</v>
      </c>
    </row>
    <row r="218" spans="1:6" hidden="1" x14ac:dyDescent="0.25">
      <c r="A218">
        <v>212</v>
      </c>
      <c r="B218" t="s">
        <v>314</v>
      </c>
      <c r="C218" t="s">
        <v>731</v>
      </c>
      <c r="D218">
        <v>216</v>
      </c>
      <c r="E218" t="str">
        <f t="shared" si="6"/>
        <v>RB</v>
      </c>
      <c r="F218">
        <f t="shared" si="7"/>
        <v>66</v>
      </c>
    </row>
    <row r="219" spans="1:6" hidden="1" x14ac:dyDescent="0.25">
      <c r="A219">
        <v>213</v>
      </c>
      <c r="B219" t="s">
        <v>392</v>
      </c>
      <c r="C219" t="s">
        <v>733</v>
      </c>
      <c r="D219">
        <v>217</v>
      </c>
      <c r="E219" t="str">
        <f t="shared" si="6"/>
        <v>RB</v>
      </c>
      <c r="F219">
        <f t="shared" si="7"/>
        <v>67</v>
      </c>
    </row>
    <row r="220" spans="1:6" hidden="1" x14ac:dyDescent="0.25">
      <c r="A220">
        <v>232</v>
      </c>
      <c r="B220" t="s">
        <v>153</v>
      </c>
      <c r="C220" t="s">
        <v>751</v>
      </c>
      <c r="D220">
        <v>218</v>
      </c>
      <c r="E220" t="str">
        <f t="shared" si="6"/>
        <v>WR</v>
      </c>
      <c r="F220">
        <f t="shared" si="7"/>
        <v>89</v>
      </c>
    </row>
    <row r="221" spans="1:6" hidden="1" x14ac:dyDescent="0.25">
      <c r="A221">
        <v>214</v>
      </c>
      <c r="B221" t="s">
        <v>1074</v>
      </c>
      <c r="C221" t="s">
        <v>747</v>
      </c>
      <c r="D221">
        <v>219</v>
      </c>
      <c r="E221" t="str">
        <f t="shared" si="6"/>
        <v>RB</v>
      </c>
      <c r="F221">
        <f t="shared" si="7"/>
        <v>68</v>
      </c>
    </row>
    <row r="222" spans="1:6" hidden="1" x14ac:dyDescent="0.25">
      <c r="A222">
        <v>215</v>
      </c>
      <c r="B222" t="s">
        <v>399</v>
      </c>
      <c r="C222" t="s">
        <v>753</v>
      </c>
      <c r="D222">
        <v>220</v>
      </c>
      <c r="E222" t="str">
        <f t="shared" si="6"/>
        <v>RB</v>
      </c>
      <c r="F222">
        <f t="shared" si="7"/>
        <v>69</v>
      </c>
    </row>
    <row r="223" spans="1:6" hidden="1" x14ac:dyDescent="0.25">
      <c r="A223">
        <v>233</v>
      </c>
      <c r="B223" t="s">
        <v>430</v>
      </c>
      <c r="C223" t="s">
        <v>752</v>
      </c>
      <c r="D223">
        <v>221</v>
      </c>
      <c r="E223" t="str">
        <f t="shared" si="6"/>
        <v>WR</v>
      </c>
      <c r="F223">
        <f t="shared" si="7"/>
        <v>90</v>
      </c>
    </row>
    <row r="224" spans="1:6" hidden="1" x14ac:dyDescent="0.25">
      <c r="A224">
        <v>217</v>
      </c>
      <c r="B224" t="s">
        <v>58</v>
      </c>
      <c r="C224" t="s">
        <v>750</v>
      </c>
      <c r="D224">
        <v>222</v>
      </c>
      <c r="E224" t="str">
        <f t="shared" si="6"/>
        <v>TE</v>
      </c>
      <c r="F224">
        <f t="shared" si="7"/>
        <v>31</v>
      </c>
    </row>
    <row r="225" spans="1:6" hidden="1" x14ac:dyDescent="0.25">
      <c r="A225">
        <v>218</v>
      </c>
      <c r="B225" t="s">
        <v>934</v>
      </c>
      <c r="C225" t="s">
        <v>740</v>
      </c>
      <c r="D225">
        <v>223</v>
      </c>
      <c r="E225" t="str">
        <f t="shared" si="6"/>
        <v>WR</v>
      </c>
      <c r="F225">
        <f t="shared" si="7"/>
        <v>85</v>
      </c>
    </row>
    <row r="226" spans="1:6" hidden="1" x14ac:dyDescent="0.25">
      <c r="A226">
        <v>219</v>
      </c>
      <c r="B226" t="s">
        <v>162</v>
      </c>
      <c r="C226" t="s">
        <v>741</v>
      </c>
      <c r="D226">
        <v>224</v>
      </c>
      <c r="E226" t="str">
        <f t="shared" si="6"/>
        <v>WR</v>
      </c>
      <c r="F226">
        <f t="shared" si="7"/>
        <v>86</v>
      </c>
    </row>
    <row r="227" spans="1:6" hidden="1" x14ac:dyDescent="0.25">
      <c r="A227">
        <v>235</v>
      </c>
      <c r="B227" t="s">
        <v>401</v>
      </c>
      <c r="C227" t="s">
        <v>780</v>
      </c>
      <c r="D227">
        <v>225</v>
      </c>
      <c r="E227" t="str">
        <f t="shared" si="6"/>
        <v>RB</v>
      </c>
      <c r="F227">
        <f t="shared" si="7"/>
        <v>76</v>
      </c>
    </row>
    <row r="228" spans="1:6" hidden="1" x14ac:dyDescent="0.25">
      <c r="A228">
        <v>236</v>
      </c>
      <c r="B228" t="s">
        <v>68</v>
      </c>
      <c r="C228" t="s">
        <v>766</v>
      </c>
      <c r="D228">
        <v>226</v>
      </c>
      <c r="E228" t="str">
        <f t="shared" si="6"/>
        <v>TE</v>
      </c>
      <c r="F228">
        <f t="shared" si="7"/>
        <v>34</v>
      </c>
    </row>
    <row r="229" spans="1:6" hidden="1" x14ac:dyDescent="0.25">
      <c r="A229">
        <v>238</v>
      </c>
      <c r="B229" t="s">
        <v>749</v>
      </c>
      <c r="C229" t="s">
        <v>773</v>
      </c>
      <c r="D229">
        <v>227</v>
      </c>
      <c r="E229" t="str">
        <f t="shared" si="6"/>
        <v>TE</v>
      </c>
      <c r="F229">
        <f t="shared" si="7"/>
        <v>35</v>
      </c>
    </row>
    <row r="230" spans="1:6" hidden="1" x14ac:dyDescent="0.25">
      <c r="A230">
        <v>239</v>
      </c>
      <c r="B230" t="s">
        <v>419</v>
      </c>
      <c r="C230" t="s">
        <v>758</v>
      </c>
      <c r="D230">
        <v>228</v>
      </c>
      <c r="E230" t="str">
        <f t="shared" si="6"/>
        <v>WR</v>
      </c>
      <c r="F230">
        <f t="shared" si="7"/>
        <v>91</v>
      </c>
    </row>
    <row r="231" spans="1:6" hidden="1" x14ac:dyDescent="0.25">
      <c r="A231">
        <v>240</v>
      </c>
      <c r="B231" t="s">
        <v>435</v>
      </c>
      <c r="C231" t="s">
        <v>761</v>
      </c>
      <c r="D231">
        <v>229</v>
      </c>
      <c r="E231" t="str">
        <f t="shared" si="6"/>
        <v>WR</v>
      </c>
      <c r="F231">
        <f t="shared" si="7"/>
        <v>92</v>
      </c>
    </row>
    <row r="232" spans="1:6" hidden="1" x14ac:dyDescent="0.25">
      <c r="A232">
        <v>241</v>
      </c>
      <c r="B232" t="s">
        <v>160</v>
      </c>
      <c r="C232" t="s">
        <v>763</v>
      </c>
      <c r="D232">
        <v>230</v>
      </c>
      <c r="E232" t="str">
        <f t="shared" si="6"/>
        <v>WR</v>
      </c>
      <c r="F232">
        <f t="shared" si="7"/>
        <v>93</v>
      </c>
    </row>
    <row r="233" spans="1:6" hidden="1" x14ac:dyDescent="0.25">
      <c r="A233">
        <v>221</v>
      </c>
      <c r="B233" t="s">
        <v>287</v>
      </c>
      <c r="C233" t="s">
        <v>754</v>
      </c>
      <c r="D233">
        <v>231</v>
      </c>
      <c r="E233" t="str">
        <f t="shared" si="6"/>
        <v>RB</v>
      </c>
      <c r="F233">
        <f t="shared" si="7"/>
        <v>70</v>
      </c>
    </row>
    <row r="234" spans="1:6" hidden="1" x14ac:dyDescent="0.25">
      <c r="A234">
        <v>242</v>
      </c>
      <c r="B234" t="s">
        <v>56</v>
      </c>
      <c r="C234" t="s">
        <v>776</v>
      </c>
      <c r="D234">
        <v>232</v>
      </c>
      <c r="E234" t="str">
        <f t="shared" si="6"/>
        <v>TE</v>
      </c>
      <c r="F234">
        <f t="shared" si="7"/>
        <v>36</v>
      </c>
    </row>
    <row r="235" spans="1:6" hidden="1" x14ac:dyDescent="0.25">
      <c r="A235">
        <v>223</v>
      </c>
      <c r="B235" t="s">
        <v>236</v>
      </c>
      <c r="C235" t="s">
        <v>767</v>
      </c>
      <c r="D235">
        <v>233</v>
      </c>
      <c r="E235" t="str">
        <f t="shared" si="6"/>
        <v>RB</v>
      </c>
      <c r="F235">
        <f t="shared" si="7"/>
        <v>71</v>
      </c>
    </row>
    <row r="236" spans="1:6" hidden="1" x14ac:dyDescent="0.25">
      <c r="A236">
        <v>243</v>
      </c>
      <c r="B236" t="s">
        <v>476</v>
      </c>
      <c r="C236" t="s">
        <v>765</v>
      </c>
      <c r="D236">
        <v>234</v>
      </c>
      <c r="E236" t="str">
        <f t="shared" si="6"/>
        <v>WR</v>
      </c>
      <c r="F236">
        <f t="shared" si="7"/>
        <v>94</v>
      </c>
    </row>
    <row r="237" spans="1:6" hidden="1" x14ac:dyDescent="0.25">
      <c r="A237">
        <v>244</v>
      </c>
      <c r="B237" t="s">
        <v>404</v>
      </c>
      <c r="C237" t="s">
        <v>789</v>
      </c>
      <c r="D237">
        <v>235</v>
      </c>
      <c r="E237" t="str">
        <f t="shared" si="6"/>
        <v>RB</v>
      </c>
      <c r="F237">
        <f t="shared" si="7"/>
        <v>77</v>
      </c>
    </row>
    <row r="238" spans="1:6" hidden="1" x14ac:dyDescent="0.25">
      <c r="A238">
        <v>272</v>
      </c>
      <c r="B238" t="s">
        <v>157</v>
      </c>
      <c r="C238" t="s">
        <v>817</v>
      </c>
      <c r="D238">
        <v>236</v>
      </c>
      <c r="E238" t="str">
        <f t="shared" ref="E238:E295" si="8">LEFT(C238,2)</f>
        <v>WR</v>
      </c>
      <c r="F238">
        <f t="shared" ref="F238:F295" si="9">VALUE(MID(C238,3,LEN(C238)))</f>
        <v>113</v>
      </c>
    </row>
    <row r="239" spans="1:6" hidden="1" x14ac:dyDescent="0.25">
      <c r="A239">
        <v>245</v>
      </c>
      <c r="B239" t="s">
        <v>347</v>
      </c>
      <c r="C239" t="s">
        <v>813</v>
      </c>
      <c r="D239">
        <v>237</v>
      </c>
      <c r="E239" t="str">
        <f t="shared" si="8"/>
        <v>QB</v>
      </c>
      <c r="F239">
        <f t="shared" si="9"/>
        <v>35</v>
      </c>
    </row>
    <row r="240" spans="1:6" hidden="1" x14ac:dyDescent="0.25">
      <c r="A240">
        <v>246</v>
      </c>
      <c r="B240" t="s">
        <v>137</v>
      </c>
      <c r="C240" t="s">
        <v>770</v>
      </c>
      <c r="D240">
        <v>238</v>
      </c>
      <c r="E240" t="str">
        <f t="shared" si="8"/>
        <v>WR</v>
      </c>
      <c r="F240">
        <f t="shared" si="9"/>
        <v>95</v>
      </c>
    </row>
    <row r="241" spans="1:6" hidden="1" x14ac:dyDescent="0.25">
      <c r="A241">
        <v>225</v>
      </c>
      <c r="B241" t="s">
        <v>76</v>
      </c>
      <c r="C241" t="s">
        <v>756</v>
      </c>
      <c r="D241">
        <v>239</v>
      </c>
      <c r="E241" t="str">
        <f t="shared" si="8"/>
        <v>TE</v>
      </c>
      <c r="F241">
        <f t="shared" si="9"/>
        <v>32</v>
      </c>
    </row>
    <row r="242" spans="1:6" hidden="1" x14ac:dyDescent="0.25">
      <c r="A242">
        <v>247</v>
      </c>
      <c r="B242" t="s">
        <v>397</v>
      </c>
      <c r="C242" t="s">
        <v>798</v>
      </c>
      <c r="D242">
        <v>240</v>
      </c>
      <c r="E242" t="str">
        <f t="shared" si="8"/>
        <v>RB</v>
      </c>
      <c r="F242">
        <f t="shared" si="9"/>
        <v>78</v>
      </c>
    </row>
    <row r="243" spans="1:6" hidden="1" x14ac:dyDescent="0.25">
      <c r="A243">
        <v>248</v>
      </c>
      <c r="B243" t="s">
        <v>1075</v>
      </c>
      <c r="C243" t="s">
        <v>806</v>
      </c>
      <c r="D243">
        <v>241</v>
      </c>
      <c r="E243" t="str">
        <f t="shared" si="8"/>
        <v>RB</v>
      </c>
      <c r="F243">
        <f t="shared" si="9"/>
        <v>79</v>
      </c>
    </row>
    <row r="244" spans="1:6" hidden="1" x14ac:dyDescent="0.25">
      <c r="A244">
        <v>249</v>
      </c>
      <c r="B244" t="s">
        <v>416</v>
      </c>
      <c r="C244" t="s">
        <v>771</v>
      </c>
      <c r="D244">
        <v>242</v>
      </c>
      <c r="E244" t="str">
        <f t="shared" si="8"/>
        <v>WR</v>
      </c>
      <c r="F244">
        <f t="shared" si="9"/>
        <v>96</v>
      </c>
    </row>
    <row r="245" spans="1:6" hidden="1" x14ac:dyDescent="0.25">
      <c r="A245">
        <v>227</v>
      </c>
      <c r="B245" t="s">
        <v>492</v>
      </c>
      <c r="C245" t="s">
        <v>768</v>
      </c>
      <c r="D245">
        <v>243</v>
      </c>
      <c r="E245" t="str">
        <f t="shared" si="8"/>
        <v>RB</v>
      </c>
      <c r="F245">
        <f t="shared" si="9"/>
        <v>72</v>
      </c>
    </row>
    <row r="246" spans="1:6" hidden="1" x14ac:dyDescent="0.25">
      <c r="A246">
        <v>250</v>
      </c>
      <c r="B246" t="s">
        <v>207</v>
      </c>
      <c r="C246" t="s">
        <v>774</v>
      </c>
      <c r="D246">
        <v>244</v>
      </c>
      <c r="E246" t="str">
        <f t="shared" si="8"/>
        <v>WR</v>
      </c>
      <c r="F246">
        <f t="shared" si="9"/>
        <v>97</v>
      </c>
    </row>
    <row r="247" spans="1:6" hidden="1" x14ac:dyDescent="0.25">
      <c r="A247">
        <v>229</v>
      </c>
      <c r="B247" t="s">
        <v>443</v>
      </c>
      <c r="C247" t="s">
        <v>760</v>
      </c>
      <c r="D247">
        <v>245</v>
      </c>
      <c r="E247" t="str">
        <f t="shared" si="8"/>
        <v>TE</v>
      </c>
      <c r="F247">
        <f t="shared" si="9"/>
        <v>33</v>
      </c>
    </row>
    <row r="248" spans="1:6" hidden="1" x14ac:dyDescent="0.25">
      <c r="A248">
        <v>230</v>
      </c>
      <c r="B248" t="s">
        <v>305</v>
      </c>
      <c r="C248" t="s">
        <v>775</v>
      </c>
      <c r="D248">
        <v>246</v>
      </c>
      <c r="E248" t="str">
        <f t="shared" si="8"/>
        <v>RB</v>
      </c>
      <c r="F248">
        <f t="shared" si="9"/>
        <v>74</v>
      </c>
    </row>
    <row r="249" spans="1:6" hidden="1" x14ac:dyDescent="0.25">
      <c r="A249">
        <v>277</v>
      </c>
      <c r="B249" t="s">
        <v>461</v>
      </c>
      <c r="C249" t="s">
        <v>832</v>
      </c>
      <c r="D249">
        <v>247</v>
      </c>
      <c r="E249" t="str">
        <f t="shared" si="8"/>
        <v>WR</v>
      </c>
      <c r="F249">
        <f t="shared" si="9"/>
        <v>116</v>
      </c>
    </row>
    <row r="250" spans="1:6" hidden="1" x14ac:dyDescent="0.25">
      <c r="A250">
        <v>251</v>
      </c>
      <c r="B250" t="s">
        <v>391</v>
      </c>
      <c r="C250" t="s">
        <v>807</v>
      </c>
      <c r="D250">
        <v>248</v>
      </c>
      <c r="E250" t="str">
        <f t="shared" si="8"/>
        <v>RB</v>
      </c>
      <c r="F250">
        <f t="shared" si="9"/>
        <v>80</v>
      </c>
    </row>
    <row r="251" spans="1:6" hidden="1" x14ac:dyDescent="0.25">
      <c r="A251">
        <v>252</v>
      </c>
      <c r="B251" t="s">
        <v>90</v>
      </c>
      <c r="C251" t="s">
        <v>778</v>
      </c>
      <c r="D251">
        <v>249</v>
      </c>
      <c r="E251" t="str">
        <f t="shared" si="8"/>
        <v>TE</v>
      </c>
      <c r="F251">
        <f t="shared" si="9"/>
        <v>37</v>
      </c>
    </row>
    <row r="252" spans="1:6" hidden="1" x14ac:dyDescent="0.25">
      <c r="A252">
        <v>253</v>
      </c>
      <c r="B252" t="s">
        <v>935</v>
      </c>
      <c r="C252" t="s">
        <v>779</v>
      </c>
      <c r="D252">
        <v>250</v>
      </c>
      <c r="E252" t="str">
        <f t="shared" si="8"/>
        <v>WR</v>
      </c>
      <c r="F252">
        <f t="shared" si="9"/>
        <v>98</v>
      </c>
    </row>
    <row r="253" spans="1:6" hidden="1" x14ac:dyDescent="0.25">
      <c r="A253">
        <v>254</v>
      </c>
      <c r="B253" t="s">
        <v>132</v>
      </c>
      <c r="C253" t="s">
        <v>781</v>
      </c>
      <c r="D253">
        <v>251</v>
      </c>
      <c r="E253" t="str">
        <f t="shared" si="8"/>
        <v>WR</v>
      </c>
      <c r="F253">
        <f t="shared" si="9"/>
        <v>99</v>
      </c>
    </row>
    <row r="254" spans="1:6" hidden="1" x14ac:dyDescent="0.25">
      <c r="A254">
        <v>255</v>
      </c>
      <c r="B254" t="s">
        <v>189</v>
      </c>
      <c r="C254" t="s">
        <v>782</v>
      </c>
      <c r="D254">
        <v>252</v>
      </c>
      <c r="E254" t="str">
        <f t="shared" si="8"/>
        <v>WR</v>
      </c>
      <c r="F254">
        <f t="shared" si="9"/>
        <v>100</v>
      </c>
    </row>
    <row r="255" spans="1:6" hidden="1" x14ac:dyDescent="0.25">
      <c r="A255">
        <v>256</v>
      </c>
      <c r="B255" t="s">
        <v>269</v>
      </c>
      <c r="C255" t="s">
        <v>809</v>
      </c>
      <c r="D255">
        <v>253</v>
      </c>
      <c r="E255" t="str">
        <f t="shared" si="8"/>
        <v>RB</v>
      </c>
      <c r="F255">
        <f t="shared" si="9"/>
        <v>81</v>
      </c>
    </row>
    <row r="256" spans="1:6" hidden="1" x14ac:dyDescent="0.25">
      <c r="A256">
        <v>281</v>
      </c>
      <c r="B256" t="s">
        <v>187</v>
      </c>
      <c r="C256" t="s">
        <v>849</v>
      </c>
      <c r="D256">
        <v>254</v>
      </c>
      <c r="E256" t="str">
        <f t="shared" si="8"/>
        <v>WR</v>
      </c>
      <c r="F256">
        <f t="shared" si="9"/>
        <v>119</v>
      </c>
    </row>
    <row r="257" spans="1:6" hidden="1" x14ac:dyDescent="0.25">
      <c r="A257">
        <v>234</v>
      </c>
      <c r="B257" t="s">
        <v>919</v>
      </c>
      <c r="C257" t="s">
        <v>777</v>
      </c>
      <c r="D257">
        <v>255</v>
      </c>
      <c r="E257" t="str">
        <f t="shared" si="8"/>
        <v>RB</v>
      </c>
      <c r="F257">
        <f t="shared" si="9"/>
        <v>75</v>
      </c>
    </row>
    <row r="258" spans="1:6" hidden="1" x14ac:dyDescent="0.25">
      <c r="A258">
        <v>257</v>
      </c>
      <c r="B258" t="s">
        <v>193</v>
      </c>
      <c r="C258" t="s">
        <v>783</v>
      </c>
      <c r="D258">
        <v>256</v>
      </c>
      <c r="E258" t="str">
        <f t="shared" si="8"/>
        <v>WR</v>
      </c>
      <c r="F258">
        <f t="shared" si="9"/>
        <v>101</v>
      </c>
    </row>
    <row r="259" spans="1:6" hidden="1" x14ac:dyDescent="0.25">
      <c r="A259">
        <v>258</v>
      </c>
      <c r="B259" t="s">
        <v>1076</v>
      </c>
      <c r="C259" t="s">
        <v>784</v>
      </c>
      <c r="D259">
        <v>257</v>
      </c>
      <c r="E259" t="str">
        <f t="shared" si="8"/>
        <v>WR</v>
      </c>
      <c r="F259">
        <f t="shared" si="9"/>
        <v>102</v>
      </c>
    </row>
    <row r="260" spans="1:6" hidden="1" x14ac:dyDescent="0.25">
      <c r="A260">
        <v>259</v>
      </c>
      <c r="B260" t="s">
        <v>475</v>
      </c>
      <c r="C260" t="s">
        <v>785</v>
      </c>
      <c r="D260">
        <v>258</v>
      </c>
      <c r="E260" t="str">
        <f t="shared" si="8"/>
        <v>WR</v>
      </c>
      <c r="F260">
        <f t="shared" si="9"/>
        <v>103</v>
      </c>
    </row>
    <row r="261" spans="1:6" hidden="1" x14ac:dyDescent="0.25">
      <c r="A261">
        <v>237</v>
      </c>
      <c r="B261" t="s">
        <v>358</v>
      </c>
      <c r="C261" t="s">
        <v>810</v>
      </c>
      <c r="D261">
        <v>259</v>
      </c>
      <c r="E261" t="str">
        <f t="shared" si="8"/>
        <v>QB</v>
      </c>
      <c r="F261">
        <f t="shared" si="9"/>
        <v>34</v>
      </c>
    </row>
    <row r="262" spans="1:6" hidden="1" x14ac:dyDescent="0.25">
      <c r="A262">
        <v>260</v>
      </c>
      <c r="B262" t="s">
        <v>185</v>
      </c>
      <c r="C262" t="s">
        <v>787</v>
      </c>
      <c r="D262">
        <v>260</v>
      </c>
      <c r="E262" t="str">
        <f t="shared" si="8"/>
        <v>WR</v>
      </c>
      <c r="F262">
        <f t="shared" si="9"/>
        <v>104</v>
      </c>
    </row>
    <row r="263" spans="1:6" hidden="1" x14ac:dyDescent="0.25">
      <c r="A263">
        <v>261</v>
      </c>
      <c r="B263" t="s">
        <v>468</v>
      </c>
      <c r="C263" t="s">
        <v>791</v>
      </c>
      <c r="D263">
        <v>261</v>
      </c>
      <c r="E263" t="str">
        <f t="shared" si="8"/>
        <v>WR</v>
      </c>
      <c r="F263">
        <f t="shared" si="9"/>
        <v>105</v>
      </c>
    </row>
    <row r="264" spans="1:6" hidden="1" x14ac:dyDescent="0.25">
      <c r="A264">
        <v>282</v>
      </c>
      <c r="B264" t="s">
        <v>1077</v>
      </c>
      <c r="C264" t="s">
        <v>851</v>
      </c>
      <c r="D264">
        <v>262</v>
      </c>
      <c r="E264" t="str">
        <f t="shared" si="8"/>
        <v>WR</v>
      </c>
      <c r="F264">
        <f t="shared" si="9"/>
        <v>120</v>
      </c>
    </row>
    <row r="265" spans="1:6" hidden="1" x14ac:dyDescent="0.25">
      <c r="A265">
        <v>262</v>
      </c>
      <c r="B265" t="s">
        <v>127</v>
      </c>
      <c r="C265" t="s">
        <v>792</v>
      </c>
      <c r="D265">
        <v>263</v>
      </c>
      <c r="E265" t="str">
        <f t="shared" si="8"/>
        <v>WR</v>
      </c>
      <c r="F265">
        <f t="shared" si="9"/>
        <v>106</v>
      </c>
    </row>
    <row r="266" spans="1:6" hidden="1" x14ac:dyDescent="0.25">
      <c r="A266">
        <v>263</v>
      </c>
      <c r="B266" t="s">
        <v>409</v>
      </c>
      <c r="C266" t="s">
        <v>793</v>
      </c>
      <c r="D266">
        <v>264</v>
      </c>
      <c r="E266" t="str">
        <f t="shared" si="8"/>
        <v>WR</v>
      </c>
      <c r="F266">
        <f t="shared" si="9"/>
        <v>107</v>
      </c>
    </row>
    <row r="267" spans="1:6" hidden="1" x14ac:dyDescent="0.25">
      <c r="A267">
        <v>264</v>
      </c>
      <c r="B267" t="s">
        <v>400</v>
      </c>
      <c r="C267" t="s">
        <v>816</v>
      </c>
      <c r="D267">
        <v>265</v>
      </c>
      <c r="E267" t="str">
        <f t="shared" si="8"/>
        <v>RB</v>
      </c>
      <c r="F267">
        <f t="shared" si="9"/>
        <v>82</v>
      </c>
    </row>
    <row r="268" spans="1:6" hidden="1" x14ac:dyDescent="0.25">
      <c r="A268">
        <v>265</v>
      </c>
      <c r="B268" t="s">
        <v>451</v>
      </c>
      <c r="C268" t="s">
        <v>801</v>
      </c>
      <c r="D268">
        <v>266</v>
      </c>
      <c r="E268" t="str">
        <f t="shared" si="8"/>
        <v>TE</v>
      </c>
      <c r="F268">
        <f t="shared" si="9"/>
        <v>38</v>
      </c>
    </row>
    <row r="269" spans="1:6" hidden="1" x14ac:dyDescent="0.25">
      <c r="A269">
        <v>266</v>
      </c>
      <c r="B269" t="s">
        <v>1210</v>
      </c>
      <c r="C269" t="s">
        <v>794</v>
      </c>
      <c r="D269">
        <v>267</v>
      </c>
      <c r="E269" t="str">
        <f t="shared" si="8"/>
        <v>WR</v>
      </c>
      <c r="F269">
        <f t="shared" si="9"/>
        <v>108</v>
      </c>
    </row>
    <row r="270" spans="1:6" hidden="1" x14ac:dyDescent="0.25">
      <c r="A270">
        <v>289</v>
      </c>
      <c r="B270" t="s">
        <v>175</v>
      </c>
      <c r="C270" t="s">
        <v>861</v>
      </c>
      <c r="D270">
        <v>268</v>
      </c>
      <c r="E270" t="str">
        <f t="shared" si="8"/>
        <v>WR</v>
      </c>
      <c r="F270">
        <f t="shared" si="9"/>
        <v>123</v>
      </c>
    </row>
    <row r="271" spans="1:6" hidden="1" x14ac:dyDescent="0.25">
      <c r="A271">
        <v>267</v>
      </c>
      <c r="B271" t="s">
        <v>425</v>
      </c>
      <c r="C271" t="s">
        <v>795</v>
      </c>
      <c r="D271">
        <v>269</v>
      </c>
      <c r="E271" t="str">
        <f t="shared" si="8"/>
        <v>WR</v>
      </c>
      <c r="F271">
        <f t="shared" si="9"/>
        <v>109</v>
      </c>
    </row>
    <row r="272" spans="1:6" hidden="1" x14ac:dyDescent="0.25">
      <c r="A272">
        <v>291</v>
      </c>
      <c r="B272" t="s">
        <v>438</v>
      </c>
      <c r="C272" t="s">
        <v>821</v>
      </c>
      <c r="D272">
        <v>270</v>
      </c>
      <c r="E272" t="str">
        <f t="shared" si="8"/>
        <v>TE</v>
      </c>
      <c r="F272">
        <f t="shared" si="9"/>
        <v>41</v>
      </c>
    </row>
    <row r="273" spans="1:6" hidden="1" x14ac:dyDescent="0.25">
      <c r="A273">
        <v>268</v>
      </c>
      <c r="B273" t="s">
        <v>1078</v>
      </c>
      <c r="C273" t="s">
        <v>796</v>
      </c>
      <c r="D273">
        <v>271</v>
      </c>
      <c r="E273" t="str">
        <f t="shared" si="8"/>
        <v>WR</v>
      </c>
      <c r="F273">
        <f t="shared" si="9"/>
        <v>110</v>
      </c>
    </row>
    <row r="274" spans="1:6" hidden="1" x14ac:dyDescent="0.25">
      <c r="A274">
        <v>269</v>
      </c>
      <c r="B274" t="s">
        <v>907</v>
      </c>
      <c r="C274" t="s">
        <v>800</v>
      </c>
      <c r="D274">
        <v>272</v>
      </c>
      <c r="E274" t="str">
        <f t="shared" si="8"/>
        <v>WR</v>
      </c>
      <c r="F274">
        <f t="shared" si="9"/>
        <v>111</v>
      </c>
    </row>
    <row r="275" spans="1:6" hidden="1" x14ac:dyDescent="0.25">
      <c r="A275">
        <v>323</v>
      </c>
      <c r="B275" t="s">
        <v>432</v>
      </c>
      <c r="C275" t="s">
        <v>880</v>
      </c>
      <c r="D275">
        <v>273</v>
      </c>
      <c r="E275" t="str">
        <f t="shared" si="8"/>
        <v>WR</v>
      </c>
      <c r="F275">
        <f t="shared" si="9"/>
        <v>128</v>
      </c>
    </row>
    <row r="276" spans="1:6" hidden="1" x14ac:dyDescent="0.25">
      <c r="A276">
        <v>270</v>
      </c>
      <c r="B276" t="s">
        <v>459</v>
      </c>
      <c r="C276" t="s">
        <v>802</v>
      </c>
      <c r="D276">
        <v>274</v>
      </c>
      <c r="E276" t="str">
        <f t="shared" si="8"/>
        <v>TE</v>
      </c>
      <c r="F276">
        <f t="shared" si="9"/>
        <v>39</v>
      </c>
    </row>
    <row r="277" spans="1:6" hidden="1" x14ac:dyDescent="0.25">
      <c r="A277">
        <v>296</v>
      </c>
      <c r="B277" t="s">
        <v>467</v>
      </c>
      <c r="C277" t="s">
        <v>862</v>
      </c>
      <c r="D277">
        <v>275</v>
      </c>
      <c r="E277" t="str">
        <f t="shared" si="8"/>
        <v>WR</v>
      </c>
      <c r="F277">
        <f t="shared" si="9"/>
        <v>124</v>
      </c>
    </row>
    <row r="278" spans="1:6" hidden="1" x14ac:dyDescent="0.25">
      <c r="A278">
        <v>297</v>
      </c>
      <c r="B278" t="s">
        <v>364</v>
      </c>
      <c r="C278" t="s">
        <v>830</v>
      </c>
      <c r="D278">
        <v>276</v>
      </c>
      <c r="E278" t="str">
        <f t="shared" si="8"/>
        <v>QB</v>
      </c>
      <c r="F278">
        <f t="shared" si="9"/>
        <v>37</v>
      </c>
    </row>
    <row r="279" spans="1:6" hidden="1" x14ac:dyDescent="0.25">
      <c r="A279">
        <v>271</v>
      </c>
      <c r="B279" t="s">
        <v>936</v>
      </c>
      <c r="C279" t="s">
        <v>804</v>
      </c>
      <c r="D279">
        <v>277</v>
      </c>
      <c r="E279" t="str">
        <f t="shared" si="8"/>
        <v>WR</v>
      </c>
      <c r="F279">
        <f t="shared" si="9"/>
        <v>112</v>
      </c>
    </row>
    <row r="280" spans="1:6" hidden="1" x14ac:dyDescent="0.25">
      <c r="A280">
        <v>273</v>
      </c>
      <c r="B280" t="s">
        <v>455</v>
      </c>
      <c r="C280" t="s">
        <v>808</v>
      </c>
      <c r="D280">
        <v>278</v>
      </c>
      <c r="E280" t="str">
        <f t="shared" si="8"/>
        <v>TE</v>
      </c>
      <c r="F280">
        <f t="shared" si="9"/>
        <v>40</v>
      </c>
    </row>
    <row r="281" spans="1:6" hidden="1" x14ac:dyDescent="0.25">
      <c r="A281">
        <v>326</v>
      </c>
      <c r="B281" t="s">
        <v>937</v>
      </c>
      <c r="C281" t="s">
        <v>874</v>
      </c>
      <c r="D281">
        <v>279</v>
      </c>
      <c r="E281" t="str">
        <f t="shared" si="8"/>
        <v>QB</v>
      </c>
      <c r="F281">
        <f t="shared" si="9"/>
        <v>40</v>
      </c>
    </row>
    <row r="282" spans="1:6" hidden="1" x14ac:dyDescent="0.25">
      <c r="A282">
        <v>274</v>
      </c>
      <c r="B282" t="s">
        <v>1079</v>
      </c>
      <c r="C282" t="s">
        <v>838</v>
      </c>
      <c r="D282">
        <v>280</v>
      </c>
      <c r="E282" t="str">
        <f t="shared" si="8"/>
        <v>RB</v>
      </c>
      <c r="F282">
        <f t="shared" si="9"/>
        <v>83</v>
      </c>
    </row>
    <row r="283" spans="1:6" hidden="1" x14ac:dyDescent="0.25">
      <c r="A283">
        <v>275</v>
      </c>
      <c r="B283" t="s">
        <v>460</v>
      </c>
      <c r="C283" t="s">
        <v>820</v>
      </c>
      <c r="D283">
        <v>281</v>
      </c>
      <c r="E283" t="str">
        <f t="shared" si="8"/>
        <v>WR</v>
      </c>
      <c r="F283">
        <f t="shared" si="9"/>
        <v>114</v>
      </c>
    </row>
    <row r="284" spans="1:6" hidden="1" x14ac:dyDescent="0.25">
      <c r="A284">
        <v>276</v>
      </c>
      <c r="B284" t="s">
        <v>414</v>
      </c>
      <c r="C284" t="s">
        <v>824</v>
      </c>
      <c r="D284">
        <v>282</v>
      </c>
      <c r="E284" t="str">
        <f t="shared" si="8"/>
        <v>WR</v>
      </c>
      <c r="F284">
        <f t="shared" si="9"/>
        <v>115</v>
      </c>
    </row>
    <row r="285" spans="1:6" hidden="1" x14ac:dyDescent="0.25">
      <c r="A285">
        <v>301</v>
      </c>
      <c r="B285" t="s">
        <v>180</v>
      </c>
      <c r="C285" t="s">
        <v>868</v>
      </c>
      <c r="D285">
        <v>283</v>
      </c>
      <c r="E285" t="str">
        <f t="shared" si="8"/>
        <v>WR</v>
      </c>
      <c r="F285">
        <f t="shared" si="9"/>
        <v>125</v>
      </c>
    </row>
    <row r="286" spans="1:6" hidden="1" x14ac:dyDescent="0.25">
      <c r="A286">
        <v>302</v>
      </c>
      <c r="B286" t="s">
        <v>462</v>
      </c>
      <c r="C286" t="s">
        <v>872</v>
      </c>
      <c r="D286">
        <v>284</v>
      </c>
      <c r="E286" t="str">
        <f t="shared" si="8"/>
        <v>WR</v>
      </c>
      <c r="F286">
        <f t="shared" si="9"/>
        <v>126</v>
      </c>
    </row>
    <row r="287" spans="1:6" hidden="1" x14ac:dyDescent="0.25">
      <c r="A287">
        <v>330</v>
      </c>
      <c r="B287" t="s">
        <v>1080</v>
      </c>
      <c r="C287" t="s">
        <v>895</v>
      </c>
      <c r="D287">
        <v>285</v>
      </c>
      <c r="E287" t="str">
        <f t="shared" si="8"/>
        <v>WR</v>
      </c>
      <c r="F287">
        <f t="shared" si="9"/>
        <v>130</v>
      </c>
    </row>
    <row r="288" spans="1:6" hidden="1" x14ac:dyDescent="0.25">
      <c r="A288">
        <v>331</v>
      </c>
      <c r="B288" t="s">
        <v>938</v>
      </c>
      <c r="C288" t="s">
        <v>865</v>
      </c>
      <c r="D288">
        <v>286</v>
      </c>
      <c r="E288" t="str">
        <f t="shared" si="8"/>
        <v>RB</v>
      </c>
      <c r="F288">
        <f t="shared" si="9"/>
        <v>87</v>
      </c>
    </row>
    <row r="289" spans="1:6" hidden="1" x14ac:dyDescent="0.25">
      <c r="A289">
        <v>332</v>
      </c>
      <c r="B289" t="s">
        <v>478</v>
      </c>
      <c r="C289" t="s">
        <v>905</v>
      </c>
      <c r="D289">
        <v>287</v>
      </c>
      <c r="E289" t="str">
        <f t="shared" si="8"/>
        <v>WR</v>
      </c>
      <c r="F289">
        <f t="shared" si="9"/>
        <v>131</v>
      </c>
    </row>
    <row r="290" spans="1:6" hidden="1" x14ac:dyDescent="0.25">
      <c r="A290">
        <v>278</v>
      </c>
      <c r="B290" t="s">
        <v>485</v>
      </c>
      <c r="C290" t="s">
        <v>833</v>
      </c>
      <c r="D290">
        <v>288</v>
      </c>
      <c r="E290" t="str">
        <f t="shared" si="8"/>
        <v>WR</v>
      </c>
      <c r="F290">
        <f t="shared" si="9"/>
        <v>117</v>
      </c>
    </row>
    <row r="291" spans="1:6" hidden="1" x14ac:dyDescent="0.25">
      <c r="A291">
        <v>334</v>
      </c>
      <c r="B291" t="s">
        <v>480</v>
      </c>
      <c r="C291" t="s">
        <v>939</v>
      </c>
      <c r="D291">
        <v>289</v>
      </c>
      <c r="E291" t="str">
        <f t="shared" si="8"/>
        <v>WR</v>
      </c>
      <c r="F291">
        <f t="shared" si="9"/>
        <v>132</v>
      </c>
    </row>
    <row r="292" spans="1:6" hidden="1" x14ac:dyDescent="0.25">
      <c r="A292">
        <v>279</v>
      </c>
      <c r="B292" t="s">
        <v>384</v>
      </c>
      <c r="C292" t="s">
        <v>827</v>
      </c>
      <c r="D292">
        <v>290</v>
      </c>
      <c r="E292" t="str">
        <f t="shared" si="8"/>
        <v>QB</v>
      </c>
      <c r="F292">
        <f t="shared" si="9"/>
        <v>36</v>
      </c>
    </row>
    <row r="293" spans="1:6" hidden="1" x14ac:dyDescent="0.25">
      <c r="A293">
        <v>280</v>
      </c>
      <c r="B293" t="s">
        <v>197</v>
      </c>
      <c r="C293" t="s">
        <v>842</v>
      </c>
      <c r="D293">
        <v>291</v>
      </c>
      <c r="E293" t="str">
        <f t="shared" si="8"/>
        <v>WR</v>
      </c>
      <c r="F293">
        <f t="shared" si="9"/>
        <v>118</v>
      </c>
    </row>
    <row r="294" spans="1:6" hidden="1" x14ac:dyDescent="0.25">
      <c r="A294">
        <v>306</v>
      </c>
      <c r="B294" t="s">
        <v>379</v>
      </c>
      <c r="C294" t="s">
        <v>839</v>
      </c>
      <c r="D294">
        <v>292</v>
      </c>
      <c r="E294" t="str">
        <f t="shared" si="8"/>
        <v>QB</v>
      </c>
      <c r="F294">
        <f t="shared" si="9"/>
        <v>38</v>
      </c>
    </row>
    <row r="295" spans="1:6" hidden="1" x14ac:dyDescent="0.25">
      <c r="A295">
        <v>337</v>
      </c>
      <c r="B295" t="s">
        <v>463</v>
      </c>
      <c r="C295" t="s">
        <v>940</v>
      </c>
      <c r="D295">
        <v>293</v>
      </c>
      <c r="E295" t="str">
        <f t="shared" si="8"/>
        <v>WR</v>
      </c>
      <c r="F295">
        <f t="shared" si="9"/>
        <v>133</v>
      </c>
    </row>
    <row r="296" spans="1:6" hidden="1" x14ac:dyDescent="0.25">
      <c r="A296">
        <v>338</v>
      </c>
      <c r="B296" t="s">
        <v>156</v>
      </c>
      <c r="C296" t="s">
        <v>941</v>
      </c>
      <c r="D296">
        <v>294</v>
      </c>
      <c r="E296" t="str">
        <f t="shared" ref="E296:E356" si="10">LEFT(C296,2)</f>
        <v>WR</v>
      </c>
      <c r="F296">
        <f t="shared" ref="F296:F356" si="11">VALUE(MID(C296,3,LEN(C296)))</f>
        <v>134</v>
      </c>
    </row>
    <row r="297" spans="1:6" hidden="1" x14ac:dyDescent="0.25">
      <c r="A297">
        <v>309</v>
      </c>
      <c r="B297" t="s">
        <v>506</v>
      </c>
      <c r="C297" t="s">
        <v>848</v>
      </c>
      <c r="D297">
        <v>295</v>
      </c>
      <c r="E297" t="str">
        <f t="shared" si="10"/>
        <v>QB</v>
      </c>
      <c r="F297">
        <f t="shared" si="11"/>
        <v>39</v>
      </c>
    </row>
    <row r="298" spans="1:6" hidden="1" x14ac:dyDescent="0.25">
      <c r="A298">
        <v>284</v>
      </c>
      <c r="B298" t="s">
        <v>194</v>
      </c>
      <c r="C298" t="s">
        <v>855</v>
      </c>
      <c r="D298">
        <v>296</v>
      </c>
      <c r="E298" t="str">
        <f t="shared" si="10"/>
        <v>WR</v>
      </c>
      <c r="F298">
        <f t="shared" si="11"/>
        <v>121</v>
      </c>
    </row>
    <row r="299" spans="1:6" hidden="1" x14ac:dyDescent="0.25">
      <c r="A299">
        <v>285</v>
      </c>
      <c r="B299" t="s">
        <v>173</v>
      </c>
      <c r="C299" t="s">
        <v>857</v>
      </c>
      <c r="D299">
        <v>297</v>
      </c>
      <c r="E299" t="str">
        <f t="shared" si="10"/>
        <v>WR</v>
      </c>
      <c r="F299">
        <f t="shared" si="11"/>
        <v>122</v>
      </c>
    </row>
    <row r="300" spans="1:6" hidden="1" x14ac:dyDescent="0.25">
      <c r="A300">
        <v>342</v>
      </c>
      <c r="B300" t="s">
        <v>1081</v>
      </c>
      <c r="C300" t="s">
        <v>879</v>
      </c>
      <c r="D300">
        <v>298</v>
      </c>
      <c r="E300" t="str">
        <f t="shared" si="10"/>
        <v>RB</v>
      </c>
      <c r="F300">
        <f t="shared" si="11"/>
        <v>91</v>
      </c>
    </row>
    <row r="301" spans="1:6" hidden="1" x14ac:dyDescent="0.25">
      <c r="A301">
        <v>343</v>
      </c>
      <c r="B301" t="s">
        <v>1082</v>
      </c>
      <c r="C301" t="s">
        <v>943</v>
      </c>
      <c r="D301">
        <v>299</v>
      </c>
      <c r="E301" t="str">
        <f t="shared" si="10"/>
        <v>WR</v>
      </c>
      <c r="F301">
        <f t="shared" si="11"/>
        <v>136</v>
      </c>
    </row>
    <row r="302" spans="1:6" hidden="1" x14ac:dyDescent="0.25">
      <c r="A302">
        <v>290</v>
      </c>
      <c r="B302" t="s">
        <v>251</v>
      </c>
      <c r="C302" t="s">
        <v>841</v>
      </c>
      <c r="D302">
        <v>300</v>
      </c>
      <c r="E302" t="str">
        <f t="shared" si="10"/>
        <v>RB</v>
      </c>
      <c r="F302">
        <f t="shared" si="11"/>
        <v>84</v>
      </c>
    </row>
    <row r="303" spans="1:6" hidden="1" x14ac:dyDescent="0.25">
      <c r="A303">
        <v>344</v>
      </c>
      <c r="B303" t="s">
        <v>1083</v>
      </c>
      <c r="C303" t="s">
        <v>944</v>
      </c>
      <c r="D303">
        <v>301</v>
      </c>
      <c r="E303" t="str">
        <f t="shared" si="10"/>
        <v>WR</v>
      </c>
      <c r="F303">
        <f t="shared" si="11"/>
        <v>137</v>
      </c>
    </row>
    <row r="304" spans="1:6" hidden="1" x14ac:dyDescent="0.25">
      <c r="A304">
        <v>346</v>
      </c>
      <c r="B304" t="s">
        <v>398</v>
      </c>
      <c r="C304" t="s">
        <v>883</v>
      </c>
      <c r="D304">
        <v>302</v>
      </c>
      <c r="E304" t="str">
        <f t="shared" si="10"/>
        <v>RB</v>
      </c>
      <c r="F304">
        <f t="shared" si="11"/>
        <v>92</v>
      </c>
    </row>
    <row r="305" spans="1:6" hidden="1" x14ac:dyDescent="0.25">
      <c r="A305">
        <v>316</v>
      </c>
      <c r="B305" t="s">
        <v>706</v>
      </c>
      <c r="C305" t="s">
        <v>843</v>
      </c>
      <c r="D305">
        <v>303</v>
      </c>
      <c r="E305" t="str">
        <f t="shared" si="10"/>
        <v>RB</v>
      </c>
      <c r="F305">
        <f t="shared" si="11"/>
        <v>85</v>
      </c>
    </row>
    <row r="306" spans="1:6" hidden="1" x14ac:dyDescent="0.25">
      <c r="A306">
        <v>348</v>
      </c>
      <c r="B306" t="s">
        <v>308</v>
      </c>
      <c r="C306" t="s">
        <v>893</v>
      </c>
      <c r="D306">
        <v>304</v>
      </c>
      <c r="E306" t="str">
        <f t="shared" si="10"/>
        <v>RB</v>
      </c>
      <c r="F306">
        <f t="shared" si="11"/>
        <v>93</v>
      </c>
    </row>
    <row r="307" spans="1:6" hidden="1" x14ac:dyDescent="0.25">
      <c r="A307">
        <v>349</v>
      </c>
      <c r="B307" t="s">
        <v>97</v>
      </c>
      <c r="C307" t="s">
        <v>888</v>
      </c>
      <c r="D307">
        <v>305</v>
      </c>
      <c r="E307" t="str">
        <f t="shared" si="10"/>
        <v>TE</v>
      </c>
      <c r="F307">
        <f t="shared" si="11"/>
        <v>49</v>
      </c>
    </row>
    <row r="308" spans="1:6" hidden="1" x14ac:dyDescent="0.25">
      <c r="A308">
        <v>317</v>
      </c>
      <c r="B308" t="s">
        <v>437</v>
      </c>
      <c r="C308" t="s">
        <v>825</v>
      </c>
      <c r="D308">
        <v>306</v>
      </c>
      <c r="E308" t="str">
        <f t="shared" si="10"/>
        <v>TE</v>
      </c>
      <c r="F308">
        <f t="shared" si="11"/>
        <v>42</v>
      </c>
    </row>
    <row r="309" spans="1:6" hidden="1" x14ac:dyDescent="0.25">
      <c r="A309">
        <v>352</v>
      </c>
      <c r="B309" t="s">
        <v>383</v>
      </c>
      <c r="C309" t="s">
        <v>899</v>
      </c>
      <c r="D309">
        <v>307</v>
      </c>
      <c r="E309" t="str">
        <f t="shared" si="10"/>
        <v>QB</v>
      </c>
      <c r="F309">
        <f t="shared" si="11"/>
        <v>43</v>
      </c>
    </row>
    <row r="310" spans="1:6" hidden="1" x14ac:dyDescent="0.25">
      <c r="A310">
        <v>353</v>
      </c>
      <c r="B310" t="s">
        <v>493</v>
      </c>
      <c r="C310" t="s">
        <v>945</v>
      </c>
      <c r="D310">
        <v>308</v>
      </c>
      <c r="E310" t="str">
        <f t="shared" si="10"/>
        <v>RB</v>
      </c>
      <c r="F310">
        <f t="shared" si="11"/>
        <v>95</v>
      </c>
    </row>
    <row r="311" spans="1:6" hidden="1" x14ac:dyDescent="0.25">
      <c r="A311">
        <v>354</v>
      </c>
      <c r="B311" t="s">
        <v>402</v>
      </c>
      <c r="C311" t="s">
        <v>946</v>
      </c>
      <c r="D311">
        <v>309</v>
      </c>
      <c r="E311" t="str">
        <f t="shared" si="10"/>
        <v>RB</v>
      </c>
      <c r="F311">
        <f t="shared" si="11"/>
        <v>96</v>
      </c>
    </row>
    <row r="312" spans="1:6" hidden="1" x14ac:dyDescent="0.25">
      <c r="A312">
        <v>320</v>
      </c>
      <c r="B312" t="s">
        <v>92</v>
      </c>
      <c r="C312" t="s">
        <v>829</v>
      </c>
      <c r="D312">
        <v>310</v>
      </c>
      <c r="E312" t="str">
        <f t="shared" si="10"/>
        <v>TE</v>
      </c>
      <c r="F312">
        <f t="shared" si="11"/>
        <v>43</v>
      </c>
    </row>
    <row r="313" spans="1:6" hidden="1" x14ac:dyDescent="0.25">
      <c r="A313">
        <v>355</v>
      </c>
      <c r="B313" t="s">
        <v>911</v>
      </c>
      <c r="C313" t="s">
        <v>947</v>
      </c>
      <c r="D313">
        <v>311</v>
      </c>
      <c r="E313" t="str">
        <f t="shared" si="10"/>
        <v>RB</v>
      </c>
      <c r="F313">
        <f t="shared" si="11"/>
        <v>97</v>
      </c>
    </row>
    <row r="314" spans="1:6" hidden="1" x14ac:dyDescent="0.25">
      <c r="A314">
        <v>356</v>
      </c>
      <c r="B314" t="s">
        <v>198</v>
      </c>
      <c r="C314" t="s">
        <v>948</v>
      </c>
      <c r="D314">
        <v>312</v>
      </c>
      <c r="E314" t="str">
        <f t="shared" si="10"/>
        <v>WR</v>
      </c>
      <c r="F314">
        <f t="shared" si="11"/>
        <v>138</v>
      </c>
    </row>
    <row r="315" spans="1:6" hidden="1" x14ac:dyDescent="0.25">
      <c r="A315">
        <v>358</v>
      </c>
      <c r="B315" t="s">
        <v>431</v>
      </c>
      <c r="C315" t="s">
        <v>949</v>
      </c>
      <c r="D315">
        <v>313</v>
      </c>
      <c r="E315" t="str">
        <f t="shared" si="10"/>
        <v>WR</v>
      </c>
      <c r="F315">
        <f t="shared" si="11"/>
        <v>139</v>
      </c>
    </row>
    <row r="316" spans="1:6" hidden="1" x14ac:dyDescent="0.25">
      <c r="A316">
        <v>321</v>
      </c>
      <c r="B316" t="s">
        <v>403</v>
      </c>
      <c r="C316" t="s">
        <v>854</v>
      </c>
      <c r="D316">
        <v>314</v>
      </c>
      <c r="E316" t="str">
        <f t="shared" si="10"/>
        <v>RB</v>
      </c>
      <c r="F316">
        <f t="shared" si="11"/>
        <v>86</v>
      </c>
    </row>
    <row r="317" spans="1:6" hidden="1" x14ac:dyDescent="0.25">
      <c r="A317">
        <v>360</v>
      </c>
      <c r="B317" t="s">
        <v>925</v>
      </c>
      <c r="C317" t="s">
        <v>951</v>
      </c>
      <c r="D317">
        <v>315</v>
      </c>
      <c r="E317" t="str">
        <f t="shared" si="10"/>
        <v>WR</v>
      </c>
      <c r="F317">
        <f t="shared" si="11"/>
        <v>140</v>
      </c>
    </row>
    <row r="318" spans="1:6" hidden="1" x14ac:dyDescent="0.25">
      <c r="A318">
        <v>322</v>
      </c>
      <c r="B318" t="s">
        <v>481</v>
      </c>
      <c r="C318" t="s">
        <v>873</v>
      </c>
      <c r="D318">
        <v>316</v>
      </c>
      <c r="E318" t="str">
        <f t="shared" si="10"/>
        <v>WR</v>
      </c>
      <c r="F318">
        <f t="shared" si="11"/>
        <v>127</v>
      </c>
    </row>
    <row r="319" spans="1:6" hidden="1" x14ac:dyDescent="0.25">
      <c r="A319">
        <v>325</v>
      </c>
      <c r="B319" t="s">
        <v>1084</v>
      </c>
      <c r="C319" t="s">
        <v>837</v>
      </c>
      <c r="D319">
        <v>317</v>
      </c>
      <c r="E319" t="str">
        <f t="shared" si="10"/>
        <v>TE</v>
      </c>
      <c r="F319">
        <f t="shared" si="11"/>
        <v>44</v>
      </c>
    </row>
    <row r="320" spans="1:6" hidden="1" x14ac:dyDescent="0.25">
      <c r="A320">
        <v>361</v>
      </c>
      <c r="B320" t="s">
        <v>797</v>
      </c>
      <c r="C320" t="s">
        <v>952</v>
      </c>
      <c r="D320">
        <v>318</v>
      </c>
      <c r="E320" t="str">
        <f t="shared" si="10"/>
        <v>RB</v>
      </c>
      <c r="F320">
        <f t="shared" si="11"/>
        <v>98</v>
      </c>
    </row>
    <row r="321" spans="1:6" hidden="1" x14ac:dyDescent="0.25">
      <c r="A321">
        <v>362</v>
      </c>
      <c r="B321" t="s">
        <v>1085</v>
      </c>
      <c r="C321" t="s">
        <v>953</v>
      </c>
      <c r="D321">
        <v>319</v>
      </c>
      <c r="E321" t="str">
        <f t="shared" si="10"/>
        <v>WR</v>
      </c>
      <c r="F321">
        <f t="shared" si="11"/>
        <v>141</v>
      </c>
    </row>
    <row r="322" spans="1:6" hidden="1" x14ac:dyDescent="0.25">
      <c r="A322">
        <v>327</v>
      </c>
      <c r="B322" t="s">
        <v>1086</v>
      </c>
      <c r="C322" t="s">
        <v>856</v>
      </c>
      <c r="D322">
        <v>320</v>
      </c>
      <c r="E322" t="str">
        <f t="shared" si="10"/>
        <v>TE</v>
      </c>
      <c r="F322">
        <f t="shared" si="11"/>
        <v>45</v>
      </c>
    </row>
    <row r="323" spans="1:6" hidden="1" x14ac:dyDescent="0.25">
      <c r="A323">
        <v>328</v>
      </c>
      <c r="B323" t="s">
        <v>417</v>
      </c>
      <c r="C323" t="s">
        <v>890</v>
      </c>
      <c r="D323">
        <v>321</v>
      </c>
      <c r="E323" t="str">
        <f t="shared" si="10"/>
        <v>WR</v>
      </c>
      <c r="F323">
        <f t="shared" si="11"/>
        <v>129</v>
      </c>
    </row>
    <row r="324" spans="1:6" hidden="1" x14ac:dyDescent="0.25">
      <c r="A324">
        <v>364</v>
      </c>
      <c r="B324" t="s">
        <v>176</v>
      </c>
      <c r="C324" t="s">
        <v>955</v>
      </c>
      <c r="D324">
        <v>322</v>
      </c>
      <c r="E324" t="str">
        <f t="shared" si="10"/>
        <v>WR</v>
      </c>
      <c r="F324">
        <f t="shared" si="11"/>
        <v>142</v>
      </c>
    </row>
    <row r="325" spans="1:6" hidden="1" x14ac:dyDescent="0.25">
      <c r="A325">
        <v>329</v>
      </c>
      <c r="B325" t="s">
        <v>445</v>
      </c>
      <c r="C325" t="s">
        <v>860</v>
      </c>
      <c r="D325">
        <v>323</v>
      </c>
      <c r="E325" t="str">
        <f t="shared" si="10"/>
        <v>TE</v>
      </c>
      <c r="F325">
        <f t="shared" si="11"/>
        <v>46</v>
      </c>
    </row>
    <row r="326" spans="1:6" hidden="1" x14ac:dyDescent="0.25">
      <c r="A326">
        <v>333</v>
      </c>
      <c r="B326" t="s">
        <v>285</v>
      </c>
      <c r="C326" t="s">
        <v>870</v>
      </c>
      <c r="D326">
        <v>324</v>
      </c>
      <c r="E326" t="str">
        <f t="shared" si="10"/>
        <v>RB</v>
      </c>
      <c r="F326">
        <f t="shared" si="11"/>
        <v>88</v>
      </c>
    </row>
    <row r="327" spans="1:6" hidden="1" x14ac:dyDescent="0.25">
      <c r="A327">
        <v>335</v>
      </c>
      <c r="B327" t="s">
        <v>267</v>
      </c>
      <c r="C327" t="s">
        <v>875</v>
      </c>
      <c r="D327">
        <v>325</v>
      </c>
      <c r="E327" t="str">
        <f t="shared" si="10"/>
        <v>RB</v>
      </c>
      <c r="F327">
        <f t="shared" si="11"/>
        <v>89</v>
      </c>
    </row>
    <row r="328" spans="1:6" hidden="1" x14ac:dyDescent="0.25">
      <c r="A328">
        <v>366</v>
      </c>
      <c r="B328" t="s">
        <v>1087</v>
      </c>
      <c r="C328" t="s">
        <v>956</v>
      </c>
      <c r="D328">
        <v>326</v>
      </c>
      <c r="E328" t="str">
        <f t="shared" si="10"/>
        <v>TE</v>
      </c>
      <c r="F328">
        <f t="shared" si="11"/>
        <v>52</v>
      </c>
    </row>
    <row r="329" spans="1:6" hidden="1" x14ac:dyDescent="0.25">
      <c r="A329">
        <v>336</v>
      </c>
      <c r="B329" t="s">
        <v>1088</v>
      </c>
      <c r="C329" t="s">
        <v>884</v>
      </c>
      <c r="D329">
        <v>327</v>
      </c>
      <c r="E329" t="str">
        <f t="shared" si="10"/>
        <v>TE</v>
      </c>
      <c r="F329">
        <f t="shared" si="11"/>
        <v>47</v>
      </c>
    </row>
    <row r="330" spans="1:6" hidden="1" x14ac:dyDescent="0.25">
      <c r="A330">
        <v>368</v>
      </c>
      <c r="B330" t="s">
        <v>1089</v>
      </c>
      <c r="C330" t="s">
        <v>958</v>
      </c>
      <c r="D330">
        <v>328</v>
      </c>
      <c r="E330" t="str">
        <f t="shared" si="10"/>
        <v>TE</v>
      </c>
      <c r="F330">
        <f t="shared" si="11"/>
        <v>53</v>
      </c>
    </row>
    <row r="331" spans="1:6" hidden="1" x14ac:dyDescent="0.25">
      <c r="A331">
        <v>369</v>
      </c>
      <c r="B331" t="s">
        <v>909</v>
      </c>
      <c r="C331" t="s">
        <v>959</v>
      </c>
      <c r="D331">
        <v>329</v>
      </c>
      <c r="E331" t="str">
        <f t="shared" si="10"/>
        <v>WR</v>
      </c>
      <c r="F331">
        <f t="shared" si="11"/>
        <v>143</v>
      </c>
    </row>
    <row r="332" spans="1:6" hidden="1" x14ac:dyDescent="0.25">
      <c r="A332">
        <v>341</v>
      </c>
      <c r="B332" t="s">
        <v>1090</v>
      </c>
      <c r="C332" t="s">
        <v>942</v>
      </c>
      <c r="D332">
        <v>330</v>
      </c>
      <c r="E332" t="str">
        <f t="shared" si="10"/>
        <v>WR</v>
      </c>
      <c r="F332">
        <f t="shared" si="11"/>
        <v>135</v>
      </c>
    </row>
    <row r="333" spans="1:6" hidden="1" x14ac:dyDescent="0.25">
      <c r="A333">
        <v>370</v>
      </c>
      <c r="B333" t="s">
        <v>1091</v>
      </c>
      <c r="C333" t="s">
        <v>960</v>
      </c>
      <c r="D333">
        <v>331</v>
      </c>
      <c r="E333" t="str">
        <f t="shared" si="10"/>
        <v>TE</v>
      </c>
      <c r="F333">
        <f t="shared" si="11"/>
        <v>54</v>
      </c>
    </row>
    <row r="334" spans="1:6" hidden="1" x14ac:dyDescent="0.25">
      <c r="A334">
        <v>371</v>
      </c>
      <c r="B334" t="s">
        <v>516</v>
      </c>
      <c r="C334" t="s">
        <v>900</v>
      </c>
      <c r="D334">
        <v>332</v>
      </c>
      <c r="E334" t="str">
        <f t="shared" si="10"/>
        <v>QB</v>
      </c>
      <c r="F334">
        <f t="shared" si="11"/>
        <v>44</v>
      </c>
    </row>
    <row r="335" spans="1:6" hidden="1" x14ac:dyDescent="0.25">
      <c r="A335">
        <v>339</v>
      </c>
      <c r="B335" t="s">
        <v>892</v>
      </c>
      <c r="C335" t="s">
        <v>877</v>
      </c>
      <c r="D335">
        <v>333</v>
      </c>
      <c r="E335" t="str">
        <f t="shared" si="10"/>
        <v>RB</v>
      </c>
      <c r="F335">
        <f t="shared" si="11"/>
        <v>90</v>
      </c>
    </row>
    <row r="336" spans="1:6" hidden="1" x14ac:dyDescent="0.25">
      <c r="A336">
        <v>372</v>
      </c>
      <c r="B336" t="s">
        <v>376</v>
      </c>
      <c r="C336" t="s">
        <v>903</v>
      </c>
      <c r="D336">
        <v>334</v>
      </c>
      <c r="E336" t="str">
        <f t="shared" si="10"/>
        <v>QB</v>
      </c>
      <c r="F336">
        <f t="shared" si="11"/>
        <v>45</v>
      </c>
    </row>
    <row r="337" spans="1:6" hidden="1" x14ac:dyDescent="0.25">
      <c r="A337">
        <v>373</v>
      </c>
      <c r="B337" t="s">
        <v>915</v>
      </c>
      <c r="C337" t="s">
        <v>906</v>
      </c>
      <c r="D337">
        <v>335</v>
      </c>
      <c r="E337" t="str">
        <f t="shared" si="10"/>
        <v>QB</v>
      </c>
      <c r="F337">
        <f t="shared" si="11"/>
        <v>46</v>
      </c>
    </row>
    <row r="338" spans="1:6" hidden="1" x14ac:dyDescent="0.25">
      <c r="A338">
        <v>345</v>
      </c>
      <c r="B338" t="s">
        <v>367</v>
      </c>
      <c r="C338" t="s">
        <v>882</v>
      </c>
      <c r="D338">
        <v>336</v>
      </c>
      <c r="E338" t="str">
        <f t="shared" si="10"/>
        <v>QB</v>
      </c>
      <c r="F338">
        <f t="shared" si="11"/>
        <v>41</v>
      </c>
    </row>
    <row r="339" spans="1:6" hidden="1" x14ac:dyDescent="0.25">
      <c r="A339">
        <v>347</v>
      </c>
      <c r="B339" t="s">
        <v>1092</v>
      </c>
      <c r="C339" t="s">
        <v>887</v>
      </c>
      <c r="D339">
        <v>337</v>
      </c>
      <c r="E339" t="str">
        <f t="shared" si="10"/>
        <v>TE</v>
      </c>
      <c r="F339">
        <f t="shared" si="11"/>
        <v>48</v>
      </c>
    </row>
    <row r="340" spans="1:6" hidden="1" x14ac:dyDescent="0.25">
      <c r="A340">
        <v>374</v>
      </c>
      <c r="B340" t="s">
        <v>1093</v>
      </c>
      <c r="C340" t="s">
        <v>961</v>
      </c>
      <c r="D340">
        <v>338</v>
      </c>
      <c r="E340" t="str">
        <f t="shared" si="10"/>
        <v>TE</v>
      </c>
      <c r="F340">
        <f t="shared" si="11"/>
        <v>55</v>
      </c>
    </row>
    <row r="341" spans="1:6" hidden="1" x14ac:dyDescent="0.25">
      <c r="A341">
        <v>375</v>
      </c>
      <c r="B341" t="s">
        <v>421</v>
      </c>
      <c r="C341" t="s">
        <v>962</v>
      </c>
      <c r="D341">
        <v>339</v>
      </c>
      <c r="E341" t="str">
        <f t="shared" si="10"/>
        <v>WR</v>
      </c>
      <c r="F341">
        <f t="shared" si="11"/>
        <v>144</v>
      </c>
    </row>
    <row r="342" spans="1:6" hidden="1" x14ac:dyDescent="0.25">
      <c r="A342">
        <v>376</v>
      </c>
      <c r="B342" t="s">
        <v>272</v>
      </c>
      <c r="C342" t="s">
        <v>963</v>
      </c>
      <c r="D342">
        <v>340</v>
      </c>
      <c r="E342" t="str">
        <f t="shared" si="10"/>
        <v>RB</v>
      </c>
      <c r="F342">
        <f t="shared" si="11"/>
        <v>100</v>
      </c>
    </row>
    <row r="343" spans="1:6" hidden="1" x14ac:dyDescent="0.25">
      <c r="A343">
        <v>350</v>
      </c>
      <c r="B343" t="s">
        <v>507</v>
      </c>
      <c r="C343" t="s">
        <v>894</v>
      </c>
      <c r="D343">
        <v>341</v>
      </c>
      <c r="E343" t="str">
        <f t="shared" si="10"/>
        <v>QB</v>
      </c>
      <c r="F343">
        <f t="shared" si="11"/>
        <v>42</v>
      </c>
    </row>
    <row r="344" spans="1:6" hidden="1" x14ac:dyDescent="0.25">
      <c r="A344">
        <v>351</v>
      </c>
      <c r="B344" t="s">
        <v>499</v>
      </c>
      <c r="C344" t="s">
        <v>904</v>
      </c>
      <c r="D344">
        <v>342</v>
      </c>
      <c r="E344" t="str">
        <f t="shared" si="10"/>
        <v>RB</v>
      </c>
      <c r="F344">
        <f t="shared" si="11"/>
        <v>94</v>
      </c>
    </row>
    <row r="345" spans="1:6" hidden="1" x14ac:dyDescent="0.25">
      <c r="A345">
        <v>377</v>
      </c>
      <c r="B345" t="s">
        <v>964</v>
      </c>
      <c r="C345" t="s">
        <v>965</v>
      </c>
      <c r="D345">
        <v>343</v>
      </c>
      <c r="E345" t="str">
        <f t="shared" si="10"/>
        <v>QB</v>
      </c>
      <c r="F345">
        <f t="shared" si="11"/>
        <v>47</v>
      </c>
    </row>
    <row r="346" spans="1:6" hidden="1" x14ac:dyDescent="0.25">
      <c r="A346">
        <v>378</v>
      </c>
      <c r="B346" t="s">
        <v>966</v>
      </c>
      <c r="C346" t="s">
        <v>967</v>
      </c>
      <c r="D346">
        <v>344</v>
      </c>
      <c r="E346" t="str">
        <f t="shared" si="10"/>
        <v>WR</v>
      </c>
      <c r="F346">
        <f t="shared" si="11"/>
        <v>145</v>
      </c>
    </row>
    <row r="347" spans="1:6" hidden="1" x14ac:dyDescent="0.25">
      <c r="A347">
        <v>357</v>
      </c>
      <c r="B347" t="s">
        <v>444</v>
      </c>
      <c r="C347" t="s">
        <v>897</v>
      </c>
      <c r="D347">
        <v>345</v>
      </c>
      <c r="E347" t="str">
        <f t="shared" si="10"/>
        <v>TE</v>
      </c>
      <c r="F347">
        <f t="shared" si="11"/>
        <v>50</v>
      </c>
    </row>
    <row r="348" spans="1:6" hidden="1" x14ac:dyDescent="0.25">
      <c r="A348">
        <v>359</v>
      </c>
      <c r="B348" t="s">
        <v>1094</v>
      </c>
      <c r="C348" t="s">
        <v>950</v>
      </c>
      <c r="D348">
        <v>346</v>
      </c>
      <c r="E348" t="str">
        <f t="shared" si="10"/>
        <v>TE</v>
      </c>
      <c r="F348">
        <f t="shared" si="11"/>
        <v>51</v>
      </c>
    </row>
    <row r="349" spans="1:6" hidden="1" x14ac:dyDescent="0.25">
      <c r="A349">
        <v>379</v>
      </c>
      <c r="B349" t="s">
        <v>490</v>
      </c>
      <c r="C349" t="s">
        <v>968</v>
      </c>
      <c r="D349">
        <v>347</v>
      </c>
      <c r="E349" t="str">
        <f t="shared" si="10"/>
        <v>RB</v>
      </c>
      <c r="F349">
        <f t="shared" si="11"/>
        <v>101</v>
      </c>
    </row>
    <row r="350" spans="1:6" hidden="1" x14ac:dyDescent="0.25">
      <c r="A350">
        <v>380</v>
      </c>
      <c r="B350" t="s">
        <v>1095</v>
      </c>
      <c r="C350" t="s">
        <v>969</v>
      </c>
      <c r="D350">
        <v>348</v>
      </c>
      <c r="E350" t="str">
        <f t="shared" si="10"/>
        <v>TE</v>
      </c>
      <c r="F350">
        <f t="shared" si="11"/>
        <v>56</v>
      </c>
    </row>
    <row r="351" spans="1:6" hidden="1" x14ac:dyDescent="0.25">
      <c r="A351">
        <v>363</v>
      </c>
      <c r="B351" t="s">
        <v>279</v>
      </c>
      <c r="C351" t="s">
        <v>954</v>
      </c>
      <c r="D351">
        <v>349</v>
      </c>
      <c r="E351" t="str">
        <f t="shared" si="10"/>
        <v>RB</v>
      </c>
      <c r="F351">
        <f t="shared" si="11"/>
        <v>99</v>
      </c>
    </row>
    <row r="352" spans="1:6" hidden="1" x14ac:dyDescent="0.25">
      <c r="A352">
        <v>384</v>
      </c>
      <c r="B352" t="s">
        <v>408</v>
      </c>
      <c r="C352" t="s">
        <v>973</v>
      </c>
      <c r="D352">
        <v>350</v>
      </c>
      <c r="E352" t="str">
        <f t="shared" si="10"/>
        <v>RB</v>
      </c>
      <c r="F352">
        <f t="shared" si="11"/>
        <v>103</v>
      </c>
    </row>
    <row r="353" spans="1:6" hidden="1" x14ac:dyDescent="0.25">
      <c r="A353">
        <v>385</v>
      </c>
      <c r="B353" t="s">
        <v>94</v>
      </c>
      <c r="C353" t="s">
        <v>974</v>
      </c>
      <c r="D353">
        <v>351</v>
      </c>
      <c r="E353" t="str">
        <f t="shared" si="10"/>
        <v>TE</v>
      </c>
      <c r="F353">
        <f t="shared" si="11"/>
        <v>58</v>
      </c>
    </row>
    <row r="354" spans="1:6" hidden="1" x14ac:dyDescent="0.25">
      <c r="A354">
        <v>386</v>
      </c>
      <c r="B354" t="s">
        <v>434</v>
      </c>
      <c r="C354" t="s">
        <v>975</v>
      </c>
      <c r="D354">
        <v>352</v>
      </c>
      <c r="E354" t="str">
        <f t="shared" si="10"/>
        <v>WR</v>
      </c>
      <c r="F354">
        <f t="shared" si="11"/>
        <v>147</v>
      </c>
    </row>
    <row r="355" spans="1:6" hidden="1" x14ac:dyDescent="0.25">
      <c r="A355">
        <v>388</v>
      </c>
      <c r="B355" t="s">
        <v>91</v>
      </c>
      <c r="C355" t="s">
        <v>977</v>
      </c>
      <c r="D355">
        <v>353</v>
      </c>
      <c r="E355" t="str">
        <f t="shared" si="10"/>
        <v>TE</v>
      </c>
      <c r="F355">
        <f t="shared" si="11"/>
        <v>59</v>
      </c>
    </row>
    <row r="356" spans="1:6" hidden="1" x14ac:dyDescent="0.25">
      <c r="A356">
        <v>390</v>
      </c>
      <c r="B356" t="s">
        <v>465</v>
      </c>
      <c r="C356" t="s">
        <v>979</v>
      </c>
      <c r="D356">
        <v>354</v>
      </c>
      <c r="E356" t="str">
        <f t="shared" si="10"/>
        <v>WR</v>
      </c>
      <c r="F356">
        <f t="shared" si="11"/>
        <v>148</v>
      </c>
    </row>
    <row r="357" spans="1:6" hidden="1" x14ac:dyDescent="0.25">
      <c r="A357">
        <v>392</v>
      </c>
      <c r="B357" t="s">
        <v>278</v>
      </c>
      <c r="C357" t="s">
        <v>981</v>
      </c>
      <c r="D357">
        <v>355</v>
      </c>
      <c r="E357" t="str">
        <f t="shared" ref="E357:E420" si="12">LEFT(C357,2)</f>
        <v>RB</v>
      </c>
      <c r="F357">
        <f t="shared" ref="F357:F420" si="13">VALUE(MID(C357,3,LEN(C357)))</f>
        <v>105</v>
      </c>
    </row>
    <row r="358" spans="1:6" hidden="1" x14ac:dyDescent="0.25">
      <c r="A358">
        <v>393</v>
      </c>
      <c r="B358" t="s">
        <v>163</v>
      </c>
      <c r="C358" t="s">
        <v>982</v>
      </c>
      <c r="D358">
        <v>356</v>
      </c>
      <c r="E358" t="str">
        <f t="shared" si="12"/>
        <v>WR</v>
      </c>
      <c r="F358">
        <f t="shared" si="13"/>
        <v>149</v>
      </c>
    </row>
    <row r="359" spans="1:6" hidden="1" x14ac:dyDescent="0.25">
      <c r="A359">
        <v>381</v>
      </c>
      <c r="B359" t="s">
        <v>1096</v>
      </c>
      <c r="C359" t="s">
        <v>970</v>
      </c>
      <c r="D359">
        <v>357</v>
      </c>
      <c r="E359" t="str">
        <f t="shared" si="12"/>
        <v>TE</v>
      </c>
      <c r="F359">
        <f t="shared" si="13"/>
        <v>57</v>
      </c>
    </row>
    <row r="360" spans="1:6" hidden="1" x14ac:dyDescent="0.25">
      <c r="A360">
        <v>382</v>
      </c>
      <c r="B360" t="s">
        <v>1097</v>
      </c>
      <c r="C360" t="s">
        <v>971</v>
      </c>
      <c r="D360">
        <v>358</v>
      </c>
      <c r="E360" t="str">
        <f t="shared" si="12"/>
        <v>WR</v>
      </c>
      <c r="F360">
        <f t="shared" si="13"/>
        <v>146</v>
      </c>
    </row>
    <row r="361" spans="1:6" hidden="1" x14ac:dyDescent="0.25">
      <c r="A361">
        <v>394</v>
      </c>
      <c r="B361" t="s">
        <v>1098</v>
      </c>
      <c r="C361" t="s">
        <v>983</v>
      </c>
      <c r="D361">
        <v>359</v>
      </c>
      <c r="E361" t="str">
        <f t="shared" si="12"/>
        <v>TE</v>
      </c>
      <c r="F361">
        <f t="shared" si="13"/>
        <v>60</v>
      </c>
    </row>
    <row r="362" spans="1:6" hidden="1" x14ac:dyDescent="0.25">
      <c r="A362">
        <v>395</v>
      </c>
      <c r="B362" t="s">
        <v>83</v>
      </c>
      <c r="C362" t="s">
        <v>984</v>
      </c>
      <c r="D362">
        <v>360</v>
      </c>
      <c r="E362" t="str">
        <f t="shared" si="12"/>
        <v>TE</v>
      </c>
      <c r="F362">
        <f t="shared" si="13"/>
        <v>61</v>
      </c>
    </row>
    <row r="363" spans="1:6" hidden="1" x14ac:dyDescent="0.25">
      <c r="A363">
        <v>396</v>
      </c>
      <c r="B363" t="s">
        <v>1099</v>
      </c>
      <c r="C363" t="s">
        <v>985</v>
      </c>
      <c r="D363">
        <v>361</v>
      </c>
      <c r="E363" t="str">
        <f t="shared" si="12"/>
        <v>WR</v>
      </c>
      <c r="F363">
        <f t="shared" si="13"/>
        <v>150</v>
      </c>
    </row>
    <row r="364" spans="1:6" hidden="1" x14ac:dyDescent="0.25">
      <c r="A364">
        <v>389</v>
      </c>
      <c r="B364" t="s">
        <v>374</v>
      </c>
      <c r="C364" t="s">
        <v>978</v>
      </c>
      <c r="D364">
        <v>362</v>
      </c>
      <c r="E364" t="str">
        <f t="shared" si="12"/>
        <v>QB</v>
      </c>
      <c r="F364">
        <f t="shared" si="13"/>
        <v>48</v>
      </c>
    </row>
    <row r="365" spans="1:6" hidden="1" x14ac:dyDescent="0.25">
      <c r="A365">
        <v>397</v>
      </c>
      <c r="B365" t="s">
        <v>986</v>
      </c>
      <c r="C365" t="s">
        <v>987</v>
      </c>
      <c r="D365">
        <v>363</v>
      </c>
      <c r="E365" t="str">
        <f t="shared" si="12"/>
        <v>WR</v>
      </c>
      <c r="F365">
        <f t="shared" si="13"/>
        <v>151</v>
      </c>
    </row>
    <row r="366" spans="1:6" hidden="1" x14ac:dyDescent="0.25">
      <c r="A366">
        <v>398</v>
      </c>
      <c r="B366" t="s">
        <v>1100</v>
      </c>
      <c r="C366" t="s">
        <v>988</v>
      </c>
      <c r="D366">
        <v>364</v>
      </c>
      <c r="E366" t="str">
        <f t="shared" si="12"/>
        <v>RB</v>
      </c>
      <c r="F366">
        <f t="shared" si="13"/>
        <v>106</v>
      </c>
    </row>
    <row r="367" spans="1:6" hidden="1" x14ac:dyDescent="0.25">
      <c r="A367">
        <v>400</v>
      </c>
      <c r="B367" t="s">
        <v>1101</v>
      </c>
      <c r="C367" t="s">
        <v>990</v>
      </c>
      <c r="D367">
        <v>365</v>
      </c>
      <c r="E367" t="str">
        <f t="shared" si="12"/>
        <v>TE</v>
      </c>
      <c r="F367">
        <f t="shared" si="13"/>
        <v>62</v>
      </c>
    </row>
    <row r="368" spans="1:6" hidden="1" x14ac:dyDescent="0.25">
      <c r="A368">
        <v>403</v>
      </c>
      <c r="B368" t="s">
        <v>1102</v>
      </c>
      <c r="C368" t="s">
        <v>993</v>
      </c>
      <c r="D368">
        <v>366</v>
      </c>
      <c r="E368" t="str">
        <f t="shared" si="12"/>
        <v>TE</v>
      </c>
      <c r="F368">
        <f t="shared" si="13"/>
        <v>63</v>
      </c>
    </row>
    <row r="369" spans="1:6" hidden="1" x14ac:dyDescent="0.25">
      <c r="A369">
        <v>404</v>
      </c>
      <c r="B369" t="s">
        <v>512</v>
      </c>
      <c r="C369" t="s">
        <v>994</v>
      </c>
      <c r="D369">
        <v>367</v>
      </c>
      <c r="E369" t="str">
        <f t="shared" si="12"/>
        <v>QB</v>
      </c>
      <c r="F369">
        <f t="shared" si="13"/>
        <v>53</v>
      </c>
    </row>
    <row r="370" spans="1:6" hidden="1" x14ac:dyDescent="0.25">
      <c r="A370">
        <v>405</v>
      </c>
      <c r="B370" t="s">
        <v>921</v>
      </c>
      <c r="C370" t="s">
        <v>995</v>
      </c>
      <c r="D370">
        <v>368</v>
      </c>
      <c r="E370" t="str">
        <f t="shared" si="12"/>
        <v>WR</v>
      </c>
      <c r="F370">
        <f t="shared" si="13"/>
        <v>152</v>
      </c>
    </row>
    <row r="371" spans="1:6" hidden="1" x14ac:dyDescent="0.25">
      <c r="A371">
        <v>406</v>
      </c>
      <c r="B371" t="s">
        <v>1103</v>
      </c>
      <c r="C371" t="s">
        <v>996</v>
      </c>
      <c r="D371">
        <v>369</v>
      </c>
      <c r="E371" t="str">
        <f t="shared" si="12"/>
        <v>RB</v>
      </c>
      <c r="F371">
        <f t="shared" si="13"/>
        <v>107</v>
      </c>
    </row>
    <row r="372" spans="1:6" hidden="1" x14ac:dyDescent="0.25">
      <c r="A372">
        <v>399</v>
      </c>
      <c r="B372" t="s">
        <v>385</v>
      </c>
      <c r="C372" t="s">
        <v>989</v>
      </c>
      <c r="D372">
        <v>370</v>
      </c>
      <c r="E372" t="str">
        <f t="shared" si="12"/>
        <v>QB</v>
      </c>
      <c r="F372">
        <f t="shared" si="13"/>
        <v>50</v>
      </c>
    </row>
    <row r="373" spans="1:6" hidden="1" x14ac:dyDescent="0.25">
      <c r="A373">
        <v>407</v>
      </c>
      <c r="B373" t="s">
        <v>997</v>
      </c>
      <c r="C373" t="s">
        <v>998</v>
      </c>
      <c r="D373">
        <v>371</v>
      </c>
      <c r="E373" t="str">
        <f t="shared" si="12"/>
        <v>TE</v>
      </c>
      <c r="F373">
        <f t="shared" si="13"/>
        <v>64</v>
      </c>
    </row>
    <row r="374" spans="1:6" hidden="1" x14ac:dyDescent="0.25">
      <c r="A374">
        <v>408</v>
      </c>
      <c r="B374" t="s">
        <v>446</v>
      </c>
      <c r="C374" t="s">
        <v>999</v>
      </c>
      <c r="D374">
        <v>372</v>
      </c>
      <c r="E374" t="str">
        <f t="shared" si="12"/>
        <v>TE</v>
      </c>
      <c r="F374">
        <f t="shared" si="13"/>
        <v>65</v>
      </c>
    </row>
    <row r="375" spans="1:6" hidden="1" x14ac:dyDescent="0.25">
      <c r="A375">
        <v>409</v>
      </c>
      <c r="B375" t="s">
        <v>452</v>
      </c>
      <c r="C375" t="s">
        <v>1000</v>
      </c>
      <c r="D375">
        <v>373</v>
      </c>
      <c r="E375" t="str">
        <f t="shared" si="12"/>
        <v>TE</v>
      </c>
      <c r="F375">
        <f t="shared" si="13"/>
        <v>66</v>
      </c>
    </row>
    <row r="376" spans="1:6" hidden="1" x14ac:dyDescent="0.25">
      <c r="A376">
        <v>410</v>
      </c>
      <c r="B376" t="s">
        <v>456</v>
      </c>
      <c r="C376" t="s">
        <v>1001</v>
      </c>
      <c r="D376">
        <v>374</v>
      </c>
      <c r="E376" t="str">
        <f t="shared" si="12"/>
        <v>TE</v>
      </c>
      <c r="F376">
        <f t="shared" si="13"/>
        <v>67</v>
      </c>
    </row>
    <row r="377" spans="1:6" hidden="1" x14ac:dyDescent="0.25">
      <c r="A377">
        <v>411</v>
      </c>
      <c r="B377" t="s">
        <v>1211</v>
      </c>
      <c r="C377" t="s">
        <v>1002</v>
      </c>
      <c r="D377">
        <v>375</v>
      </c>
      <c r="E377" t="str">
        <f t="shared" si="12"/>
        <v>WR</v>
      </c>
      <c r="F377">
        <f t="shared" si="13"/>
        <v>153</v>
      </c>
    </row>
    <row r="378" spans="1:6" hidden="1" x14ac:dyDescent="0.25">
      <c r="A378">
        <v>412</v>
      </c>
      <c r="B378" t="s">
        <v>1104</v>
      </c>
      <c r="C378" t="s">
        <v>1003</v>
      </c>
      <c r="D378">
        <v>376</v>
      </c>
      <c r="E378" t="str">
        <f t="shared" si="12"/>
        <v>QB</v>
      </c>
      <c r="F378">
        <f t="shared" si="13"/>
        <v>54</v>
      </c>
    </row>
    <row r="379" spans="1:6" hidden="1" x14ac:dyDescent="0.25">
      <c r="A379">
        <v>413</v>
      </c>
      <c r="B379" t="s">
        <v>472</v>
      </c>
      <c r="C379" t="s">
        <v>1004</v>
      </c>
      <c r="D379">
        <v>377</v>
      </c>
      <c r="E379" t="str">
        <f t="shared" si="12"/>
        <v>WR</v>
      </c>
      <c r="F379">
        <f t="shared" si="13"/>
        <v>154</v>
      </c>
    </row>
    <row r="380" spans="1:6" hidden="1" x14ac:dyDescent="0.25">
      <c r="A380">
        <v>391</v>
      </c>
      <c r="B380" t="s">
        <v>373</v>
      </c>
      <c r="C380" t="s">
        <v>980</v>
      </c>
      <c r="D380">
        <v>378</v>
      </c>
      <c r="E380" t="str">
        <f t="shared" si="12"/>
        <v>QB</v>
      </c>
      <c r="F380">
        <f t="shared" si="13"/>
        <v>49</v>
      </c>
    </row>
    <row r="381" spans="1:6" hidden="1" x14ac:dyDescent="0.25">
      <c r="A381">
        <v>414</v>
      </c>
      <c r="B381" t="s">
        <v>479</v>
      </c>
      <c r="C381" t="s">
        <v>1005</v>
      </c>
      <c r="D381">
        <v>379</v>
      </c>
      <c r="E381" t="str">
        <f t="shared" si="12"/>
        <v>WR</v>
      </c>
      <c r="F381">
        <f t="shared" si="13"/>
        <v>155</v>
      </c>
    </row>
    <row r="382" spans="1:6" hidden="1" x14ac:dyDescent="0.25">
      <c r="A382">
        <v>415</v>
      </c>
      <c r="B382" t="s">
        <v>448</v>
      </c>
      <c r="C382" t="s">
        <v>1006</v>
      </c>
      <c r="D382">
        <v>380</v>
      </c>
      <c r="E382" t="str">
        <f t="shared" si="12"/>
        <v>TE</v>
      </c>
      <c r="F382">
        <f t="shared" si="13"/>
        <v>68</v>
      </c>
    </row>
    <row r="383" spans="1:6" hidden="1" x14ac:dyDescent="0.25">
      <c r="A383">
        <v>416</v>
      </c>
      <c r="B383" t="s">
        <v>504</v>
      </c>
      <c r="C383" t="s">
        <v>1007</v>
      </c>
      <c r="D383">
        <v>381</v>
      </c>
      <c r="E383" t="str">
        <f t="shared" si="12"/>
        <v>RB</v>
      </c>
      <c r="F383">
        <f t="shared" si="13"/>
        <v>108</v>
      </c>
    </row>
    <row r="384" spans="1:6" hidden="1" x14ac:dyDescent="0.25">
      <c r="A384">
        <v>401</v>
      </c>
      <c r="B384" t="s">
        <v>1105</v>
      </c>
      <c r="C384" t="s">
        <v>991</v>
      </c>
      <c r="D384">
        <v>382</v>
      </c>
      <c r="E384" t="str">
        <f t="shared" si="12"/>
        <v>QB</v>
      </c>
      <c r="F384">
        <f t="shared" si="13"/>
        <v>51</v>
      </c>
    </row>
    <row r="385" spans="1:6" hidden="1" x14ac:dyDescent="0.25">
      <c r="A385">
        <v>417</v>
      </c>
      <c r="B385" t="s">
        <v>483</v>
      </c>
      <c r="C385" t="s">
        <v>1008</v>
      </c>
      <c r="D385">
        <v>383</v>
      </c>
      <c r="E385" t="str">
        <f t="shared" si="12"/>
        <v>WR</v>
      </c>
      <c r="F385">
        <f t="shared" si="13"/>
        <v>156</v>
      </c>
    </row>
    <row r="386" spans="1:6" hidden="1" x14ac:dyDescent="0.25">
      <c r="A386">
        <v>418</v>
      </c>
      <c r="B386" t="s">
        <v>471</v>
      </c>
      <c r="C386" t="s">
        <v>1009</v>
      </c>
      <c r="D386">
        <v>384</v>
      </c>
      <c r="E386" t="str">
        <f t="shared" si="12"/>
        <v>WR</v>
      </c>
      <c r="F386">
        <f t="shared" si="13"/>
        <v>157</v>
      </c>
    </row>
    <row r="387" spans="1:6" hidden="1" x14ac:dyDescent="0.25">
      <c r="A387">
        <v>419</v>
      </c>
      <c r="B387" t="s">
        <v>286</v>
      </c>
      <c r="C387" t="s">
        <v>1010</v>
      </c>
      <c r="D387">
        <v>385</v>
      </c>
      <c r="E387" t="str">
        <f t="shared" si="12"/>
        <v>RB</v>
      </c>
      <c r="F387">
        <f t="shared" si="13"/>
        <v>109</v>
      </c>
    </row>
    <row r="388" spans="1:6" hidden="1" x14ac:dyDescent="0.25">
      <c r="A388">
        <v>402</v>
      </c>
      <c r="B388" t="s">
        <v>370</v>
      </c>
      <c r="C388" t="s">
        <v>992</v>
      </c>
      <c r="D388">
        <v>386</v>
      </c>
      <c r="E388" t="str">
        <f t="shared" si="12"/>
        <v>QB</v>
      </c>
      <c r="F388">
        <f t="shared" si="13"/>
        <v>52</v>
      </c>
    </row>
    <row r="389" spans="1:6" hidden="1" x14ac:dyDescent="0.25">
      <c r="A389">
        <v>420</v>
      </c>
      <c r="B389" t="s">
        <v>458</v>
      </c>
      <c r="C389" t="s">
        <v>1011</v>
      </c>
      <c r="D389">
        <v>387</v>
      </c>
      <c r="E389" t="str">
        <f t="shared" si="12"/>
        <v>TE</v>
      </c>
      <c r="F389">
        <f t="shared" si="13"/>
        <v>69</v>
      </c>
    </row>
    <row r="390" spans="1:6" hidden="1" x14ac:dyDescent="0.25">
      <c r="A390">
        <v>387</v>
      </c>
      <c r="B390" t="s">
        <v>306</v>
      </c>
      <c r="C390" t="s">
        <v>976</v>
      </c>
      <c r="D390">
        <v>388</v>
      </c>
      <c r="E390" t="str">
        <f t="shared" si="12"/>
        <v>RB</v>
      </c>
      <c r="F390">
        <f t="shared" si="13"/>
        <v>104</v>
      </c>
    </row>
    <row r="391" spans="1:6" hidden="1" x14ac:dyDescent="0.25">
      <c r="A391">
        <v>421</v>
      </c>
      <c r="B391" t="s">
        <v>1012</v>
      </c>
      <c r="C391" t="s">
        <v>1013</v>
      </c>
      <c r="D391">
        <v>389</v>
      </c>
      <c r="E391" t="str">
        <f t="shared" si="12"/>
        <v>TE</v>
      </c>
      <c r="F391">
        <f t="shared" si="13"/>
        <v>70</v>
      </c>
    </row>
    <row r="392" spans="1:6" hidden="1" x14ac:dyDescent="0.25">
      <c r="A392">
        <v>422</v>
      </c>
      <c r="B392" t="s">
        <v>150</v>
      </c>
      <c r="C392" t="s">
        <v>1014</v>
      </c>
      <c r="D392">
        <v>390</v>
      </c>
      <c r="E392" t="str">
        <f t="shared" si="12"/>
        <v>WR</v>
      </c>
      <c r="F392">
        <f t="shared" si="13"/>
        <v>158</v>
      </c>
    </row>
    <row r="393" spans="1:6" hidden="1" x14ac:dyDescent="0.25">
      <c r="A393">
        <v>423</v>
      </c>
      <c r="B393" t="s">
        <v>1015</v>
      </c>
      <c r="C393" t="s">
        <v>1016</v>
      </c>
      <c r="D393">
        <v>391</v>
      </c>
      <c r="E393" t="str">
        <f t="shared" si="12"/>
        <v>TE</v>
      </c>
      <c r="F393">
        <f t="shared" si="13"/>
        <v>71</v>
      </c>
    </row>
    <row r="394" spans="1:6" hidden="1" x14ac:dyDescent="0.25">
      <c r="A394">
        <v>424</v>
      </c>
      <c r="B394" t="s">
        <v>457</v>
      </c>
      <c r="C394" t="s">
        <v>1017</v>
      </c>
      <c r="D394">
        <v>392</v>
      </c>
      <c r="E394" t="str">
        <f t="shared" si="12"/>
        <v>TE</v>
      </c>
      <c r="F394">
        <f t="shared" si="13"/>
        <v>72</v>
      </c>
    </row>
    <row r="395" spans="1:6" hidden="1" x14ac:dyDescent="0.25">
      <c r="A395">
        <v>425</v>
      </c>
      <c r="B395" t="s">
        <v>1106</v>
      </c>
      <c r="C395" t="s">
        <v>1018</v>
      </c>
      <c r="D395">
        <v>393</v>
      </c>
      <c r="E395" t="str">
        <f t="shared" si="12"/>
        <v>WR</v>
      </c>
      <c r="F395">
        <f t="shared" si="13"/>
        <v>159</v>
      </c>
    </row>
    <row r="396" spans="1:6" hidden="1" x14ac:dyDescent="0.25">
      <c r="A396">
        <v>383</v>
      </c>
      <c r="B396" t="s">
        <v>268</v>
      </c>
      <c r="C396" t="s">
        <v>972</v>
      </c>
      <c r="D396">
        <v>394</v>
      </c>
      <c r="E396" t="str">
        <f t="shared" si="12"/>
        <v>RB</v>
      </c>
      <c r="F396">
        <f t="shared" si="13"/>
        <v>102</v>
      </c>
    </row>
    <row r="397" spans="1:6" hidden="1" x14ac:dyDescent="0.25">
      <c r="A397">
        <v>426</v>
      </c>
      <c r="B397" t="s">
        <v>420</v>
      </c>
      <c r="C397" t="s">
        <v>1019</v>
      </c>
      <c r="D397">
        <v>395</v>
      </c>
      <c r="E397" t="str">
        <f t="shared" si="12"/>
        <v>WR</v>
      </c>
      <c r="F397">
        <f t="shared" si="13"/>
        <v>160</v>
      </c>
    </row>
    <row r="398" spans="1:6" hidden="1" x14ac:dyDescent="0.25">
      <c r="A398">
        <v>427</v>
      </c>
      <c r="B398" t="s">
        <v>441</v>
      </c>
      <c r="C398" t="s">
        <v>1020</v>
      </c>
      <c r="D398">
        <v>396</v>
      </c>
      <c r="E398" t="str">
        <f t="shared" si="12"/>
        <v>TE</v>
      </c>
      <c r="F398">
        <f t="shared" si="13"/>
        <v>73</v>
      </c>
    </row>
    <row r="399" spans="1:6" hidden="1" x14ac:dyDescent="0.25">
      <c r="A399">
        <v>428</v>
      </c>
      <c r="B399" t="s">
        <v>473</v>
      </c>
      <c r="C399" t="s">
        <v>1021</v>
      </c>
      <c r="D399">
        <v>397</v>
      </c>
      <c r="E399" t="str">
        <f t="shared" si="12"/>
        <v>WR</v>
      </c>
      <c r="F399">
        <f t="shared" si="13"/>
        <v>161</v>
      </c>
    </row>
    <row r="400" spans="1:6" hidden="1" x14ac:dyDescent="0.25">
      <c r="A400">
        <v>429</v>
      </c>
      <c r="B400" t="s">
        <v>439</v>
      </c>
      <c r="C400" t="s">
        <v>1022</v>
      </c>
      <c r="D400">
        <v>398</v>
      </c>
      <c r="E400" t="str">
        <f t="shared" si="12"/>
        <v>TE</v>
      </c>
      <c r="F400">
        <f t="shared" si="13"/>
        <v>74</v>
      </c>
    </row>
    <row r="401" spans="1:6" hidden="1" x14ac:dyDescent="0.25">
      <c r="A401">
        <v>430</v>
      </c>
      <c r="B401" t="s">
        <v>1023</v>
      </c>
      <c r="C401" t="s">
        <v>1024</v>
      </c>
      <c r="D401">
        <v>399</v>
      </c>
      <c r="E401" t="str">
        <f t="shared" si="12"/>
        <v>RB</v>
      </c>
      <c r="F401">
        <f t="shared" si="13"/>
        <v>110</v>
      </c>
    </row>
    <row r="402" spans="1:6" hidden="1" x14ac:dyDescent="0.25">
      <c r="A402">
        <v>431</v>
      </c>
      <c r="B402" t="s">
        <v>1025</v>
      </c>
      <c r="C402" t="s">
        <v>1026</v>
      </c>
      <c r="D402">
        <v>400</v>
      </c>
      <c r="E402" t="str">
        <f t="shared" si="12"/>
        <v>WR</v>
      </c>
      <c r="F402">
        <f t="shared" si="13"/>
        <v>162</v>
      </c>
    </row>
    <row r="403" spans="1:6" hidden="1" x14ac:dyDescent="0.25">
      <c r="A403">
        <v>432</v>
      </c>
      <c r="B403" t="s">
        <v>1107</v>
      </c>
      <c r="C403" t="s">
        <v>1027</v>
      </c>
      <c r="D403">
        <v>401</v>
      </c>
      <c r="E403" t="str">
        <f t="shared" si="12"/>
        <v>WR</v>
      </c>
      <c r="F403">
        <f t="shared" si="13"/>
        <v>163</v>
      </c>
    </row>
    <row r="404" spans="1:6" hidden="1" x14ac:dyDescent="0.25">
      <c r="A404">
        <v>433</v>
      </c>
      <c r="B404" t="s">
        <v>442</v>
      </c>
      <c r="C404" t="s">
        <v>1028</v>
      </c>
      <c r="D404">
        <v>402</v>
      </c>
      <c r="E404" t="str">
        <f t="shared" si="12"/>
        <v>TE</v>
      </c>
      <c r="F404">
        <f t="shared" si="13"/>
        <v>75</v>
      </c>
    </row>
    <row r="405" spans="1:6" hidden="1" x14ac:dyDescent="0.25">
      <c r="A405">
        <v>434</v>
      </c>
      <c r="B405" t="s">
        <v>1029</v>
      </c>
      <c r="C405" t="s">
        <v>1030</v>
      </c>
      <c r="D405">
        <v>403</v>
      </c>
      <c r="E405" t="str">
        <f t="shared" si="12"/>
        <v>RB</v>
      </c>
      <c r="F405">
        <f t="shared" si="13"/>
        <v>111</v>
      </c>
    </row>
    <row r="406" spans="1:6" hidden="1" x14ac:dyDescent="0.25">
      <c r="A406">
        <v>435</v>
      </c>
      <c r="B406" t="s">
        <v>871</v>
      </c>
      <c r="C406" t="s">
        <v>1031</v>
      </c>
      <c r="D406">
        <v>404</v>
      </c>
      <c r="E406" t="str">
        <f t="shared" si="12"/>
        <v>WR</v>
      </c>
      <c r="F406">
        <f t="shared" si="13"/>
        <v>164</v>
      </c>
    </row>
    <row r="407" spans="1:6" hidden="1" x14ac:dyDescent="0.25">
      <c r="A407">
        <v>436</v>
      </c>
      <c r="B407" t="s">
        <v>519</v>
      </c>
      <c r="C407" t="s">
        <v>1032</v>
      </c>
      <c r="D407">
        <v>405</v>
      </c>
      <c r="E407" t="str">
        <f t="shared" si="12"/>
        <v>QB</v>
      </c>
      <c r="F407">
        <f t="shared" si="13"/>
        <v>55</v>
      </c>
    </row>
    <row r="408" spans="1:6" hidden="1" x14ac:dyDescent="0.25">
      <c r="A408">
        <v>437</v>
      </c>
      <c r="B408" t="s">
        <v>1108</v>
      </c>
      <c r="C408" t="s">
        <v>1033</v>
      </c>
      <c r="D408">
        <v>406</v>
      </c>
      <c r="E408" t="str">
        <f t="shared" si="12"/>
        <v>QB</v>
      </c>
      <c r="F408">
        <f t="shared" si="13"/>
        <v>56</v>
      </c>
    </row>
    <row r="409" spans="1:6" hidden="1" x14ac:dyDescent="0.25">
      <c r="A409">
        <v>438</v>
      </c>
      <c r="B409" t="s">
        <v>372</v>
      </c>
      <c r="C409" t="s">
        <v>1034</v>
      </c>
      <c r="D409">
        <v>407</v>
      </c>
      <c r="E409" t="str">
        <f t="shared" si="12"/>
        <v>QB</v>
      </c>
      <c r="F409">
        <f t="shared" si="13"/>
        <v>57</v>
      </c>
    </row>
    <row r="410" spans="1:6" hidden="1" x14ac:dyDescent="0.25">
      <c r="A410">
        <v>439</v>
      </c>
      <c r="B410" t="s">
        <v>924</v>
      </c>
      <c r="C410" t="s">
        <v>1035</v>
      </c>
      <c r="D410">
        <v>408</v>
      </c>
      <c r="E410" t="str">
        <f t="shared" si="12"/>
        <v>QB</v>
      </c>
      <c r="F410">
        <f t="shared" si="13"/>
        <v>58</v>
      </c>
    </row>
    <row r="411" spans="1:6" hidden="1" x14ac:dyDescent="0.25">
      <c r="A411">
        <v>440</v>
      </c>
      <c r="B411" t="s">
        <v>1109</v>
      </c>
      <c r="C411" t="s">
        <v>1036</v>
      </c>
      <c r="D411">
        <v>409</v>
      </c>
      <c r="E411" t="str">
        <f t="shared" si="12"/>
        <v>TE</v>
      </c>
      <c r="F411">
        <f t="shared" si="13"/>
        <v>76</v>
      </c>
    </row>
    <row r="412" spans="1:6" hidden="1" x14ac:dyDescent="0.25">
      <c r="A412">
        <v>441</v>
      </c>
      <c r="B412" t="s">
        <v>1110</v>
      </c>
      <c r="C412" t="s">
        <v>1037</v>
      </c>
      <c r="D412">
        <v>410</v>
      </c>
      <c r="E412" t="str">
        <f t="shared" si="12"/>
        <v>WR</v>
      </c>
      <c r="F412">
        <f t="shared" si="13"/>
        <v>165</v>
      </c>
    </row>
    <row r="413" spans="1:6" hidden="1" x14ac:dyDescent="0.25">
      <c r="A413">
        <v>442</v>
      </c>
      <c r="B413" t="s">
        <v>315</v>
      </c>
      <c r="C413" t="s">
        <v>1038</v>
      </c>
      <c r="D413">
        <v>411</v>
      </c>
      <c r="E413" t="str">
        <f t="shared" si="12"/>
        <v>RB</v>
      </c>
      <c r="F413">
        <f t="shared" si="13"/>
        <v>112</v>
      </c>
    </row>
    <row r="414" spans="1:6" hidden="1" x14ac:dyDescent="0.25">
      <c r="A414">
        <v>443</v>
      </c>
      <c r="B414" t="s">
        <v>326</v>
      </c>
      <c r="C414" t="s">
        <v>1039</v>
      </c>
      <c r="D414">
        <v>412</v>
      </c>
      <c r="E414" t="str">
        <f t="shared" si="12"/>
        <v>RB</v>
      </c>
      <c r="F414">
        <f t="shared" si="13"/>
        <v>113</v>
      </c>
    </row>
    <row r="415" spans="1:6" hidden="1" x14ac:dyDescent="0.25">
      <c r="A415">
        <v>444</v>
      </c>
      <c r="B415" t="s">
        <v>1040</v>
      </c>
      <c r="C415" t="s">
        <v>1041</v>
      </c>
      <c r="D415">
        <v>413</v>
      </c>
      <c r="E415" t="str">
        <f t="shared" si="12"/>
        <v>RB</v>
      </c>
      <c r="F415">
        <f t="shared" si="13"/>
        <v>114</v>
      </c>
    </row>
    <row r="416" spans="1:6" hidden="1" x14ac:dyDescent="0.25">
      <c r="A416">
        <v>445</v>
      </c>
      <c r="B416" t="s">
        <v>902</v>
      </c>
      <c r="C416" t="s">
        <v>1042</v>
      </c>
      <c r="D416">
        <v>414</v>
      </c>
      <c r="E416" t="str">
        <f t="shared" si="12"/>
        <v>QB</v>
      </c>
      <c r="F416">
        <f t="shared" si="13"/>
        <v>59</v>
      </c>
    </row>
    <row r="417" spans="1:6" hidden="1" x14ac:dyDescent="0.25">
      <c r="A417">
        <v>446</v>
      </c>
      <c r="B417" t="s">
        <v>1111</v>
      </c>
      <c r="C417" t="s">
        <v>1043</v>
      </c>
      <c r="D417">
        <v>415</v>
      </c>
      <c r="E417" t="str">
        <f t="shared" si="12"/>
        <v>RB</v>
      </c>
      <c r="F417">
        <f t="shared" si="13"/>
        <v>115</v>
      </c>
    </row>
    <row r="418" spans="1:6" hidden="1" x14ac:dyDescent="0.25">
      <c r="A418">
        <v>447</v>
      </c>
      <c r="B418" t="s">
        <v>898</v>
      </c>
      <c r="C418" t="s">
        <v>1044</v>
      </c>
      <c r="D418">
        <v>416</v>
      </c>
      <c r="E418" t="str">
        <f t="shared" si="12"/>
        <v>QB</v>
      </c>
      <c r="F418">
        <f t="shared" si="13"/>
        <v>60</v>
      </c>
    </row>
    <row r="419" spans="1:6" hidden="1" x14ac:dyDescent="0.25">
      <c r="A419">
        <v>448</v>
      </c>
      <c r="B419" t="s">
        <v>1112</v>
      </c>
      <c r="C419" t="s">
        <v>1045</v>
      </c>
      <c r="D419">
        <v>417</v>
      </c>
      <c r="E419" t="str">
        <f t="shared" si="12"/>
        <v>WR</v>
      </c>
      <c r="F419">
        <f t="shared" si="13"/>
        <v>166</v>
      </c>
    </row>
    <row r="420" spans="1:6" hidden="1" x14ac:dyDescent="0.25">
      <c r="A420">
        <v>449</v>
      </c>
      <c r="B420" t="s">
        <v>1046</v>
      </c>
      <c r="C420" t="s">
        <v>1047</v>
      </c>
      <c r="D420">
        <v>418</v>
      </c>
      <c r="E420" t="str">
        <f t="shared" si="12"/>
        <v>RB</v>
      </c>
      <c r="F420">
        <f t="shared" si="13"/>
        <v>116</v>
      </c>
    </row>
    <row r="421" spans="1:6" hidden="1" x14ac:dyDescent="0.25">
      <c r="A421">
        <v>450</v>
      </c>
      <c r="B421" t="s">
        <v>912</v>
      </c>
      <c r="C421" t="s">
        <v>1048</v>
      </c>
      <c r="D421">
        <v>419</v>
      </c>
      <c r="E421" t="str">
        <f t="shared" ref="E421:E436" si="14">LEFT(C421,2)</f>
        <v>WR</v>
      </c>
      <c r="F421">
        <f t="shared" ref="F421:F436" si="15">VALUE(MID(C421,3,LEN(C421)))</f>
        <v>167</v>
      </c>
    </row>
    <row r="422" spans="1:6" hidden="1" x14ac:dyDescent="0.25">
      <c r="A422">
        <v>451</v>
      </c>
      <c r="B422" t="s">
        <v>1049</v>
      </c>
      <c r="C422" t="s">
        <v>1050</v>
      </c>
      <c r="D422">
        <v>420</v>
      </c>
      <c r="E422" t="str">
        <f t="shared" si="14"/>
        <v>QB</v>
      </c>
      <c r="F422">
        <f t="shared" si="15"/>
        <v>61</v>
      </c>
    </row>
    <row r="423" spans="1:6" hidden="1" x14ac:dyDescent="0.25">
      <c r="A423">
        <v>452</v>
      </c>
      <c r="B423" t="s">
        <v>1051</v>
      </c>
      <c r="C423" t="s">
        <v>1052</v>
      </c>
      <c r="D423">
        <v>421</v>
      </c>
      <c r="E423" t="str">
        <f t="shared" si="14"/>
        <v>WR</v>
      </c>
      <c r="F423">
        <f t="shared" si="15"/>
        <v>168</v>
      </c>
    </row>
    <row r="424" spans="1:6" hidden="1" x14ac:dyDescent="0.25">
      <c r="A424">
        <v>453</v>
      </c>
      <c r="B424" t="s">
        <v>1053</v>
      </c>
      <c r="C424" t="s">
        <v>1054</v>
      </c>
      <c r="D424">
        <v>422</v>
      </c>
      <c r="E424" t="str">
        <f t="shared" si="14"/>
        <v>RB</v>
      </c>
      <c r="F424">
        <f t="shared" si="15"/>
        <v>117</v>
      </c>
    </row>
    <row r="425" spans="1:6" hidden="1" x14ac:dyDescent="0.25">
      <c r="A425">
        <v>454</v>
      </c>
      <c r="B425" t="s">
        <v>1113</v>
      </c>
      <c r="C425" t="s">
        <v>1055</v>
      </c>
      <c r="D425">
        <v>423</v>
      </c>
      <c r="E425" t="str">
        <f t="shared" si="14"/>
        <v>TE</v>
      </c>
      <c r="F425">
        <f t="shared" si="15"/>
        <v>77</v>
      </c>
    </row>
    <row r="426" spans="1:6" hidden="1" x14ac:dyDescent="0.25">
      <c r="A426">
        <v>455</v>
      </c>
      <c r="B426" t="s">
        <v>168</v>
      </c>
      <c r="C426" t="s">
        <v>1056</v>
      </c>
      <c r="D426">
        <v>424</v>
      </c>
      <c r="E426" t="str">
        <f t="shared" si="14"/>
        <v>WR</v>
      </c>
      <c r="F426">
        <f t="shared" si="15"/>
        <v>169</v>
      </c>
    </row>
    <row r="427" spans="1:6" hidden="1" x14ac:dyDescent="0.25">
      <c r="A427">
        <v>456</v>
      </c>
      <c r="B427" t="s">
        <v>1057</v>
      </c>
      <c r="C427" t="s">
        <v>1058</v>
      </c>
      <c r="D427">
        <v>425</v>
      </c>
      <c r="E427" t="str">
        <f t="shared" si="14"/>
        <v>WR</v>
      </c>
      <c r="F427">
        <f t="shared" si="15"/>
        <v>170</v>
      </c>
    </row>
    <row r="428" spans="1:6" hidden="1" x14ac:dyDescent="0.25">
      <c r="A428">
        <v>457</v>
      </c>
      <c r="B428" t="s">
        <v>508</v>
      </c>
      <c r="C428" t="s">
        <v>1059</v>
      </c>
      <c r="D428">
        <v>426</v>
      </c>
      <c r="E428" t="str">
        <f t="shared" si="14"/>
        <v>QB</v>
      </c>
      <c r="F428">
        <f t="shared" si="15"/>
        <v>62</v>
      </c>
    </row>
    <row r="429" spans="1:6" hidden="1" x14ac:dyDescent="0.25">
      <c r="A429">
        <v>458</v>
      </c>
      <c r="B429" t="s">
        <v>686</v>
      </c>
      <c r="C429" t="s">
        <v>1060</v>
      </c>
      <c r="D429">
        <v>427</v>
      </c>
      <c r="E429" t="str">
        <f t="shared" si="14"/>
        <v>WR</v>
      </c>
      <c r="F429">
        <f t="shared" si="15"/>
        <v>171</v>
      </c>
    </row>
    <row r="430" spans="1:6" hidden="1" x14ac:dyDescent="0.25">
      <c r="A430">
        <v>459</v>
      </c>
      <c r="B430" t="s">
        <v>1061</v>
      </c>
      <c r="C430" t="s">
        <v>1062</v>
      </c>
      <c r="D430">
        <v>428</v>
      </c>
      <c r="E430" t="str">
        <f t="shared" si="14"/>
        <v>WR</v>
      </c>
      <c r="F430">
        <f t="shared" si="15"/>
        <v>172</v>
      </c>
    </row>
    <row r="431" spans="1:6" hidden="1" x14ac:dyDescent="0.25">
      <c r="A431">
        <v>460</v>
      </c>
      <c r="B431" t="s">
        <v>1114</v>
      </c>
      <c r="C431" t="s">
        <v>1063</v>
      </c>
      <c r="D431">
        <v>429</v>
      </c>
      <c r="E431" t="str">
        <f t="shared" si="14"/>
        <v>WR</v>
      </c>
      <c r="F431">
        <f t="shared" si="15"/>
        <v>173</v>
      </c>
    </row>
    <row r="432" spans="1:6" hidden="1" x14ac:dyDescent="0.25">
      <c r="A432">
        <v>461</v>
      </c>
      <c r="B432" t="s">
        <v>764</v>
      </c>
      <c r="C432" t="s">
        <v>1064</v>
      </c>
      <c r="D432">
        <v>430</v>
      </c>
      <c r="E432" t="str">
        <f t="shared" si="14"/>
        <v>WR</v>
      </c>
      <c r="F432">
        <f t="shared" si="15"/>
        <v>174</v>
      </c>
    </row>
    <row r="433" spans="1:6" hidden="1" x14ac:dyDescent="0.25">
      <c r="A433">
        <v>462</v>
      </c>
      <c r="B433" t="s">
        <v>79</v>
      </c>
      <c r="C433" t="s">
        <v>1065</v>
      </c>
      <c r="D433">
        <v>431</v>
      </c>
      <c r="E433" t="str">
        <f t="shared" si="14"/>
        <v>TE</v>
      </c>
      <c r="F433">
        <f t="shared" si="15"/>
        <v>78</v>
      </c>
    </row>
    <row r="434" spans="1:6" hidden="1" x14ac:dyDescent="0.25">
      <c r="A434">
        <v>463</v>
      </c>
      <c r="B434" t="s">
        <v>453</v>
      </c>
      <c r="C434" t="s">
        <v>1066</v>
      </c>
      <c r="D434">
        <v>432</v>
      </c>
      <c r="E434" t="str">
        <f t="shared" si="14"/>
        <v>TE</v>
      </c>
      <c r="F434">
        <f t="shared" si="15"/>
        <v>79</v>
      </c>
    </row>
    <row r="435" spans="1:6" hidden="1" x14ac:dyDescent="0.25">
      <c r="A435">
        <v>464</v>
      </c>
      <c r="B435" t="s">
        <v>869</v>
      </c>
      <c r="C435" t="s">
        <v>1067</v>
      </c>
      <c r="D435">
        <v>433</v>
      </c>
      <c r="E435" t="str">
        <f t="shared" si="14"/>
        <v>RB</v>
      </c>
      <c r="F435">
        <f t="shared" si="15"/>
        <v>118</v>
      </c>
    </row>
    <row r="436" spans="1:6" hidden="1" x14ac:dyDescent="0.25">
      <c r="A436">
        <v>465</v>
      </c>
      <c r="B436" t="s">
        <v>840</v>
      </c>
      <c r="C436" t="s">
        <v>1068</v>
      </c>
      <c r="D436">
        <v>434</v>
      </c>
      <c r="E436" t="str">
        <f t="shared" si="14"/>
        <v>RB</v>
      </c>
      <c r="F436">
        <f t="shared" si="15"/>
        <v>119</v>
      </c>
    </row>
  </sheetData>
  <autoFilter ref="A2:F436" xr:uid="{DBB33AC4-8E56-4F2D-93C7-FB43900894B3}">
    <filterColumn colId="1">
      <filters>
        <filter val="De'Von Acha"/>
      </filters>
    </filterColumn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DEF86-7B10-45C8-A49E-7F6CAB91E3CD}">
  <sheetPr filterMode="1"/>
  <dimension ref="A1:G505"/>
  <sheetViews>
    <sheetView workbookViewId="0">
      <selection activeCell="B506" sqref="B506"/>
    </sheetView>
  </sheetViews>
  <sheetFormatPr defaultRowHeight="15" x14ac:dyDescent="0.25"/>
  <sheetData>
    <row r="1" spans="1:7" x14ac:dyDescent="0.25">
      <c r="A1" t="s">
        <v>520</v>
      </c>
    </row>
    <row r="2" spans="1:7" x14ac:dyDescent="0.25">
      <c r="A2" t="s">
        <v>521</v>
      </c>
      <c r="B2" t="s">
        <v>522</v>
      </c>
      <c r="C2" t="s">
        <v>523</v>
      </c>
      <c r="D2" t="s">
        <v>931</v>
      </c>
      <c r="E2" t="s">
        <v>523</v>
      </c>
      <c r="F2" t="s">
        <v>1069</v>
      </c>
    </row>
    <row r="3" spans="1:7" hidden="1" x14ac:dyDescent="0.25">
      <c r="A3">
        <v>1</v>
      </c>
      <c r="B3" t="s">
        <v>103</v>
      </c>
      <c r="C3" t="s">
        <v>525</v>
      </c>
      <c r="D3">
        <v>1</v>
      </c>
      <c r="E3" t="str">
        <f>LEFT(C3,2)</f>
        <v>WR</v>
      </c>
      <c r="F3">
        <f>VALUE(MID(C3,3,LEN(C3)))</f>
        <v>1</v>
      </c>
      <c r="G3" t="str" cm="1">
        <f t="array" ref="G3">_xlfn.LET(_xlpm.x,TRIM(B3),_xlpm.base,IFERROR(_xlfn.TEXTBEFORE(_xlpm.x,"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Ja'Marr Chase</v>
      </c>
    </row>
    <row r="4" spans="1:7" hidden="1" x14ac:dyDescent="0.25">
      <c r="A4">
        <v>2</v>
      </c>
      <c r="B4" t="s">
        <v>222</v>
      </c>
      <c r="C4" t="s">
        <v>524</v>
      </c>
      <c r="D4">
        <v>2</v>
      </c>
      <c r="E4" t="str">
        <f t="shared" ref="E4:E67" si="0">LEFT(C4,2)</f>
        <v>RB</v>
      </c>
      <c r="F4">
        <f t="shared" ref="F4:F67" si="1">VALUE(MID(C4,3,LEN(C4)))</f>
        <v>1</v>
      </c>
      <c r="G4" t="str" cm="1">
        <f t="array" ref="G4">_xlfn.LET(_xlpm.x,TRIM(B4),_xlpm.base,IFERROR(_xlfn.TEXTBEFORE(_xlpm.x,"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Bijan Robinson</v>
      </c>
    </row>
    <row r="5" spans="1:7" hidden="1" x14ac:dyDescent="0.25">
      <c r="A5">
        <v>3</v>
      </c>
      <c r="B5" t="s">
        <v>223</v>
      </c>
      <c r="C5" t="s">
        <v>531</v>
      </c>
      <c r="D5">
        <v>3</v>
      </c>
      <c r="E5" t="str">
        <f t="shared" si="0"/>
        <v>RB</v>
      </c>
      <c r="F5">
        <f t="shared" si="1"/>
        <v>2</v>
      </c>
      <c r="G5" t="str" cm="1">
        <f t="array" ref="G5">_xlfn.LET(_xlpm.x,TRIM(B5),_xlpm.base,IFERROR(_xlfn.TEXTBEFORE(_xlpm.x,"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Jahmyr Gibbs</v>
      </c>
    </row>
    <row r="6" spans="1:7" hidden="1" x14ac:dyDescent="0.25">
      <c r="A6">
        <v>4</v>
      </c>
      <c r="B6" t="s">
        <v>121</v>
      </c>
      <c r="C6" t="s">
        <v>527</v>
      </c>
      <c r="D6">
        <v>4</v>
      </c>
      <c r="E6" t="str">
        <f t="shared" si="0"/>
        <v>WR</v>
      </c>
      <c r="F6">
        <f t="shared" si="1"/>
        <v>2</v>
      </c>
      <c r="G6" t="str" cm="1">
        <f t="array" ref="G6">_xlfn.LET(_xlpm.x,TRIM(B6),_xlpm.base,IFERROR(_xlfn.TEXTBEFORE(_xlpm.x,"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CeeDee Lamb</v>
      </c>
    </row>
    <row r="7" spans="1:7" hidden="1" x14ac:dyDescent="0.25">
      <c r="A7">
        <v>5</v>
      </c>
      <c r="B7" t="s">
        <v>234</v>
      </c>
      <c r="C7" t="s">
        <v>540</v>
      </c>
      <c r="D7">
        <v>5</v>
      </c>
      <c r="E7" t="str">
        <f t="shared" si="0"/>
        <v>RB</v>
      </c>
      <c r="F7">
        <f t="shared" si="1"/>
        <v>3</v>
      </c>
      <c r="G7" t="str" cm="1">
        <f t="array" ref="G7">_xlfn.LET(_xlpm.x,TRIM(B7),_xlpm.base,IFERROR(_xlfn.TEXTBEFORE(_xlpm.x,"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Saquon Barkley</v>
      </c>
    </row>
    <row r="8" spans="1:7" hidden="1" x14ac:dyDescent="0.25">
      <c r="A8">
        <v>6</v>
      </c>
      <c r="B8" t="s">
        <v>120</v>
      </c>
      <c r="C8" t="s">
        <v>528</v>
      </c>
      <c r="D8">
        <v>6</v>
      </c>
      <c r="E8" t="str">
        <f t="shared" si="0"/>
        <v>WR</v>
      </c>
      <c r="F8">
        <f t="shared" si="1"/>
        <v>3</v>
      </c>
      <c r="G8" t="str" cm="1">
        <f t="array" ref="G8">_xlfn.LET(_xlpm.x,TRIM(B8),_xlpm.base,IFERROR(_xlfn.TEXTBEFORE(_xlpm.x,"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Justin Jefferson</v>
      </c>
    </row>
    <row r="9" spans="1:7" hidden="1" x14ac:dyDescent="0.25">
      <c r="A9">
        <v>7</v>
      </c>
      <c r="B9" t="s">
        <v>221</v>
      </c>
      <c r="C9" t="s">
        <v>544</v>
      </c>
      <c r="D9">
        <v>7</v>
      </c>
      <c r="E9" t="str">
        <f t="shared" si="0"/>
        <v>RB</v>
      </c>
      <c r="F9">
        <f t="shared" si="1"/>
        <v>4</v>
      </c>
      <c r="G9" t="str" cm="1">
        <f t="array" ref="G9">_xlfn.LET(_xlpm.x,TRIM(B9),_xlpm.base,IFERROR(_xlfn.TEXTBEFORE(_xlpm.x,"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Christian McCaffrey</v>
      </c>
    </row>
    <row r="10" spans="1:7" hidden="1" x14ac:dyDescent="0.25">
      <c r="A10">
        <v>8</v>
      </c>
      <c r="B10" t="s">
        <v>107</v>
      </c>
      <c r="C10" t="s">
        <v>529</v>
      </c>
      <c r="D10">
        <v>8</v>
      </c>
      <c r="E10" t="str">
        <f t="shared" si="0"/>
        <v>WR</v>
      </c>
      <c r="F10">
        <f t="shared" si="1"/>
        <v>4</v>
      </c>
      <c r="G10" t="str" cm="1">
        <f t="array" ref="G10">_xlfn.LET(_xlpm.x,TRIM(B10),_xlpm.base,IFERROR(_xlfn.TEXTBEFORE(_xlpm.x,"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Nico Collins</v>
      </c>
    </row>
    <row r="11" spans="1:7" hidden="1" x14ac:dyDescent="0.25">
      <c r="A11">
        <v>9</v>
      </c>
      <c r="B11" t="s">
        <v>102</v>
      </c>
      <c r="C11" t="s">
        <v>530</v>
      </c>
      <c r="D11">
        <v>9</v>
      </c>
      <c r="E11" t="str">
        <f t="shared" si="0"/>
        <v>WR</v>
      </c>
      <c r="F11">
        <f t="shared" si="1"/>
        <v>5</v>
      </c>
      <c r="G11" t="str" cm="1">
        <f t="array" ref="G11">_xlfn.LET(_xlpm.x,TRIM(B11),_xlpm.base,IFERROR(_xlfn.TEXTBEFORE(_xlpm.x,"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Amon-Ra St. Brown</v>
      </c>
    </row>
    <row r="12" spans="1:7" hidden="1" x14ac:dyDescent="0.25">
      <c r="A12">
        <v>10</v>
      </c>
      <c r="B12" t="s">
        <v>201</v>
      </c>
      <c r="C12" t="s">
        <v>535</v>
      </c>
      <c r="D12">
        <v>10</v>
      </c>
      <c r="E12" t="str">
        <f t="shared" si="0"/>
        <v>WR</v>
      </c>
      <c r="F12">
        <f t="shared" si="1"/>
        <v>6</v>
      </c>
      <c r="G12" t="str" cm="1">
        <f t="array" ref="G12">_xlfn.LET(_xlpm.x,TRIM(B12),_xlpm.base,IFERROR(_xlfn.TEXTBEFORE(_xlpm.x,"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Malik Nabers</v>
      </c>
    </row>
    <row r="13" spans="1:7" hidden="1" x14ac:dyDescent="0.25">
      <c r="A13">
        <v>11</v>
      </c>
      <c r="B13" t="s">
        <v>231</v>
      </c>
      <c r="C13" t="s">
        <v>545</v>
      </c>
      <c r="D13">
        <v>11</v>
      </c>
      <c r="E13" t="str">
        <f t="shared" si="0"/>
        <v>RB</v>
      </c>
      <c r="F13">
        <f t="shared" si="1"/>
        <v>5</v>
      </c>
      <c r="G13" t="str" cm="1">
        <f t="array" ref="G13">_xlfn.LET(_xlpm.x,TRIM(B13),_xlpm.base,IFERROR(_xlfn.TEXTBEFORE(_xlpm.x,"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Ashton Jeanty</v>
      </c>
    </row>
    <row r="14" spans="1:7" hidden="1" x14ac:dyDescent="0.25">
      <c r="A14">
        <v>12</v>
      </c>
      <c r="B14" t="s">
        <v>228</v>
      </c>
      <c r="C14" t="s">
        <v>547</v>
      </c>
      <c r="D14">
        <v>12</v>
      </c>
      <c r="E14" t="str">
        <f t="shared" si="0"/>
        <v>RB</v>
      </c>
      <c r="F14">
        <f t="shared" si="1"/>
        <v>6</v>
      </c>
      <c r="G14" t="str" cm="1">
        <f t="array" ref="G14">_xlfn.LET(_xlpm.x,TRIM(B14),_xlpm.base,IFERROR(_xlfn.TEXTBEFORE(_xlpm.x,"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Derrick Henry</v>
      </c>
    </row>
    <row r="15" spans="1:7" hidden="1" x14ac:dyDescent="0.25">
      <c r="A15">
        <v>13</v>
      </c>
      <c r="B15" t="s">
        <v>141</v>
      </c>
      <c r="C15" t="s">
        <v>536</v>
      </c>
      <c r="D15">
        <v>13</v>
      </c>
      <c r="E15" t="str">
        <f t="shared" si="0"/>
        <v>WR</v>
      </c>
      <c r="F15">
        <f t="shared" si="1"/>
        <v>7</v>
      </c>
      <c r="G15" t="str" cm="1">
        <f t="array" ref="G15">_xlfn.LET(_xlpm.x,TRIM(B15),_xlpm.base,IFERROR(_xlfn.TEXTBEFORE(_xlpm.x,"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Brian Thomas Jr.</v>
      </c>
    </row>
    <row r="16" spans="1:7" hidden="1" x14ac:dyDescent="0.25">
      <c r="A16">
        <v>14</v>
      </c>
      <c r="B16" t="s">
        <v>100</v>
      </c>
      <c r="C16" t="s">
        <v>538</v>
      </c>
      <c r="D16">
        <v>14</v>
      </c>
      <c r="E16" t="str">
        <f t="shared" si="0"/>
        <v>WR</v>
      </c>
      <c r="F16">
        <f t="shared" si="1"/>
        <v>8</v>
      </c>
      <c r="G16" t="str" cm="1">
        <f t="array" ref="G16">_xlfn.LET(_xlpm.x,TRIM(B16),_xlpm.base,IFERROR(_xlfn.TEXTBEFORE(_xlpm.x,"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Puka Nacua</v>
      </c>
    </row>
    <row r="17" spans="1:7" hidden="1" x14ac:dyDescent="0.25">
      <c r="A17">
        <v>15</v>
      </c>
      <c r="B17" t="s">
        <v>118</v>
      </c>
      <c r="C17" t="s">
        <v>539</v>
      </c>
      <c r="D17">
        <v>15</v>
      </c>
      <c r="E17" t="str">
        <f t="shared" si="0"/>
        <v>WR</v>
      </c>
      <c r="F17">
        <f t="shared" si="1"/>
        <v>9</v>
      </c>
      <c r="G17" t="str" cm="1">
        <f t="array" ref="G17">_xlfn.LET(_xlpm.x,TRIM(B17),_xlpm.base,IFERROR(_xlfn.TEXTBEFORE(_xlpm.x,"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Drake London</v>
      </c>
    </row>
    <row r="18" spans="1:7" hidden="1" x14ac:dyDescent="0.25">
      <c r="A18">
        <v>16</v>
      </c>
      <c r="B18" t="s">
        <v>227</v>
      </c>
      <c r="C18" t="s">
        <v>550</v>
      </c>
      <c r="D18">
        <v>16</v>
      </c>
      <c r="E18" t="str">
        <f t="shared" si="0"/>
        <v>RB</v>
      </c>
      <c r="F18">
        <f t="shared" si="1"/>
        <v>7</v>
      </c>
      <c r="G18" t="str" cm="1">
        <f t="array" ref="G18">_xlfn.LET(_xlpm.x,TRIM(B18),_xlpm.base,IFERROR(_xlfn.TEXTBEFORE(_xlpm.x,"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Chase Brown</v>
      </c>
    </row>
    <row r="19" spans="1:7" hidden="1" x14ac:dyDescent="0.25">
      <c r="A19">
        <v>17</v>
      </c>
      <c r="B19" t="s">
        <v>225</v>
      </c>
      <c r="C19" t="s">
        <v>552</v>
      </c>
      <c r="D19">
        <v>17</v>
      </c>
      <c r="E19" t="str">
        <f t="shared" si="0"/>
        <v>RB</v>
      </c>
      <c r="F19">
        <f t="shared" si="1"/>
        <v>8</v>
      </c>
      <c r="G19" t="str" cm="1">
        <f t="array" ref="G19">_xlfn.LET(_xlpm.x,TRIM(B19),_xlpm.base,IFERROR(_xlfn.TEXTBEFORE(_xlpm.x,"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De'Von Acha</v>
      </c>
    </row>
    <row r="20" spans="1:7" hidden="1" x14ac:dyDescent="0.25">
      <c r="A20">
        <v>18</v>
      </c>
      <c r="B20" t="s">
        <v>42</v>
      </c>
      <c r="C20" t="s">
        <v>526</v>
      </c>
      <c r="D20">
        <v>18</v>
      </c>
      <c r="E20" t="str">
        <f t="shared" si="0"/>
        <v>TE</v>
      </c>
      <c r="F20">
        <f t="shared" si="1"/>
        <v>1</v>
      </c>
      <c r="G20" t="str" cm="1">
        <f t="array" ref="G20">_xlfn.LET(_xlpm.x,TRIM(B20),_xlpm.base,IFERROR(_xlfn.TEXTBEFORE(_xlpm.x,"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Brock Bowers</v>
      </c>
    </row>
    <row r="21" spans="1:7" hidden="1" x14ac:dyDescent="0.25">
      <c r="A21">
        <v>19</v>
      </c>
      <c r="B21" t="s">
        <v>254</v>
      </c>
      <c r="C21" t="s">
        <v>553</v>
      </c>
      <c r="D21">
        <v>19</v>
      </c>
      <c r="E21" t="str">
        <f t="shared" si="0"/>
        <v>RB</v>
      </c>
      <c r="F21">
        <f t="shared" si="1"/>
        <v>9</v>
      </c>
      <c r="G21" t="str" cm="1">
        <f t="array" ref="G21">_xlfn.LET(_xlpm.x,TRIM(B21),_xlpm.base,IFERROR(_xlfn.TEXTBEFORE(_xlpm.x,"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Bucky Irving</v>
      </c>
    </row>
    <row r="22" spans="1:7" hidden="1" x14ac:dyDescent="0.25">
      <c r="A22">
        <v>20</v>
      </c>
      <c r="B22" t="s">
        <v>224</v>
      </c>
      <c r="C22" t="s">
        <v>554</v>
      </c>
      <c r="D22">
        <v>20</v>
      </c>
      <c r="E22" t="str">
        <f t="shared" si="0"/>
        <v>RB</v>
      </c>
      <c r="F22">
        <f t="shared" si="1"/>
        <v>10</v>
      </c>
      <c r="G22" t="str" cm="1">
        <f t="array" ref="G22">_xlfn.LET(_xlpm.x,TRIM(B22),_xlpm.base,IFERROR(_xlfn.TEXTBEFORE(_xlpm.x,"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Jonathan Taylor</v>
      </c>
    </row>
    <row r="23" spans="1:7" hidden="1" x14ac:dyDescent="0.25">
      <c r="A23">
        <v>21</v>
      </c>
      <c r="B23" t="s">
        <v>233</v>
      </c>
      <c r="C23" t="s">
        <v>563</v>
      </c>
      <c r="D23">
        <v>21</v>
      </c>
      <c r="E23" t="str">
        <f t="shared" si="0"/>
        <v>RB</v>
      </c>
      <c r="F23">
        <f t="shared" si="1"/>
        <v>11</v>
      </c>
      <c r="G23" t="str" cm="1">
        <f t="array" ref="G23">_xlfn.LET(_xlpm.x,TRIM(B23),_xlpm.base,IFERROR(_xlfn.TEXTBEFORE(_xlpm.x,"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Josh Jacobs</v>
      </c>
    </row>
    <row r="24" spans="1:7" hidden="1" x14ac:dyDescent="0.25">
      <c r="A24">
        <v>22</v>
      </c>
      <c r="B24" t="s">
        <v>110</v>
      </c>
      <c r="C24" t="s">
        <v>541</v>
      </c>
      <c r="D24">
        <v>22</v>
      </c>
      <c r="E24" t="str">
        <f t="shared" si="0"/>
        <v>WR</v>
      </c>
      <c r="F24">
        <f t="shared" si="1"/>
        <v>10</v>
      </c>
      <c r="G24" t="str" cm="1">
        <f t="array" ref="G24">_xlfn.LET(_xlpm.x,TRIM(B24),_xlpm.base,IFERROR(_xlfn.TEXTBEFORE(_xlpm.x,"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A.J. Brown</v>
      </c>
    </row>
    <row r="25" spans="1:7" hidden="1" x14ac:dyDescent="0.25">
      <c r="A25">
        <v>23</v>
      </c>
      <c r="B25" t="s">
        <v>129</v>
      </c>
      <c r="C25" t="s">
        <v>543</v>
      </c>
      <c r="D25">
        <v>23</v>
      </c>
      <c r="E25" t="str">
        <f t="shared" si="0"/>
        <v>WR</v>
      </c>
      <c r="F25">
        <f t="shared" si="1"/>
        <v>11</v>
      </c>
      <c r="G25" t="str" cm="1">
        <f t="array" ref="G25">_xlfn.LET(_xlpm.x,TRIM(B25),_xlpm.base,IFERROR(_xlfn.TEXTBEFORE(_xlpm.x,"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Ladd McConkey</v>
      </c>
    </row>
    <row r="26" spans="1:7" hidden="1" x14ac:dyDescent="0.25">
      <c r="A26">
        <v>24</v>
      </c>
      <c r="B26" t="s">
        <v>332</v>
      </c>
      <c r="C26" t="s">
        <v>532</v>
      </c>
      <c r="D26">
        <v>24</v>
      </c>
      <c r="E26" t="str">
        <f t="shared" si="0"/>
        <v>QB</v>
      </c>
      <c r="F26">
        <f t="shared" si="1"/>
        <v>1</v>
      </c>
      <c r="G26" t="str" cm="1">
        <f t="array" ref="G26">_xlfn.LET(_xlpm.x,TRIM(B26),_xlpm.base,IFERROR(_xlfn.TEXTBEFORE(_xlpm.x,"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Josh Allen</v>
      </c>
    </row>
    <row r="27" spans="1:7" hidden="1" x14ac:dyDescent="0.25">
      <c r="A27">
        <v>25</v>
      </c>
      <c r="B27" t="s">
        <v>20</v>
      </c>
      <c r="C27" t="s">
        <v>542</v>
      </c>
      <c r="D27">
        <v>25</v>
      </c>
      <c r="E27" t="str">
        <f t="shared" si="0"/>
        <v>TE</v>
      </c>
      <c r="F27">
        <f t="shared" si="1"/>
        <v>2</v>
      </c>
      <c r="G27" t="str" cm="1">
        <f t="array" ref="G27">_xlfn.LET(_xlpm.x,TRIM(B27),_xlpm.base,IFERROR(_xlfn.TEXTBEFORE(_xlpm.x,"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Trey McBride</v>
      </c>
    </row>
    <row r="28" spans="1:7" hidden="1" x14ac:dyDescent="0.25">
      <c r="A28">
        <v>26</v>
      </c>
      <c r="B28" t="s">
        <v>351</v>
      </c>
      <c r="C28" t="s">
        <v>533</v>
      </c>
      <c r="D28">
        <v>26</v>
      </c>
      <c r="E28" t="str">
        <f t="shared" si="0"/>
        <v>QB</v>
      </c>
      <c r="F28">
        <f t="shared" si="1"/>
        <v>2</v>
      </c>
      <c r="G28" t="str" cm="1">
        <f t="array" ref="G28">_xlfn.LET(_xlpm.x,TRIM(B28),_xlpm.base,IFERROR(_xlfn.TEXTBEFORE(_xlpm.x,"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Lamar Jackson</v>
      </c>
    </row>
    <row r="29" spans="1:7" hidden="1" x14ac:dyDescent="0.25">
      <c r="A29">
        <v>27</v>
      </c>
      <c r="B29" t="s">
        <v>229</v>
      </c>
      <c r="C29" t="s">
        <v>565</v>
      </c>
      <c r="D29">
        <v>27</v>
      </c>
      <c r="E29" t="str">
        <f t="shared" si="0"/>
        <v>RB</v>
      </c>
      <c r="F29">
        <f t="shared" si="1"/>
        <v>12</v>
      </c>
      <c r="G29" t="str" cm="1">
        <f t="array" ref="G29">_xlfn.LET(_xlpm.x,TRIM(B29),_xlpm.base,IFERROR(_xlfn.TEXTBEFORE(_xlpm.x,"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Kyren Williams</v>
      </c>
    </row>
    <row r="30" spans="1:7" hidden="1" x14ac:dyDescent="0.25">
      <c r="A30">
        <v>28</v>
      </c>
      <c r="B30" t="s">
        <v>114</v>
      </c>
      <c r="C30" t="s">
        <v>548</v>
      </c>
      <c r="D30">
        <v>28</v>
      </c>
      <c r="E30" t="str">
        <f t="shared" si="0"/>
        <v>WR</v>
      </c>
      <c r="F30">
        <f t="shared" si="1"/>
        <v>12</v>
      </c>
      <c r="G30" t="str" cm="1">
        <f t="array" ref="G30">_xlfn.LET(_xlpm.x,TRIM(B30),_xlpm.base,IFERROR(_xlfn.TEXTBEFORE(_xlpm.x,"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Tee Higgins</v>
      </c>
    </row>
    <row r="31" spans="1:7" hidden="1" x14ac:dyDescent="0.25">
      <c r="A31">
        <v>29</v>
      </c>
      <c r="B31" t="s">
        <v>255</v>
      </c>
      <c r="C31" t="s">
        <v>568</v>
      </c>
      <c r="D31">
        <v>29</v>
      </c>
      <c r="E31" t="str">
        <f t="shared" si="0"/>
        <v>RB</v>
      </c>
      <c r="F31">
        <f t="shared" si="1"/>
        <v>13</v>
      </c>
      <c r="G31" t="str" cm="1">
        <f t="array" ref="G31">_xlfn.LET(_xlpm.x,TRIM(B31),_xlpm.base,IFERROR(_xlfn.TEXTBEFORE(_xlpm.x,"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Omarion Hampton</v>
      </c>
    </row>
    <row r="32" spans="1:7" hidden="1" x14ac:dyDescent="0.25">
      <c r="A32">
        <v>30</v>
      </c>
      <c r="B32" t="s">
        <v>101</v>
      </c>
      <c r="C32" t="s">
        <v>549</v>
      </c>
      <c r="D32">
        <v>30</v>
      </c>
      <c r="E32" t="str">
        <f t="shared" si="0"/>
        <v>WR</v>
      </c>
      <c r="F32">
        <f t="shared" si="1"/>
        <v>13</v>
      </c>
      <c r="G32" t="str" cm="1">
        <f t="array" ref="G32">_xlfn.LET(_xlpm.x,TRIM(B32),_xlpm.base,IFERROR(_xlfn.TEXTBEFORE(_xlpm.x,"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Jaxon Smith-Njigba</v>
      </c>
    </row>
    <row r="33" spans="1:7" hidden="1" x14ac:dyDescent="0.25">
      <c r="A33">
        <v>31</v>
      </c>
      <c r="B33" t="s">
        <v>204</v>
      </c>
      <c r="C33" t="s">
        <v>555</v>
      </c>
      <c r="D33">
        <v>31</v>
      </c>
      <c r="E33" t="str">
        <f t="shared" si="0"/>
        <v>WR</v>
      </c>
      <c r="F33">
        <f t="shared" si="1"/>
        <v>14</v>
      </c>
      <c r="G33" t="str" cm="1">
        <f t="array" ref="G33">_xlfn.LET(_xlpm.x,TRIM(B33),_xlpm.base,IFERROR(_xlfn.TEXTBEFORE(_xlpm.x,"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Tyreek Hill</v>
      </c>
    </row>
    <row r="34" spans="1:7" hidden="1" x14ac:dyDescent="0.25">
      <c r="A34">
        <v>32</v>
      </c>
      <c r="B34" t="s">
        <v>365</v>
      </c>
      <c r="C34" t="s">
        <v>534</v>
      </c>
      <c r="D34">
        <v>32</v>
      </c>
      <c r="E34" t="str">
        <f t="shared" si="0"/>
        <v>QB</v>
      </c>
      <c r="F34">
        <f t="shared" si="1"/>
        <v>3</v>
      </c>
      <c r="G34" t="str" cm="1">
        <f t="array" ref="G34">_xlfn.LET(_xlpm.x,TRIM(B34),_xlpm.base,IFERROR(_xlfn.TEXTBEFORE(_xlpm.x,"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Jayden Daniels</v>
      </c>
    </row>
    <row r="35" spans="1:7" hidden="1" x14ac:dyDescent="0.25">
      <c r="A35">
        <v>33</v>
      </c>
      <c r="B35" t="s">
        <v>226</v>
      </c>
      <c r="C35" t="s">
        <v>569</v>
      </c>
      <c r="D35">
        <v>33</v>
      </c>
      <c r="E35" t="str">
        <f t="shared" si="0"/>
        <v>RB</v>
      </c>
      <c r="F35">
        <f t="shared" si="1"/>
        <v>14</v>
      </c>
      <c r="G35" t="str" cm="1">
        <f t="array" ref="G35">_xlfn.LET(_xlpm.x,TRIM(B35),_xlpm.base,IFERROR(_xlfn.TEXTBEFORE(_xlpm.x,"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James Cook III</v>
      </c>
    </row>
    <row r="36" spans="1:7" hidden="1" x14ac:dyDescent="0.25">
      <c r="A36">
        <v>34</v>
      </c>
      <c r="B36" t="s">
        <v>174</v>
      </c>
      <c r="C36" t="s">
        <v>556</v>
      </c>
      <c r="D36">
        <v>34</v>
      </c>
      <c r="E36" t="str">
        <f t="shared" si="0"/>
        <v>WR</v>
      </c>
      <c r="F36">
        <f t="shared" si="1"/>
        <v>15</v>
      </c>
      <c r="G36" t="str" cm="1">
        <f t="array" ref="G36">_xlfn.LET(_xlpm.x,TRIM(B36),_xlpm.base,IFERROR(_xlfn.TEXTBEFORE(_xlpm.x,"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Mike Evans</v>
      </c>
    </row>
    <row r="37" spans="1:7" hidden="1" x14ac:dyDescent="0.25">
      <c r="A37">
        <v>35</v>
      </c>
      <c r="B37" t="s">
        <v>46</v>
      </c>
      <c r="C37" t="s">
        <v>546</v>
      </c>
      <c r="D37">
        <v>35</v>
      </c>
      <c r="E37" t="str">
        <f t="shared" si="0"/>
        <v>TE</v>
      </c>
      <c r="F37">
        <f t="shared" si="1"/>
        <v>3</v>
      </c>
      <c r="G37" t="str" cm="1">
        <f t="array" ref="G37">_xlfn.LET(_xlpm.x,TRIM(B37),_xlpm.base,IFERROR(_xlfn.TEXTBEFORE(_xlpm.x,"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George Kittle</v>
      </c>
    </row>
    <row r="38" spans="1:7" hidden="1" x14ac:dyDescent="0.25">
      <c r="A38">
        <v>36</v>
      </c>
      <c r="B38" t="s">
        <v>161</v>
      </c>
      <c r="C38" t="s">
        <v>557</v>
      </c>
      <c r="D38">
        <v>36</v>
      </c>
      <c r="E38" t="str">
        <f t="shared" si="0"/>
        <v>WR</v>
      </c>
      <c r="F38">
        <f t="shared" si="1"/>
        <v>16</v>
      </c>
      <c r="G38" t="str" cm="1">
        <f t="array" ref="G38">_xlfn.LET(_xlpm.x,TRIM(B38),_xlpm.base,IFERROR(_xlfn.TEXTBEFORE(_xlpm.x,"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Garrett Wilson</v>
      </c>
    </row>
    <row r="39" spans="1:7" hidden="1" x14ac:dyDescent="0.25">
      <c r="A39">
        <v>37</v>
      </c>
      <c r="B39" t="s">
        <v>148</v>
      </c>
      <c r="C39" t="s">
        <v>558</v>
      </c>
      <c r="D39">
        <v>37</v>
      </c>
      <c r="E39" t="str">
        <f t="shared" si="0"/>
        <v>WR</v>
      </c>
      <c r="F39">
        <f t="shared" si="1"/>
        <v>17</v>
      </c>
      <c r="G39" t="str" cm="1">
        <f t="array" ref="G39">_xlfn.LET(_xlpm.x,TRIM(B39),_xlpm.base,IFERROR(_xlfn.TEXTBEFORE(_xlpm.x,"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Marvin Harrison Jr.</v>
      </c>
    </row>
    <row r="40" spans="1:7" hidden="1" x14ac:dyDescent="0.25">
      <c r="A40">
        <v>38</v>
      </c>
      <c r="B40" t="s">
        <v>241</v>
      </c>
      <c r="C40" t="s">
        <v>571</v>
      </c>
      <c r="D40">
        <v>38</v>
      </c>
      <c r="E40" t="str">
        <f t="shared" si="0"/>
        <v>RB</v>
      </c>
      <c r="F40">
        <f t="shared" si="1"/>
        <v>15</v>
      </c>
      <c r="G40" t="str" cm="1">
        <f t="array" ref="G40">_xlfn.LET(_xlpm.x,TRIM(B40),_xlpm.base,IFERROR(_xlfn.TEXTBEFORE(_xlpm.x,"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TreVeyon Henderson</v>
      </c>
    </row>
    <row r="41" spans="1:7" hidden="1" x14ac:dyDescent="0.25">
      <c r="A41">
        <v>39</v>
      </c>
      <c r="B41" t="s">
        <v>155</v>
      </c>
      <c r="C41" t="s">
        <v>560</v>
      </c>
      <c r="D41">
        <v>39</v>
      </c>
      <c r="E41" t="str">
        <f t="shared" si="0"/>
        <v>WR</v>
      </c>
      <c r="F41">
        <f t="shared" si="1"/>
        <v>18</v>
      </c>
      <c r="G41" t="str" cm="1">
        <f t="array" ref="G41">_xlfn.LET(_xlpm.x,TRIM(B41),_xlpm.base,IFERROR(_xlfn.TEXTBEFORE(_xlpm.x,"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Terry McLaurin</v>
      </c>
    </row>
    <row r="42" spans="1:7" hidden="1" x14ac:dyDescent="0.25">
      <c r="A42">
        <v>40</v>
      </c>
      <c r="B42" t="s">
        <v>108</v>
      </c>
      <c r="C42" t="s">
        <v>562</v>
      </c>
      <c r="D42">
        <v>40</v>
      </c>
      <c r="E42" t="str">
        <f t="shared" si="0"/>
        <v>WR</v>
      </c>
      <c r="F42">
        <f t="shared" si="1"/>
        <v>19</v>
      </c>
      <c r="G42" t="str" cm="1">
        <f t="array" ref="G42">_xlfn.LET(_xlpm.x,TRIM(B42),_xlpm.base,IFERROR(_xlfn.TEXTBEFORE(_xlpm.x,"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Davante Adams</v>
      </c>
    </row>
    <row r="43" spans="1:7" hidden="1" x14ac:dyDescent="0.25">
      <c r="A43">
        <v>41</v>
      </c>
      <c r="B43" t="s">
        <v>340</v>
      </c>
      <c r="C43" t="s">
        <v>537</v>
      </c>
      <c r="D43">
        <v>41</v>
      </c>
      <c r="E43" t="str">
        <f t="shared" si="0"/>
        <v>QB</v>
      </c>
      <c r="F43">
        <f t="shared" si="1"/>
        <v>4</v>
      </c>
      <c r="G43" t="str" cm="1">
        <f t="array" ref="G43">_xlfn.LET(_xlpm.x,TRIM(B43),_xlpm.base,IFERROR(_xlfn.TEXTBEFORE(_xlpm.x,"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Jalen Hurts</v>
      </c>
    </row>
    <row r="44" spans="1:7" hidden="1" x14ac:dyDescent="0.25">
      <c r="A44">
        <v>42</v>
      </c>
      <c r="B44" t="s">
        <v>242</v>
      </c>
      <c r="C44" t="s">
        <v>575</v>
      </c>
      <c r="D44">
        <v>42</v>
      </c>
      <c r="E44" t="str">
        <f t="shared" si="0"/>
        <v>RB</v>
      </c>
      <c r="F44">
        <f t="shared" si="1"/>
        <v>16</v>
      </c>
      <c r="G44" t="str" cm="1">
        <f t="array" ref="G44">_xlfn.LET(_xlpm.x,TRIM(B44),_xlpm.base,IFERROR(_xlfn.TEXTBEFORE(_xlpm.x,"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Kenneth Walker III</v>
      </c>
    </row>
    <row r="45" spans="1:7" hidden="1" x14ac:dyDescent="0.25">
      <c r="A45">
        <v>43</v>
      </c>
      <c r="B45" t="s">
        <v>239</v>
      </c>
      <c r="C45" t="s">
        <v>576</v>
      </c>
      <c r="D45">
        <v>43</v>
      </c>
      <c r="E45" t="str">
        <f t="shared" si="0"/>
        <v>RB</v>
      </c>
      <c r="F45">
        <f t="shared" si="1"/>
        <v>17</v>
      </c>
      <c r="G45" t="str" cm="1">
        <f t="array" ref="G45">_xlfn.LET(_xlpm.x,TRIM(B45),_xlpm.base,IFERROR(_xlfn.TEXTBEFORE(_xlpm.x,"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Breece Hall</v>
      </c>
    </row>
    <row r="46" spans="1:7" hidden="1" x14ac:dyDescent="0.25">
      <c r="A46">
        <v>44</v>
      </c>
      <c r="B46" t="s">
        <v>115</v>
      </c>
      <c r="C46" t="s">
        <v>566</v>
      </c>
      <c r="D46">
        <v>44</v>
      </c>
      <c r="E46" t="str">
        <f t="shared" si="0"/>
        <v>WR</v>
      </c>
      <c r="F46">
        <f t="shared" si="1"/>
        <v>20</v>
      </c>
      <c r="G46" t="str" cm="1">
        <f t="array" ref="G46">_xlfn.LET(_xlpm.x,TRIM(B46),_xlpm.base,IFERROR(_xlfn.TEXTBEFORE(_xlpm.x,"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Tetairoa McMillan</v>
      </c>
    </row>
    <row r="47" spans="1:7" hidden="1" x14ac:dyDescent="0.25">
      <c r="A47">
        <v>45</v>
      </c>
      <c r="B47" t="s">
        <v>360</v>
      </c>
      <c r="C47" t="s">
        <v>559</v>
      </c>
      <c r="D47">
        <v>45</v>
      </c>
      <c r="E47" t="str">
        <f t="shared" si="0"/>
        <v>QB</v>
      </c>
      <c r="F47">
        <f t="shared" si="1"/>
        <v>5</v>
      </c>
      <c r="G47" t="str" cm="1">
        <f t="array" ref="G47">_xlfn.LET(_xlpm.x,TRIM(B47),_xlpm.base,IFERROR(_xlfn.TEXTBEFORE(_xlpm.x,"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Joe Burrow</v>
      </c>
    </row>
    <row r="48" spans="1:7" hidden="1" x14ac:dyDescent="0.25">
      <c r="A48">
        <v>46</v>
      </c>
      <c r="B48" t="s">
        <v>158</v>
      </c>
      <c r="C48" t="s">
        <v>567</v>
      </c>
      <c r="D48">
        <v>46</v>
      </c>
      <c r="E48" t="str">
        <f t="shared" si="0"/>
        <v>WR</v>
      </c>
      <c r="F48">
        <f t="shared" si="1"/>
        <v>21</v>
      </c>
      <c r="G48" t="str" cm="1">
        <f t="array" ref="G48">_xlfn.LET(_xlpm.x,TRIM(B48),_xlpm.base,IFERROR(_xlfn.TEXTBEFORE(_xlpm.x,"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Xavier Worthy</v>
      </c>
    </row>
    <row r="49" spans="1:7" hidden="1" x14ac:dyDescent="0.25">
      <c r="A49">
        <v>47</v>
      </c>
      <c r="B49" t="s">
        <v>112</v>
      </c>
      <c r="C49" t="s">
        <v>570</v>
      </c>
      <c r="D49">
        <v>47</v>
      </c>
      <c r="E49" t="str">
        <f t="shared" si="0"/>
        <v>WR</v>
      </c>
      <c r="F49">
        <f t="shared" si="1"/>
        <v>22</v>
      </c>
      <c r="G49" t="str" cm="1">
        <f t="array" ref="G49">_xlfn.LET(_xlpm.x,TRIM(B49),_xlpm.base,IFERROR(_xlfn.TEXTBEFORE(_xlpm.x,"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Courtland Sutton</v>
      </c>
    </row>
    <row r="50" spans="1:7" hidden="1" x14ac:dyDescent="0.25">
      <c r="A50">
        <v>48</v>
      </c>
      <c r="B50" t="s">
        <v>266</v>
      </c>
      <c r="C50" t="s">
        <v>579</v>
      </c>
      <c r="D50">
        <v>48</v>
      </c>
      <c r="E50" t="str">
        <f t="shared" si="0"/>
        <v>RB</v>
      </c>
      <c r="F50">
        <f t="shared" si="1"/>
        <v>18</v>
      </c>
      <c r="G50" t="str" cm="1">
        <f t="array" ref="G50">_xlfn.LET(_xlpm.x,TRIM(B50),_xlpm.base,IFERROR(_xlfn.TEXTBEFORE(_xlpm.x,"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Alvin Kamara</v>
      </c>
    </row>
    <row r="51" spans="1:7" hidden="1" x14ac:dyDescent="0.25">
      <c r="A51">
        <v>49</v>
      </c>
      <c r="B51" t="s">
        <v>134</v>
      </c>
      <c r="C51" t="s">
        <v>573</v>
      </c>
      <c r="D51">
        <v>49</v>
      </c>
      <c r="E51" t="str">
        <f t="shared" si="0"/>
        <v>WR</v>
      </c>
      <c r="F51">
        <f t="shared" si="1"/>
        <v>23</v>
      </c>
      <c r="G51" t="str" cm="1">
        <f t="array" ref="G51">_xlfn.LET(_xlpm.x,TRIM(B51),_xlpm.base,IFERROR(_xlfn.TEXTBEFORE(_xlpm.x,"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DJ Moore</v>
      </c>
    </row>
    <row r="52" spans="1:7" hidden="1" x14ac:dyDescent="0.25">
      <c r="A52">
        <v>50</v>
      </c>
      <c r="B52" t="s">
        <v>111</v>
      </c>
      <c r="C52" t="s">
        <v>574</v>
      </c>
      <c r="D52">
        <v>50</v>
      </c>
      <c r="E52" t="str">
        <f t="shared" si="0"/>
        <v>WR</v>
      </c>
      <c r="F52">
        <f t="shared" si="1"/>
        <v>24</v>
      </c>
      <c r="G52" t="str" cm="1">
        <f t="array" ref="G52">_xlfn.LET(_xlpm.x,TRIM(B52),_xlpm.base,IFERROR(_xlfn.TEXTBEFORE(_xlpm.x,"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Jameson Williams</v>
      </c>
    </row>
    <row r="53" spans="1:7" hidden="1" x14ac:dyDescent="0.25">
      <c r="A53">
        <v>51</v>
      </c>
      <c r="B53" t="s">
        <v>258</v>
      </c>
      <c r="C53" t="s">
        <v>582</v>
      </c>
      <c r="D53">
        <v>51</v>
      </c>
      <c r="E53" t="str">
        <f t="shared" si="0"/>
        <v>RB</v>
      </c>
      <c r="F53">
        <f t="shared" si="1"/>
        <v>19</v>
      </c>
      <c r="G53" t="str" cm="1">
        <f t="array" ref="G53">_xlfn.LET(_xlpm.x,TRIM(B53),_xlpm.base,IFERROR(_xlfn.TEXTBEFORE(_xlpm.x,"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Chuba Hubbard</v>
      </c>
    </row>
    <row r="54" spans="1:7" hidden="1" x14ac:dyDescent="0.25">
      <c r="A54">
        <v>52</v>
      </c>
      <c r="B54" t="s">
        <v>104</v>
      </c>
      <c r="C54" t="s">
        <v>578</v>
      </c>
      <c r="D54">
        <v>52</v>
      </c>
      <c r="E54" t="str">
        <f t="shared" si="0"/>
        <v>WR</v>
      </c>
      <c r="F54">
        <f t="shared" si="1"/>
        <v>25</v>
      </c>
      <c r="G54" t="str" cm="1">
        <f t="array" ref="G54">_xlfn.LET(_xlpm.x,TRIM(B54),_xlpm.base,IFERROR(_xlfn.TEXTBEFORE(_xlpm.x,"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George Pickens</v>
      </c>
    </row>
    <row r="55" spans="1:7" hidden="1" x14ac:dyDescent="0.25">
      <c r="A55">
        <v>53</v>
      </c>
      <c r="B55" t="s">
        <v>125</v>
      </c>
      <c r="C55" t="s">
        <v>580</v>
      </c>
      <c r="D55">
        <v>53</v>
      </c>
      <c r="E55" t="str">
        <f t="shared" si="0"/>
        <v>WR</v>
      </c>
      <c r="F55">
        <f t="shared" si="1"/>
        <v>26</v>
      </c>
      <c r="G55" t="str" cm="1">
        <f t="array" ref="G55">_xlfn.LET(_xlpm.x,TRIM(B55),_xlpm.base,IFERROR(_xlfn.TEXTBEFORE(_xlpm.x,"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DK Metcalf</v>
      </c>
    </row>
    <row r="56" spans="1:7" hidden="1" x14ac:dyDescent="0.25">
      <c r="A56">
        <v>54</v>
      </c>
      <c r="B56" t="s">
        <v>216</v>
      </c>
      <c r="C56" t="s">
        <v>581</v>
      </c>
      <c r="D56">
        <v>54</v>
      </c>
      <c r="E56" t="str">
        <f t="shared" si="0"/>
        <v>WR</v>
      </c>
      <c r="F56">
        <f t="shared" si="1"/>
        <v>27</v>
      </c>
      <c r="G56" t="str" cm="1">
        <f t="array" ref="G56">_xlfn.LET(_xlpm.x,TRIM(B56),_xlpm.base,IFERROR(_xlfn.TEXTBEFORE(_xlpm.x,"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Calvin Ridley</v>
      </c>
    </row>
    <row r="57" spans="1:7" hidden="1" x14ac:dyDescent="0.25">
      <c r="A57">
        <v>55</v>
      </c>
      <c r="B57" t="s">
        <v>119</v>
      </c>
      <c r="C57" t="s">
        <v>583</v>
      </c>
      <c r="D57">
        <v>55</v>
      </c>
      <c r="E57" t="str">
        <f t="shared" si="0"/>
        <v>WR</v>
      </c>
      <c r="F57">
        <f t="shared" si="1"/>
        <v>28</v>
      </c>
      <c r="G57" t="str" cm="1">
        <f t="array" ref="G57">_xlfn.LET(_xlpm.x,TRIM(B57),_xlpm.base,IFERROR(_xlfn.TEXTBEFORE(_xlpm.x,"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DeVonta Smith</v>
      </c>
    </row>
    <row r="58" spans="1:7" hidden="1" x14ac:dyDescent="0.25">
      <c r="A58">
        <v>56</v>
      </c>
      <c r="B58" t="s">
        <v>299</v>
      </c>
      <c r="C58" t="s">
        <v>586</v>
      </c>
      <c r="D58">
        <v>56</v>
      </c>
      <c r="E58" t="str">
        <f t="shared" si="0"/>
        <v>RB</v>
      </c>
      <c r="F58">
        <f t="shared" si="1"/>
        <v>20</v>
      </c>
      <c r="G58" t="str" cm="1">
        <f t="array" ref="G58">_xlfn.LET(_xlpm.x,TRIM(B58),_xlpm.base,IFERROR(_xlfn.TEXTBEFORE(_xlpm.x,"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James Conner</v>
      </c>
    </row>
    <row r="59" spans="1:7" hidden="1" x14ac:dyDescent="0.25">
      <c r="A59">
        <v>57</v>
      </c>
      <c r="B59" t="s">
        <v>240</v>
      </c>
      <c r="C59" t="s">
        <v>587</v>
      </c>
      <c r="D59">
        <v>57</v>
      </c>
      <c r="E59" t="str">
        <f t="shared" si="0"/>
        <v>RB</v>
      </c>
      <c r="F59">
        <f t="shared" si="1"/>
        <v>21</v>
      </c>
      <c r="G59" t="str" cm="1">
        <f t="array" ref="G59">_xlfn.LET(_xlpm.x,TRIM(B59),_xlpm.base,IFERROR(_xlfn.TEXTBEFORE(_xlpm.x,"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RJ Harvey</v>
      </c>
    </row>
    <row r="60" spans="1:7" hidden="1" x14ac:dyDescent="0.25">
      <c r="A60">
        <v>58</v>
      </c>
      <c r="B60" t="s">
        <v>235</v>
      </c>
      <c r="C60" t="s">
        <v>591</v>
      </c>
      <c r="D60">
        <v>58</v>
      </c>
      <c r="E60" t="str">
        <f t="shared" si="0"/>
        <v>RB</v>
      </c>
      <c r="F60">
        <f t="shared" si="1"/>
        <v>22</v>
      </c>
      <c r="G60" t="str" cm="1">
        <f t="array" ref="G60">_xlfn.LET(_xlpm.x,TRIM(B60),_xlpm.base,IFERROR(_xlfn.TEXTBEFORE(_xlpm.x,"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D'Andre Swift</v>
      </c>
    </row>
    <row r="61" spans="1:7" hidden="1" x14ac:dyDescent="0.25">
      <c r="A61">
        <v>59</v>
      </c>
      <c r="B61" t="s">
        <v>122</v>
      </c>
      <c r="C61" t="s">
        <v>585</v>
      </c>
      <c r="D61">
        <v>59</v>
      </c>
      <c r="E61" t="str">
        <f t="shared" si="0"/>
        <v>WR</v>
      </c>
      <c r="F61">
        <f t="shared" si="1"/>
        <v>29</v>
      </c>
      <c r="G61" t="str" cm="1">
        <f t="array" ref="G61">_xlfn.LET(_xlpm.x,TRIM(B61),_xlpm.base,IFERROR(_xlfn.TEXTBEFORE(_xlpm.x,"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Emeka Egbuka</v>
      </c>
    </row>
    <row r="62" spans="1:7" hidden="1" x14ac:dyDescent="0.25">
      <c r="A62">
        <v>60</v>
      </c>
      <c r="B62" t="s">
        <v>106</v>
      </c>
      <c r="C62" t="s">
        <v>590</v>
      </c>
      <c r="D62">
        <v>60</v>
      </c>
      <c r="E62" t="str">
        <f t="shared" si="0"/>
        <v>WR</v>
      </c>
      <c r="F62">
        <f t="shared" si="1"/>
        <v>30</v>
      </c>
      <c r="G62" t="str" cm="1">
        <f t="array" ref="G62">_xlfn.LET(_xlpm.x,TRIM(B62),_xlpm.base,IFERROR(_xlfn.TEXTBEFORE(_xlpm.x,"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Zay Flowers</v>
      </c>
    </row>
    <row r="63" spans="1:7" hidden="1" x14ac:dyDescent="0.25">
      <c r="A63">
        <v>61</v>
      </c>
      <c r="B63" t="s">
        <v>123</v>
      </c>
      <c r="C63" t="s">
        <v>592</v>
      </c>
      <c r="D63">
        <v>61</v>
      </c>
      <c r="E63" t="str">
        <f t="shared" si="0"/>
        <v>WR</v>
      </c>
      <c r="F63">
        <f t="shared" si="1"/>
        <v>31</v>
      </c>
      <c r="G63" t="str" cm="1">
        <f t="array" ref="G63">_xlfn.LET(_xlpm.x,TRIM(B63),_xlpm.base,IFERROR(_xlfn.TEXTBEFORE(_xlpm.x,"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Jaylen Waddle</v>
      </c>
    </row>
    <row r="64" spans="1:7" hidden="1" x14ac:dyDescent="0.25">
      <c r="A64">
        <v>62</v>
      </c>
      <c r="B64" t="s">
        <v>243</v>
      </c>
      <c r="C64" t="s">
        <v>593</v>
      </c>
      <c r="D64">
        <v>62</v>
      </c>
      <c r="E64" t="str">
        <f t="shared" si="0"/>
        <v>RB</v>
      </c>
      <c r="F64">
        <f t="shared" si="1"/>
        <v>23</v>
      </c>
      <c r="G64" t="str" cm="1">
        <f t="array" ref="G64">_xlfn.LET(_xlpm.x,TRIM(B64),_xlpm.base,IFERROR(_xlfn.TEXTBEFORE(_xlpm.x,"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Tony Pollard</v>
      </c>
    </row>
    <row r="65" spans="1:7" hidden="1" x14ac:dyDescent="0.25">
      <c r="A65">
        <v>63</v>
      </c>
      <c r="B65" t="s">
        <v>171</v>
      </c>
      <c r="C65" t="s">
        <v>595</v>
      </c>
      <c r="D65">
        <v>63</v>
      </c>
      <c r="E65" t="str">
        <f t="shared" si="0"/>
        <v>WR</v>
      </c>
      <c r="F65">
        <f t="shared" si="1"/>
        <v>32</v>
      </c>
      <c r="G65" t="str" cm="1">
        <f t="array" ref="G65">_xlfn.LET(_xlpm.x,TRIM(B65),_xlpm.base,IFERROR(_xlfn.TEXTBEFORE(_xlpm.x,"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Ricky Pearsall</v>
      </c>
    </row>
    <row r="66" spans="1:7" hidden="1" x14ac:dyDescent="0.25">
      <c r="A66">
        <v>64</v>
      </c>
      <c r="B66" t="s">
        <v>276</v>
      </c>
      <c r="C66" t="s">
        <v>597</v>
      </c>
      <c r="D66">
        <v>64</v>
      </c>
      <c r="E66" t="str">
        <f t="shared" si="0"/>
        <v>RB</v>
      </c>
      <c r="F66">
        <f t="shared" si="1"/>
        <v>24</v>
      </c>
      <c r="G66" t="str" cm="1">
        <f t="array" ref="G66">_xlfn.LET(_xlpm.x,TRIM(B66),_xlpm.base,IFERROR(_xlfn.TEXTBEFORE(_xlpm.x,"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Isiah Pacheco</v>
      </c>
    </row>
    <row r="67" spans="1:7" hidden="1" x14ac:dyDescent="0.25">
      <c r="A67">
        <v>65</v>
      </c>
      <c r="B67" t="s">
        <v>1212</v>
      </c>
      <c r="C67" t="s">
        <v>596</v>
      </c>
      <c r="D67">
        <v>65</v>
      </c>
      <c r="E67" t="str">
        <f t="shared" si="0"/>
        <v>WR</v>
      </c>
      <c r="F67">
        <f t="shared" si="1"/>
        <v>33</v>
      </c>
      <c r="G67" t="str" cm="1">
        <f t="array" ref="G67">_xlfn.LET(_xlpm.x,TRIM(B67),_xlpm.base,IFERROR(_xlfn.TEXTBEFORE(_xlpm.x,"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Travis HunterJAC</v>
      </c>
    </row>
    <row r="68" spans="1:7" hidden="1" x14ac:dyDescent="0.25">
      <c r="A68">
        <v>66</v>
      </c>
      <c r="B68" t="s">
        <v>247</v>
      </c>
      <c r="C68" t="s">
        <v>598</v>
      </c>
      <c r="D68">
        <v>66</v>
      </c>
      <c r="E68" t="str">
        <f t="shared" ref="E68:E131" si="2">LEFT(C68,2)</f>
        <v>RB</v>
      </c>
      <c r="F68">
        <f t="shared" ref="F68:F131" si="3">VALUE(MID(C68,3,LEN(C68)))</f>
        <v>25</v>
      </c>
      <c r="G68" t="str" cm="1">
        <f t="array" ref="G68">_xlfn.LET(_xlpm.x,TRIM(B68),_xlpm.base,IFERROR(_xlfn.TEXTBEFORE(_xlpm.x,"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David Montgomery</v>
      </c>
    </row>
    <row r="69" spans="1:7" hidden="1" x14ac:dyDescent="0.25">
      <c r="A69">
        <v>67</v>
      </c>
      <c r="B69" t="s">
        <v>139</v>
      </c>
      <c r="C69" t="s">
        <v>599</v>
      </c>
      <c r="D69">
        <v>67</v>
      </c>
      <c r="E69" t="str">
        <f t="shared" si="2"/>
        <v>WR</v>
      </c>
      <c r="F69">
        <f t="shared" si="3"/>
        <v>34</v>
      </c>
      <c r="G69" t="str" cm="1">
        <f t="array" ref="G69">_xlfn.LET(_xlpm.x,TRIM(B69),_xlpm.base,IFERROR(_xlfn.TEXTBEFORE(_xlpm.x,"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Rashee Rice</v>
      </c>
    </row>
    <row r="70" spans="1:7" hidden="1" x14ac:dyDescent="0.25">
      <c r="A70">
        <v>68</v>
      </c>
      <c r="B70" t="s">
        <v>74</v>
      </c>
      <c r="C70" t="s">
        <v>551</v>
      </c>
      <c r="D70">
        <v>68</v>
      </c>
      <c r="E70" t="str">
        <f t="shared" si="2"/>
        <v>TE</v>
      </c>
      <c r="F70">
        <f t="shared" si="3"/>
        <v>4</v>
      </c>
      <c r="G70" t="str" cm="1">
        <f t="array" ref="G70">_xlfn.LET(_xlpm.x,TRIM(B70),_xlpm.base,IFERROR(_xlfn.TEXTBEFORE(_xlpm.x,"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Sam LaPorta</v>
      </c>
    </row>
    <row r="71" spans="1:7" hidden="1" x14ac:dyDescent="0.25">
      <c r="A71">
        <v>69</v>
      </c>
      <c r="B71" t="s">
        <v>342</v>
      </c>
      <c r="C71" t="s">
        <v>561</v>
      </c>
      <c r="D71">
        <v>69</v>
      </c>
      <c r="E71" t="str">
        <f t="shared" si="2"/>
        <v>QB</v>
      </c>
      <c r="F71">
        <f t="shared" si="3"/>
        <v>6</v>
      </c>
      <c r="G71" t="str" cm="1">
        <f t="array" ref="G71">_xlfn.LET(_xlpm.x,TRIM(B71),_xlpm.base,IFERROR(_xlfn.TEXTBEFORE(_xlpm.x,"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Patrick Mahomes II</v>
      </c>
    </row>
    <row r="72" spans="1:7" hidden="1" x14ac:dyDescent="0.25">
      <c r="A72">
        <v>70</v>
      </c>
      <c r="B72" t="s">
        <v>151</v>
      </c>
      <c r="C72" t="s">
        <v>600</v>
      </c>
      <c r="D72">
        <v>70</v>
      </c>
      <c r="E72" t="str">
        <f t="shared" si="2"/>
        <v>WR</v>
      </c>
      <c r="F72">
        <f t="shared" si="3"/>
        <v>35</v>
      </c>
      <c r="G72" t="str" cm="1">
        <f t="array" ref="G72">_xlfn.LET(_xlpm.x,TRIM(B72),_xlpm.base,IFERROR(_xlfn.TEXTBEFORE(_xlpm.x,"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Jerry Jeudy</v>
      </c>
    </row>
    <row r="73" spans="1:7" hidden="1" x14ac:dyDescent="0.25">
      <c r="A73">
        <v>71</v>
      </c>
      <c r="B73" t="s">
        <v>140</v>
      </c>
      <c r="C73" t="s">
        <v>603</v>
      </c>
      <c r="D73">
        <v>71</v>
      </c>
      <c r="E73" t="str">
        <f t="shared" si="2"/>
        <v>WR</v>
      </c>
      <c r="F73">
        <f t="shared" si="3"/>
        <v>36</v>
      </c>
      <c r="G73" t="str" cm="1">
        <f t="array" ref="G73">_xlfn.LET(_xlpm.x,TRIM(B73),_xlpm.base,IFERROR(_xlfn.TEXTBEFORE(_xlpm.x,"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Rome Odunze</v>
      </c>
    </row>
    <row r="74" spans="1:7" hidden="1" x14ac:dyDescent="0.25">
      <c r="A74">
        <v>72</v>
      </c>
      <c r="B74" t="s">
        <v>261</v>
      </c>
      <c r="C74" t="s">
        <v>605</v>
      </c>
      <c r="D74">
        <v>72</v>
      </c>
      <c r="E74" t="str">
        <f t="shared" si="2"/>
        <v>RB</v>
      </c>
      <c r="F74">
        <f t="shared" si="3"/>
        <v>26</v>
      </c>
      <c r="G74" t="str" cm="1">
        <f t="array" ref="G74">_xlfn.LET(_xlpm.x,TRIM(B74),_xlpm.base,IFERROR(_xlfn.TEXTBEFORE(_xlpm.x,"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Aaron Jones Sr.</v>
      </c>
    </row>
    <row r="75" spans="1:7" hidden="1" x14ac:dyDescent="0.25">
      <c r="A75">
        <v>73</v>
      </c>
      <c r="B75" t="s">
        <v>188</v>
      </c>
      <c r="C75" t="s">
        <v>610</v>
      </c>
      <c r="D75">
        <v>73</v>
      </c>
      <c r="E75" t="str">
        <f t="shared" si="2"/>
        <v>WR</v>
      </c>
      <c r="F75">
        <f t="shared" si="3"/>
        <v>37</v>
      </c>
      <c r="G75" t="str" cm="1">
        <f t="array" ref="G75">_xlfn.LET(_xlpm.x,TRIM(B75),_xlpm.base,IFERROR(_xlfn.TEXTBEFORE(_xlpm.x,"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Matthew Gol</v>
      </c>
    </row>
    <row r="76" spans="1:7" hidden="1" x14ac:dyDescent="0.25">
      <c r="A76">
        <v>74</v>
      </c>
      <c r="B76" t="s">
        <v>124</v>
      </c>
      <c r="C76" t="s">
        <v>611</v>
      </c>
      <c r="D76">
        <v>74</v>
      </c>
      <c r="E76" t="str">
        <f t="shared" si="2"/>
        <v>WR</v>
      </c>
      <c r="F76">
        <f t="shared" si="3"/>
        <v>38</v>
      </c>
      <c r="G76" t="str" cm="1">
        <f t="array" ref="G76">_xlfn.LET(_xlpm.x,TRIM(B76),_xlpm.base,IFERROR(_xlfn.TEXTBEFORE(_xlpm.x,"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Deebo Samuel Sr.</v>
      </c>
    </row>
    <row r="77" spans="1:7" hidden="1" x14ac:dyDescent="0.25">
      <c r="A77">
        <v>75</v>
      </c>
      <c r="B77" t="s">
        <v>105</v>
      </c>
      <c r="C77" t="s">
        <v>613</v>
      </c>
      <c r="D77">
        <v>75</v>
      </c>
      <c r="E77" t="str">
        <f t="shared" si="2"/>
        <v>WR</v>
      </c>
      <c r="F77">
        <f t="shared" si="3"/>
        <v>39</v>
      </c>
      <c r="G77" t="str" cm="1">
        <f t="array" ref="G77">_xlfn.LET(_xlpm.x,TRIM(B77),_xlpm.base,IFERROR(_xlfn.TEXTBEFORE(_xlpm.x,"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Chris Olave</v>
      </c>
    </row>
    <row r="78" spans="1:7" hidden="1" x14ac:dyDescent="0.25">
      <c r="A78">
        <v>76</v>
      </c>
      <c r="B78" t="s">
        <v>116</v>
      </c>
      <c r="C78" t="s">
        <v>616</v>
      </c>
      <c r="D78">
        <v>76</v>
      </c>
      <c r="E78" t="str">
        <f t="shared" si="2"/>
        <v>WR</v>
      </c>
      <c r="F78">
        <f t="shared" si="3"/>
        <v>40</v>
      </c>
      <c r="G78" t="str" cm="1">
        <f t="array" ref="G78">_xlfn.LET(_xlpm.x,TRIM(B78),_xlpm.base,IFERROR(_xlfn.TEXTBEFORE(_xlpm.x,"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Stefon Diggs</v>
      </c>
    </row>
    <row r="79" spans="1:7" hidden="1" x14ac:dyDescent="0.25">
      <c r="A79">
        <v>77</v>
      </c>
      <c r="B79" t="s">
        <v>25</v>
      </c>
      <c r="C79" t="s">
        <v>564</v>
      </c>
      <c r="D79">
        <v>77</v>
      </c>
      <c r="E79" t="str">
        <f t="shared" si="2"/>
        <v>TE</v>
      </c>
      <c r="F79">
        <f t="shared" si="3"/>
        <v>5</v>
      </c>
      <c r="G79" t="str" cm="1">
        <f t="array" ref="G79">_xlfn.LET(_xlpm.x,TRIM(B79),_xlpm.base,IFERROR(_xlfn.TEXTBEFORE(_xlpm.x,"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Travis Kelce</v>
      </c>
    </row>
    <row r="80" spans="1:7" hidden="1" x14ac:dyDescent="0.25">
      <c r="A80">
        <v>78</v>
      </c>
      <c r="B80" t="s">
        <v>248</v>
      </c>
      <c r="C80" t="s">
        <v>607</v>
      </c>
      <c r="D80">
        <v>78</v>
      </c>
      <c r="E80" t="str">
        <f t="shared" si="2"/>
        <v>RB</v>
      </c>
      <c r="F80">
        <f t="shared" si="3"/>
        <v>27</v>
      </c>
      <c r="G80" t="str" cm="1">
        <f t="array" ref="G80">_xlfn.LET(_xlpm.x,TRIM(B80),_xlpm.base,IFERROR(_xlfn.TEXTBEFORE(_xlpm.x,"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Tyrone Tracy Jr.</v>
      </c>
    </row>
    <row r="81" spans="1:7" hidden="1" x14ac:dyDescent="0.25">
      <c r="A81">
        <v>79</v>
      </c>
      <c r="B81" t="s">
        <v>1213</v>
      </c>
      <c r="C81" t="s">
        <v>608</v>
      </c>
      <c r="D81">
        <v>79</v>
      </c>
      <c r="E81" t="str">
        <f t="shared" si="2"/>
        <v>RB</v>
      </c>
      <c r="F81">
        <f t="shared" si="3"/>
        <v>28</v>
      </c>
      <c r="G81" t="str" cm="1">
        <f t="array" ref="G81">_xlfn.LET(_xlpm.x,TRIM(B81),_xlpm.base,IFERROR(_xlfn.TEXTBEFORE(_xlpm.x,"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Kaleb Johnson</v>
      </c>
    </row>
    <row r="82" spans="1:7" hidden="1" x14ac:dyDescent="0.25">
      <c r="A82">
        <v>80</v>
      </c>
      <c r="B82" t="s">
        <v>343</v>
      </c>
      <c r="C82" t="s">
        <v>572</v>
      </c>
      <c r="D82">
        <v>80</v>
      </c>
      <c r="E82" t="str">
        <f t="shared" si="2"/>
        <v>QB</v>
      </c>
      <c r="F82">
        <f t="shared" si="3"/>
        <v>7</v>
      </c>
      <c r="G82" t="str" cm="1">
        <f t="array" ref="G82">_xlfn.LET(_xlpm.x,TRIM(B82),_xlpm.base,IFERROR(_xlfn.TEXTBEFORE(_xlpm.x,"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Baker Mayfield</v>
      </c>
    </row>
    <row r="83" spans="1:7" hidden="1" x14ac:dyDescent="0.25">
      <c r="A83">
        <v>81</v>
      </c>
      <c r="B83" t="s">
        <v>131</v>
      </c>
      <c r="C83" t="s">
        <v>619</v>
      </c>
      <c r="D83">
        <v>81</v>
      </c>
      <c r="E83" t="str">
        <f t="shared" si="2"/>
        <v>WR</v>
      </c>
      <c r="F83">
        <f t="shared" si="3"/>
        <v>41</v>
      </c>
      <c r="G83" t="str" cm="1">
        <f t="array" ref="G83">_xlfn.LET(_xlpm.x,TRIM(B83),_xlpm.base,IFERROR(_xlfn.TEXTBEFORE(_xlpm.x,"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Jakobi Meyers</v>
      </c>
    </row>
    <row r="84" spans="1:7" hidden="1" x14ac:dyDescent="0.25">
      <c r="A84">
        <v>82</v>
      </c>
      <c r="B84" t="s">
        <v>338</v>
      </c>
      <c r="C84" t="s">
        <v>594</v>
      </c>
      <c r="D84">
        <v>82</v>
      </c>
      <c r="E84" t="str">
        <f t="shared" si="2"/>
        <v>QB</v>
      </c>
      <c r="F84">
        <f t="shared" si="3"/>
        <v>8</v>
      </c>
      <c r="G84" t="str" cm="1">
        <f t="array" ref="G84">_xlfn.LET(_xlpm.x,TRIM(B84),_xlpm.base,IFERROR(_xlfn.TEXTBEFORE(_xlpm.x,"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Bo Nix</v>
      </c>
    </row>
    <row r="85" spans="1:7" hidden="1" x14ac:dyDescent="0.25">
      <c r="A85">
        <v>83</v>
      </c>
      <c r="B85" t="s">
        <v>72</v>
      </c>
      <c r="C85" t="s">
        <v>577</v>
      </c>
      <c r="D85">
        <v>83</v>
      </c>
      <c r="E85" t="str">
        <f t="shared" si="2"/>
        <v>TE</v>
      </c>
      <c r="F85">
        <f t="shared" si="3"/>
        <v>6</v>
      </c>
      <c r="G85" t="str" cm="1">
        <f t="array" ref="G85">_xlfn.LET(_xlpm.x,TRIM(B85),_xlpm.base,IFERROR(_xlfn.TEXTBEFORE(_xlpm.x,"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T.J. Hockenson</v>
      </c>
    </row>
    <row r="86" spans="1:7" hidden="1" x14ac:dyDescent="0.25">
      <c r="A86">
        <v>84</v>
      </c>
      <c r="B86" t="s">
        <v>144</v>
      </c>
      <c r="C86" t="s">
        <v>622</v>
      </c>
      <c r="D86">
        <v>84</v>
      </c>
      <c r="E86" t="str">
        <f t="shared" si="2"/>
        <v>WR</v>
      </c>
      <c r="F86">
        <f t="shared" si="3"/>
        <v>42</v>
      </c>
      <c r="G86" t="str" cm="1">
        <f t="array" ref="G86">_xlfn.LET(_xlpm.x,TRIM(B86),_xlpm.base,IFERROR(_xlfn.TEXTBEFORE(_xlpm.x,"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Jordan Addison</v>
      </c>
    </row>
    <row r="87" spans="1:7" hidden="1" x14ac:dyDescent="0.25">
      <c r="A87">
        <v>85</v>
      </c>
      <c r="B87" t="s">
        <v>256</v>
      </c>
      <c r="C87" t="s">
        <v>609</v>
      </c>
      <c r="D87">
        <v>85</v>
      </c>
      <c r="E87" t="str">
        <f t="shared" si="2"/>
        <v>RB</v>
      </c>
      <c r="F87">
        <f t="shared" si="3"/>
        <v>29</v>
      </c>
      <c r="G87" t="str" cm="1">
        <f t="array" ref="G87">_xlfn.LET(_xlpm.x,TRIM(B87),_xlpm.base,IFERROR(_xlfn.TEXTBEFORE(_xlpm.x,"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Jordan Mason</v>
      </c>
    </row>
    <row r="88" spans="1:7" hidden="1" x14ac:dyDescent="0.25">
      <c r="A88">
        <v>86</v>
      </c>
      <c r="B88" t="s">
        <v>237</v>
      </c>
      <c r="C88" t="s">
        <v>614</v>
      </c>
      <c r="D88">
        <v>86</v>
      </c>
      <c r="E88" t="str">
        <f t="shared" si="2"/>
        <v>RB</v>
      </c>
      <c r="F88">
        <f t="shared" si="3"/>
        <v>30</v>
      </c>
      <c r="G88" t="str" cm="1">
        <f t="array" ref="G88">_xlfn.LET(_xlpm.x,TRIM(B88),_xlpm.base,IFERROR(_xlfn.TEXTBEFORE(_xlpm.x,"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Jaylen Warren</v>
      </c>
    </row>
    <row r="89" spans="1:7" hidden="1" x14ac:dyDescent="0.25">
      <c r="A89">
        <v>87</v>
      </c>
      <c r="B89" t="s">
        <v>27</v>
      </c>
      <c r="C89" t="s">
        <v>584</v>
      </c>
      <c r="D89">
        <v>87</v>
      </c>
      <c r="E89" t="str">
        <f t="shared" si="2"/>
        <v>TE</v>
      </c>
      <c r="F89">
        <f t="shared" si="3"/>
        <v>7</v>
      </c>
      <c r="G89" t="str" cm="1">
        <f t="array" ref="G89">_xlfn.LET(_xlpm.x,TRIM(B89),_xlpm.base,IFERROR(_xlfn.TEXTBEFORE(_xlpm.x,"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Tyler Warren</v>
      </c>
    </row>
    <row r="90" spans="1:7" hidden="1" x14ac:dyDescent="0.25">
      <c r="A90">
        <v>88</v>
      </c>
      <c r="B90" t="s">
        <v>132</v>
      </c>
      <c r="C90" t="s">
        <v>624</v>
      </c>
      <c r="D90">
        <v>88</v>
      </c>
      <c r="E90" t="str">
        <f t="shared" si="2"/>
        <v>WR</v>
      </c>
      <c r="F90">
        <f t="shared" si="3"/>
        <v>43</v>
      </c>
      <c r="G90" t="str" cm="1">
        <f t="array" ref="G90">_xlfn.LET(_xlpm.x,TRIM(B90),_xlpm.base,IFERROR(_xlfn.TEXTBEFORE(_xlpm.x,"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Jauan Jennings</v>
      </c>
    </row>
    <row r="91" spans="1:7" hidden="1" x14ac:dyDescent="0.25">
      <c r="A91">
        <v>89</v>
      </c>
      <c r="B91" t="s">
        <v>244</v>
      </c>
      <c r="C91" t="s">
        <v>618</v>
      </c>
      <c r="D91">
        <v>89</v>
      </c>
      <c r="E91" t="str">
        <f t="shared" si="2"/>
        <v>RB</v>
      </c>
      <c r="F91">
        <f t="shared" si="3"/>
        <v>31</v>
      </c>
      <c r="G91" t="str" cm="1">
        <f t="array" ref="G91">_xlfn.LET(_xlpm.x,TRIM(B91),_xlpm.base,IFERROR(_xlfn.TEXTBEFORE(_xlpm.x,"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Zach Charbonnet</v>
      </c>
    </row>
    <row r="92" spans="1:7" hidden="1" x14ac:dyDescent="0.25">
      <c r="A92">
        <v>90</v>
      </c>
      <c r="B92" t="s">
        <v>336</v>
      </c>
      <c r="C92" t="s">
        <v>601</v>
      </c>
      <c r="D92">
        <v>90</v>
      </c>
      <c r="E92" t="str">
        <f t="shared" si="2"/>
        <v>QB</v>
      </c>
      <c r="F92">
        <f t="shared" si="3"/>
        <v>9</v>
      </c>
      <c r="G92" t="str" cm="1">
        <f t="array" ref="G92">_xlfn.LET(_xlpm.x,TRIM(B92),_xlpm.base,IFERROR(_xlfn.TEXTBEFORE(_xlpm.x,"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Dak Prescott</v>
      </c>
    </row>
    <row r="93" spans="1:7" hidden="1" x14ac:dyDescent="0.25">
      <c r="A93">
        <v>91</v>
      </c>
      <c r="B93" t="s">
        <v>135</v>
      </c>
      <c r="C93" t="s">
        <v>625</v>
      </c>
      <c r="D93">
        <v>91</v>
      </c>
      <c r="E93" t="str">
        <f t="shared" si="2"/>
        <v>WR</v>
      </c>
      <c r="F93">
        <f t="shared" si="3"/>
        <v>44</v>
      </c>
      <c r="G93" t="str" cm="1">
        <f t="array" ref="G93">_xlfn.LET(_xlpm.x,TRIM(B93),_xlpm.base,IFERROR(_xlfn.TEXTBEFORE(_xlpm.x,"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Khalil Shakir</v>
      </c>
    </row>
    <row r="94" spans="1:7" hidden="1" x14ac:dyDescent="0.25">
      <c r="A94">
        <v>92</v>
      </c>
      <c r="B94" t="s">
        <v>152</v>
      </c>
      <c r="C94" t="s">
        <v>626</v>
      </c>
      <c r="D94">
        <v>92</v>
      </c>
      <c r="E94" t="str">
        <f t="shared" si="2"/>
        <v>WR</v>
      </c>
      <c r="F94">
        <f t="shared" si="3"/>
        <v>45</v>
      </c>
      <c r="G94" t="str" cm="1">
        <f t="array" ref="G94">_xlfn.LET(_xlpm.x,TRIM(B94),_xlpm.base,IFERROR(_xlfn.TEXTBEFORE(_xlpm.x,"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Cooper Kupp</v>
      </c>
    </row>
    <row r="95" spans="1:7" hidden="1" x14ac:dyDescent="0.25">
      <c r="A95">
        <v>93</v>
      </c>
      <c r="B95" t="s">
        <v>159</v>
      </c>
      <c r="C95" t="s">
        <v>631</v>
      </c>
      <c r="D95">
        <v>93</v>
      </c>
      <c r="E95" t="str">
        <f t="shared" si="2"/>
        <v>WR</v>
      </c>
      <c r="F95">
        <f t="shared" si="3"/>
        <v>46</v>
      </c>
      <c r="G95" t="str" cm="1">
        <f t="array" ref="G95">_xlfn.LET(_xlpm.x,TRIM(B95),_xlpm.base,IFERROR(_xlfn.TEXTBEFORE(_xlpm.x,"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Keon Coleman</v>
      </c>
    </row>
    <row r="96" spans="1:7" hidden="1" x14ac:dyDescent="0.25">
      <c r="A96">
        <v>94</v>
      </c>
      <c r="B96" t="s">
        <v>52</v>
      </c>
      <c r="C96" t="s">
        <v>588</v>
      </c>
      <c r="D96">
        <v>94</v>
      </c>
      <c r="E96" t="str">
        <f t="shared" si="2"/>
        <v>TE</v>
      </c>
      <c r="F96">
        <f t="shared" si="3"/>
        <v>8</v>
      </c>
      <c r="G96" t="str" cm="1">
        <f t="array" ref="G96">_xlfn.LET(_xlpm.x,TRIM(B96),_xlpm.base,IFERROR(_xlfn.TEXTBEFORE(_xlpm.x,"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Mark Andrews</v>
      </c>
    </row>
    <row r="97" spans="1:7" hidden="1" x14ac:dyDescent="0.25">
      <c r="A97">
        <v>95</v>
      </c>
      <c r="B97" t="s">
        <v>369</v>
      </c>
      <c r="C97" t="s">
        <v>602</v>
      </c>
      <c r="D97">
        <v>95</v>
      </c>
      <c r="E97" t="str">
        <f t="shared" si="2"/>
        <v>QB</v>
      </c>
      <c r="F97">
        <f t="shared" si="3"/>
        <v>10</v>
      </c>
      <c r="G97" t="str" cm="1">
        <f t="array" ref="G97">_xlfn.LET(_xlpm.x,TRIM(B97),_xlpm.base,IFERROR(_xlfn.TEXTBEFORE(_xlpm.x,"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Kyler Murray</v>
      </c>
    </row>
    <row r="98" spans="1:7" hidden="1" x14ac:dyDescent="0.25">
      <c r="A98">
        <v>96</v>
      </c>
      <c r="B98" t="s">
        <v>253</v>
      </c>
      <c r="C98" t="s">
        <v>620</v>
      </c>
      <c r="D98">
        <v>96</v>
      </c>
      <c r="E98" t="str">
        <f t="shared" si="2"/>
        <v>RB</v>
      </c>
      <c r="F98">
        <f t="shared" si="3"/>
        <v>32</v>
      </c>
      <c r="G98" t="str" cm="1">
        <f t="array" ref="G98">_xlfn.LET(_xlpm.x,TRIM(B98),_xlpm.base,IFERROR(_xlfn.TEXTBEFORE(_xlpm.x,"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Jacory Croskey-Merritt</v>
      </c>
    </row>
    <row r="99" spans="1:7" hidden="1" x14ac:dyDescent="0.25">
      <c r="A99">
        <v>97</v>
      </c>
      <c r="B99" t="s">
        <v>117</v>
      </c>
      <c r="C99" t="s">
        <v>632</v>
      </c>
      <c r="D99">
        <v>97</v>
      </c>
      <c r="E99" t="str">
        <f t="shared" si="2"/>
        <v>WR</v>
      </c>
      <c r="F99">
        <f t="shared" si="3"/>
        <v>47</v>
      </c>
      <c r="G99" t="str" cm="1">
        <f t="array" ref="G99">_xlfn.LET(_xlpm.x,TRIM(B99),_xlpm.base,IFERROR(_xlfn.TEXTBEFORE(_xlpm.x,"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Michael Pittman Jr.</v>
      </c>
    </row>
    <row r="100" spans="1:7" hidden="1" x14ac:dyDescent="0.25">
      <c r="A100">
        <v>98</v>
      </c>
      <c r="B100" t="s">
        <v>263</v>
      </c>
      <c r="C100" t="s">
        <v>621</v>
      </c>
      <c r="D100">
        <v>98</v>
      </c>
      <c r="E100" t="str">
        <f t="shared" si="2"/>
        <v>RB</v>
      </c>
      <c r="F100">
        <f t="shared" si="3"/>
        <v>33</v>
      </c>
      <c r="G100" t="str" cm="1">
        <f t="array" ref="G100">_xlfn.LET(_xlpm.x,TRIM(B100),_xlpm.base,IFERROR(_xlfn.TEXTBEFORE(_xlpm.x,"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J.K. Dobbins</v>
      </c>
    </row>
    <row r="101" spans="1:7" hidden="1" x14ac:dyDescent="0.25">
      <c r="A101">
        <v>99</v>
      </c>
      <c r="B101" t="s">
        <v>77</v>
      </c>
      <c r="C101" t="s">
        <v>589</v>
      </c>
      <c r="D101">
        <v>99</v>
      </c>
      <c r="E101" t="str">
        <f t="shared" si="2"/>
        <v>TE</v>
      </c>
      <c r="F101">
        <f t="shared" si="3"/>
        <v>9</v>
      </c>
      <c r="G101" t="str" cm="1">
        <f t="array" ref="G101">_xlfn.LET(_xlpm.x,TRIM(B101),_xlpm.base,IFERROR(_xlfn.TEXTBEFORE(_xlpm.x,"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Evan Engram</v>
      </c>
    </row>
    <row r="102" spans="1:7" hidden="1" x14ac:dyDescent="0.25">
      <c r="A102">
        <v>100</v>
      </c>
      <c r="B102" t="s">
        <v>230</v>
      </c>
      <c r="C102" t="s">
        <v>623</v>
      </c>
      <c r="D102">
        <v>100</v>
      </c>
      <c r="E102" t="str">
        <f t="shared" si="2"/>
        <v>RB</v>
      </c>
      <c r="F102">
        <f t="shared" si="3"/>
        <v>34</v>
      </c>
      <c r="G102" t="str" cm="1">
        <f t="array" ref="G102">_xlfn.LET(_xlpm.x,TRIM(B102),_xlpm.base,IFERROR(_xlfn.TEXTBEFORE(_xlpm.x,"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Travis Etienne Jr.</v>
      </c>
    </row>
    <row r="103" spans="1:7" hidden="1" x14ac:dyDescent="0.25">
      <c r="A103">
        <v>101</v>
      </c>
      <c r="B103" t="s">
        <v>355</v>
      </c>
      <c r="C103" t="s">
        <v>604</v>
      </c>
      <c r="D103">
        <v>101</v>
      </c>
      <c r="E103" t="str">
        <f t="shared" si="2"/>
        <v>QB</v>
      </c>
      <c r="F103">
        <f t="shared" si="3"/>
        <v>11</v>
      </c>
      <c r="G103" t="str" cm="1">
        <f t="array" ref="G103">_xlfn.LET(_xlpm.x,TRIM(B103),_xlpm.base,IFERROR(_xlfn.TEXTBEFORE(_xlpm.x,"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Brock Purdy</v>
      </c>
    </row>
    <row r="104" spans="1:7" hidden="1" x14ac:dyDescent="0.25">
      <c r="A104">
        <v>102</v>
      </c>
      <c r="B104" t="s">
        <v>143</v>
      </c>
      <c r="C104" t="s">
        <v>634</v>
      </c>
      <c r="D104">
        <v>102</v>
      </c>
      <c r="E104" t="str">
        <f t="shared" si="2"/>
        <v>WR</v>
      </c>
      <c r="F104">
        <f t="shared" si="3"/>
        <v>48</v>
      </c>
      <c r="G104" t="str" cm="1">
        <f t="array" ref="G104">_xlfn.LET(_xlpm.x,TRIM(B104),_xlpm.base,IFERROR(_xlfn.TEXTBEFORE(_xlpm.x,"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Josh Downs</v>
      </c>
    </row>
    <row r="105" spans="1:7" hidden="1" x14ac:dyDescent="0.25">
      <c r="A105">
        <v>103</v>
      </c>
      <c r="B105" t="s">
        <v>337</v>
      </c>
      <c r="C105" t="s">
        <v>615</v>
      </c>
      <c r="D105">
        <v>103</v>
      </c>
      <c r="E105" t="str">
        <f t="shared" si="2"/>
        <v>QB</v>
      </c>
      <c r="F105">
        <f t="shared" si="3"/>
        <v>12</v>
      </c>
      <c r="G105" t="str" cm="1">
        <f t="array" ref="G105">_xlfn.LET(_xlpm.x,TRIM(B105),_xlpm.base,IFERROR(_xlfn.TEXTBEFORE(_xlpm.x,"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Caleb Williams</v>
      </c>
    </row>
    <row r="106" spans="1:7" hidden="1" x14ac:dyDescent="0.25">
      <c r="A106">
        <v>104</v>
      </c>
      <c r="B106" t="s">
        <v>359</v>
      </c>
      <c r="C106" t="s">
        <v>630</v>
      </c>
      <c r="D106">
        <v>104</v>
      </c>
      <c r="E106" t="str">
        <f t="shared" si="2"/>
        <v>QB</v>
      </c>
      <c r="F106">
        <f t="shared" si="3"/>
        <v>13</v>
      </c>
      <c r="G106" t="str" cm="1">
        <f t="array" ref="G106">_xlfn.LET(_xlpm.x,TRIM(B106),_xlpm.base,IFERROR(_xlfn.TEXTBEFORE(_xlpm.x,"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Justin Fields</v>
      </c>
    </row>
    <row r="107" spans="1:7" hidden="1" x14ac:dyDescent="0.25">
      <c r="A107">
        <v>105</v>
      </c>
      <c r="B107" t="s">
        <v>339</v>
      </c>
      <c r="C107" t="s">
        <v>640</v>
      </c>
      <c r="D107">
        <v>105</v>
      </c>
      <c r="E107" t="str">
        <f t="shared" si="2"/>
        <v>QB</v>
      </c>
      <c r="F107">
        <f t="shared" si="3"/>
        <v>14</v>
      </c>
      <c r="G107" t="str" cm="1">
        <f t="array" ref="G107">_xlfn.LET(_xlpm.x,TRIM(B107),_xlpm.base,IFERROR(_xlfn.TEXTBEFORE(_xlpm.x,"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Jared Goff</v>
      </c>
    </row>
    <row r="108" spans="1:7" hidden="1" x14ac:dyDescent="0.25">
      <c r="A108">
        <v>106</v>
      </c>
      <c r="B108" t="s">
        <v>85</v>
      </c>
      <c r="C108" t="s">
        <v>606</v>
      </c>
      <c r="D108">
        <v>106</v>
      </c>
      <c r="E108" t="str">
        <f t="shared" si="2"/>
        <v>TE</v>
      </c>
      <c r="F108">
        <f t="shared" si="3"/>
        <v>10</v>
      </c>
      <c r="G108" t="str" cm="1">
        <f t="array" ref="G108">_xlfn.LET(_xlpm.x,TRIM(B108),_xlpm.base,IFERROR(_xlfn.TEXTBEFORE(_xlpm.x,"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David Njoku</v>
      </c>
    </row>
    <row r="109" spans="1:7" hidden="1" x14ac:dyDescent="0.25">
      <c r="A109">
        <v>107</v>
      </c>
      <c r="B109" t="s">
        <v>68</v>
      </c>
      <c r="C109" t="s">
        <v>612</v>
      </c>
      <c r="D109">
        <v>107</v>
      </c>
      <c r="E109" t="str">
        <f t="shared" si="2"/>
        <v>TE</v>
      </c>
      <c r="F109">
        <f t="shared" si="3"/>
        <v>11</v>
      </c>
      <c r="G109" t="str" cm="1">
        <f t="array" ref="G109">_xlfn.LET(_xlpm.x,TRIM(B109),_xlpm.base,IFERROR(_xlfn.TEXTBEFORE(_xlpm.x,"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Tucker Kraft</v>
      </c>
    </row>
    <row r="110" spans="1:7" hidden="1" x14ac:dyDescent="0.25">
      <c r="A110">
        <v>108</v>
      </c>
      <c r="B110" t="s">
        <v>214</v>
      </c>
      <c r="C110" t="s">
        <v>635</v>
      </c>
      <c r="D110">
        <v>108</v>
      </c>
      <c r="E110" t="str">
        <f t="shared" si="2"/>
        <v>WR</v>
      </c>
      <c r="F110">
        <f t="shared" si="3"/>
        <v>49</v>
      </c>
      <c r="G110" t="str" cm="1">
        <f t="array" ref="G110">_xlfn.LET(_xlpm.x,TRIM(B110),_xlpm.base,IFERROR(_xlfn.TEXTBEFORE(_xlpm.x,"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Jayden Reed</v>
      </c>
    </row>
    <row r="111" spans="1:7" hidden="1" x14ac:dyDescent="0.25">
      <c r="A111">
        <v>109</v>
      </c>
      <c r="B111" t="s">
        <v>177</v>
      </c>
      <c r="C111" t="s">
        <v>643</v>
      </c>
      <c r="D111">
        <v>109</v>
      </c>
      <c r="E111" t="str">
        <f t="shared" si="2"/>
        <v>WR</v>
      </c>
      <c r="F111">
        <f t="shared" si="3"/>
        <v>50</v>
      </c>
      <c r="G111" t="str" cm="1">
        <f t="array" ref="G111">_xlfn.LET(_xlpm.x,TRIM(B111),_xlpm.base,IFERROR(_xlfn.TEXTBEFORE(_xlpm.x,"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Chris Godwin Jr.</v>
      </c>
    </row>
    <row r="112" spans="1:7" hidden="1" x14ac:dyDescent="0.25">
      <c r="A112">
        <v>110</v>
      </c>
      <c r="B112" t="s">
        <v>44</v>
      </c>
      <c r="C112" t="s">
        <v>617</v>
      </c>
      <c r="D112">
        <v>110</v>
      </c>
      <c r="E112" t="str">
        <f t="shared" si="2"/>
        <v>TE</v>
      </c>
      <c r="F112">
        <f t="shared" si="3"/>
        <v>12</v>
      </c>
      <c r="G112" t="str" cm="1">
        <f t="array" ref="G112">_xlfn.LET(_xlpm.x,TRIM(B112),_xlpm.base,IFERROR(_xlfn.TEXTBEFORE(_xlpm.x,"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Colston Loveland</v>
      </c>
    </row>
    <row r="113" spans="1:7" hidden="1" x14ac:dyDescent="0.25">
      <c r="A113">
        <v>111</v>
      </c>
      <c r="B113" t="s">
        <v>333</v>
      </c>
      <c r="C113" t="s">
        <v>641</v>
      </c>
      <c r="D113">
        <v>111</v>
      </c>
      <c r="E113" t="str">
        <f t="shared" si="2"/>
        <v>QB</v>
      </c>
      <c r="F113">
        <f t="shared" si="3"/>
        <v>15</v>
      </c>
      <c r="G113" t="str" cm="1">
        <f t="array" ref="G113">_xlfn.LET(_xlpm.x,TRIM(B113),_xlpm.base,IFERROR(_xlfn.TEXTBEFORE(_xlpm.x,"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Drake Maye</v>
      </c>
    </row>
    <row r="114" spans="1:7" hidden="1" x14ac:dyDescent="0.25">
      <c r="A114">
        <v>112</v>
      </c>
      <c r="B114" t="s">
        <v>232</v>
      </c>
      <c r="C114" t="s">
        <v>628</v>
      </c>
      <c r="D114">
        <v>112</v>
      </c>
      <c r="E114" t="str">
        <f t="shared" si="2"/>
        <v>RB</v>
      </c>
      <c r="F114">
        <f t="shared" si="3"/>
        <v>35</v>
      </c>
      <c r="G114" t="str" cm="1">
        <f t="array" ref="G114">_xlfn.LET(_xlpm.x,TRIM(B114),_xlpm.base,IFERROR(_xlfn.TEXTBEFORE(_xlpm.x,"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Javonte Williams</v>
      </c>
    </row>
    <row r="115" spans="1:7" hidden="1" x14ac:dyDescent="0.25">
      <c r="A115">
        <v>113</v>
      </c>
      <c r="B115" t="s">
        <v>257</v>
      </c>
      <c r="C115" t="s">
        <v>629</v>
      </c>
      <c r="D115">
        <v>113</v>
      </c>
      <c r="E115" t="str">
        <f t="shared" si="2"/>
        <v>RB</v>
      </c>
      <c r="F115">
        <f t="shared" si="3"/>
        <v>36</v>
      </c>
      <c r="G115" t="str" cm="1">
        <f t="array" ref="G115">_xlfn.LET(_xlpm.x,TRIM(B115),_xlpm.base,IFERROR(_xlfn.TEXTBEFORE(_xlpm.x,"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Cam Skattebo</v>
      </c>
    </row>
    <row r="116" spans="1:7" hidden="1" x14ac:dyDescent="0.25">
      <c r="A116">
        <v>114</v>
      </c>
      <c r="B116" t="s">
        <v>138</v>
      </c>
      <c r="C116" t="s">
        <v>645</v>
      </c>
      <c r="D116">
        <v>114</v>
      </c>
      <c r="E116" t="str">
        <f t="shared" si="2"/>
        <v>WR</v>
      </c>
      <c r="F116">
        <f t="shared" si="3"/>
        <v>51</v>
      </c>
      <c r="G116" t="str" cm="1">
        <f t="array" ref="G116">_xlfn.LET(_xlpm.x,TRIM(B116),_xlpm.base,IFERROR(_xlfn.TEXTBEFORE(_xlpm.x,"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Rashid Shaheed</v>
      </c>
    </row>
    <row r="117" spans="1:7" hidden="1" x14ac:dyDescent="0.25">
      <c r="A117">
        <v>115</v>
      </c>
      <c r="B117" t="s">
        <v>341</v>
      </c>
      <c r="C117" t="s">
        <v>644</v>
      </c>
      <c r="D117">
        <v>115</v>
      </c>
      <c r="E117" t="str">
        <f t="shared" si="2"/>
        <v>QB</v>
      </c>
      <c r="F117">
        <f t="shared" si="3"/>
        <v>16</v>
      </c>
      <c r="G117" t="str" cm="1">
        <f t="array" ref="G117">_xlfn.LET(_xlpm.x,TRIM(B117),_xlpm.base,IFERROR(_xlfn.TEXTBEFORE(_xlpm.x,"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Justin Herbert</v>
      </c>
    </row>
    <row r="118" spans="1:7" hidden="1" x14ac:dyDescent="0.25">
      <c r="A118">
        <v>116</v>
      </c>
      <c r="B118" t="s">
        <v>178</v>
      </c>
      <c r="C118" t="s">
        <v>647</v>
      </c>
      <c r="D118">
        <v>116</v>
      </c>
      <c r="E118" t="str">
        <f t="shared" si="2"/>
        <v>WR</v>
      </c>
      <c r="F118">
        <f t="shared" si="3"/>
        <v>52</v>
      </c>
      <c r="G118" t="str" cm="1">
        <f t="array" ref="G118">_xlfn.LET(_xlpm.x,TRIM(B118),_xlpm.base,IFERROR(_xlfn.TEXTBEFORE(_xlpm.x,"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Darnell Mooney</v>
      </c>
    </row>
    <row r="119" spans="1:7" hidden="1" x14ac:dyDescent="0.25">
      <c r="A119">
        <v>117</v>
      </c>
      <c r="B119" t="s">
        <v>146</v>
      </c>
      <c r="C119" t="s">
        <v>651</v>
      </c>
      <c r="D119">
        <v>117</v>
      </c>
      <c r="E119" t="str">
        <f t="shared" si="2"/>
        <v>WR</v>
      </c>
      <c r="F119">
        <f t="shared" si="3"/>
        <v>53</v>
      </c>
      <c r="G119" t="str" cm="1">
        <f t="array" ref="G119">_xlfn.LET(_xlpm.x,TRIM(B119),_xlpm.base,IFERROR(_xlfn.TEXTBEFORE(_xlpm.x,"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Jayden Higgins</v>
      </c>
    </row>
    <row r="120" spans="1:7" hidden="1" x14ac:dyDescent="0.25">
      <c r="A120">
        <v>118</v>
      </c>
      <c r="B120" t="s">
        <v>318</v>
      </c>
      <c r="C120" t="s">
        <v>633</v>
      </c>
      <c r="D120">
        <v>118</v>
      </c>
      <c r="E120" t="str">
        <f t="shared" si="2"/>
        <v>RB</v>
      </c>
      <c r="F120">
        <f t="shared" si="3"/>
        <v>37</v>
      </c>
      <c r="G120" t="str" cm="1">
        <f t="array" ref="G120">_xlfn.LET(_xlpm.x,TRIM(B120),_xlpm.base,IFERROR(_xlfn.TEXTBEFORE(_xlpm.x,"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Braelon Allen</v>
      </c>
    </row>
    <row r="121" spans="1:7" hidden="1" x14ac:dyDescent="0.25">
      <c r="A121">
        <v>119</v>
      </c>
      <c r="B121" t="s">
        <v>128</v>
      </c>
      <c r="C121" t="s">
        <v>654</v>
      </c>
      <c r="D121">
        <v>119</v>
      </c>
      <c r="E121" t="str">
        <f t="shared" si="2"/>
        <v>WR</v>
      </c>
      <c r="F121">
        <f t="shared" si="3"/>
        <v>54</v>
      </c>
      <c r="G121" t="str" cm="1">
        <f t="array" ref="G121">_xlfn.LET(_xlpm.x,TRIM(B121),_xlpm.base,IFERROR(_xlfn.TEXTBEFORE(_xlpm.x,"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Keenan Allen</v>
      </c>
    </row>
    <row r="122" spans="1:7" hidden="1" x14ac:dyDescent="0.25">
      <c r="A122">
        <v>120</v>
      </c>
      <c r="B122" t="s">
        <v>289</v>
      </c>
      <c r="C122" t="s">
        <v>637</v>
      </c>
      <c r="D122">
        <v>120</v>
      </c>
      <c r="E122" t="str">
        <f t="shared" si="2"/>
        <v>RB</v>
      </c>
      <c r="F122">
        <f t="shared" si="3"/>
        <v>38</v>
      </c>
      <c r="G122" t="str" cm="1">
        <f t="array" ref="G122">_xlfn.LET(_xlpm.x,TRIM(B122),_xlpm.base,IFERROR(_xlfn.TEXTBEFORE(_xlpm.x,"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Tank Bigsby</v>
      </c>
    </row>
    <row r="123" spans="1:7" hidden="1" x14ac:dyDescent="0.25">
      <c r="A123">
        <v>121</v>
      </c>
      <c r="B123" t="s">
        <v>200</v>
      </c>
      <c r="C123" t="s">
        <v>658</v>
      </c>
      <c r="D123">
        <v>121</v>
      </c>
      <c r="E123" t="str">
        <f t="shared" si="2"/>
        <v>WR</v>
      </c>
      <c r="F123">
        <f t="shared" si="3"/>
        <v>55</v>
      </c>
      <c r="G123" t="str" cm="1">
        <f t="array" ref="G123">_xlfn.LET(_xlpm.x,TRIM(B123),_xlpm.base,IFERROR(_xlfn.TEXTBEFORE(_xlpm.x,"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Christian Kirk</v>
      </c>
    </row>
    <row r="124" spans="1:7" hidden="1" x14ac:dyDescent="0.25">
      <c r="A124">
        <v>122</v>
      </c>
      <c r="B124" t="s">
        <v>165</v>
      </c>
      <c r="C124" t="s">
        <v>660</v>
      </c>
      <c r="D124">
        <v>122</v>
      </c>
      <c r="E124" t="str">
        <f t="shared" si="2"/>
        <v>WR</v>
      </c>
      <c r="F124">
        <f t="shared" si="3"/>
        <v>56</v>
      </c>
      <c r="G124" t="str" cm="1">
        <f t="array" ref="G124">_xlfn.LET(_xlpm.x,TRIM(B124),_xlpm.base,IFERROR(_xlfn.TEXTBEFORE(_xlpm.x,"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Marvin Mims Jr.</v>
      </c>
    </row>
    <row r="125" spans="1:7" hidden="1" x14ac:dyDescent="0.25">
      <c r="A125">
        <v>123</v>
      </c>
      <c r="B125" t="s">
        <v>361</v>
      </c>
      <c r="C125" t="s">
        <v>646</v>
      </c>
      <c r="D125">
        <v>123</v>
      </c>
      <c r="E125" t="str">
        <f t="shared" si="2"/>
        <v>QB</v>
      </c>
      <c r="F125">
        <f t="shared" si="3"/>
        <v>17</v>
      </c>
      <c r="G125" t="str" cm="1">
        <f t="array" ref="G125">_xlfn.LET(_xlpm.x,TRIM(B125),_xlpm.base,IFERROR(_xlfn.TEXTBEFORE(_xlpm.x,"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J.J. McCarthy</v>
      </c>
    </row>
    <row r="126" spans="1:7" hidden="1" x14ac:dyDescent="0.25">
      <c r="A126">
        <v>124</v>
      </c>
      <c r="B126" t="s">
        <v>352</v>
      </c>
      <c r="C126" t="s">
        <v>649</v>
      </c>
      <c r="D126">
        <v>124</v>
      </c>
      <c r="E126" t="str">
        <f t="shared" si="2"/>
        <v>QB</v>
      </c>
      <c r="F126">
        <f t="shared" si="3"/>
        <v>18</v>
      </c>
      <c r="G126" t="str" cm="1">
        <f t="array" ref="G126">_xlfn.LET(_xlpm.x,TRIM(B126),_xlpm.base,IFERROR(_xlfn.TEXTBEFORE(_xlpm.x,"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C.J. Stroud</v>
      </c>
    </row>
    <row r="127" spans="1:7" hidden="1" x14ac:dyDescent="0.25">
      <c r="A127">
        <v>125</v>
      </c>
      <c r="B127" t="s">
        <v>245</v>
      </c>
      <c r="C127" t="s">
        <v>638</v>
      </c>
      <c r="D127">
        <v>125</v>
      </c>
      <c r="E127" t="str">
        <f t="shared" si="2"/>
        <v>RB</v>
      </c>
      <c r="F127">
        <f t="shared" si="3"/>
        <v>39</v>
      </c>
      <c r="G127" t="str" cm="1">
        <f t="array" ref="G127">_xlfn.LET(_xlpm.x,TRIM(B127),_xlpm.base,IFERROR(_xlfn.TEXTBEFORE(_xlpm.x,"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Rhamondre Stevenson</v>
      </c>
    </row>
    <row r="128" spans="1:7" hidden="1" x14ac:dyDescent="0.25">
      <c r="A128">
        <v>126</v>
      </c>
      <c r="B128" t="s">
        <v>346</v>
      </c>
      <c r="C128" t="s">
        <v>657</v>
      </c>
      <c r="D128">
        <v>126</v>
      </c>
      <c r="E128" t="str">
        <f t="shared" si="2"/>
        <v>QB</v>
      </c>
      <c r="F128">
        <f t="shared" si="3"/>
        <v>19</v>
      </c>
      <c r="G128" t="str" cm="1">
        <f t="array" ref="G128">_xlfn.LET(_xlpm.x,TRIM(B128),_xlpm.base,IFERROR(_xlfn.TEXTBEFORE(_xlpm.x,"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Jordan Love</v>
      </c>
    </row>
    <row r="129" spans="1:7" hidden="1" x14ac:dyDescent="0.25">
      <c r="A129">
        <v>127</v>
      </c>
      <c r="B129" t="s">
        <v>335</v>
      </c>
      <c r="C129" t="s">
        <v>659</v>
      </c>
      <c r="D129">
        <v>127</v>
      </c>
      <c r="E129" t="str">
        <f t="shared" si="2"/>
        <v>QB</v>
      </c>
      <c r="F129">
        <f t="shared" si="3"/>
        <v>20</v>
      </c>
      <c r="G129" t="str" cm="1">
        <f t="array" ref="G129">_xlfn.LET(_xlpm.x,TRIM(B129),_xlpm.base,IFERROR(_xlfn.TEXTBEFORE(_xlpm.x,"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Trevor Lawrence</v>
      </c>
    </row>
    <row r="130" spans="1:7" hidden="1" x14ac:dyDescent="0.25">
      <c r="A130">
        <v>128</v>
      </c>
      <c r="B130" t="s">
        <v>283</v>
      </c>
      <c r="C130" t="s">
        <v>639</v>
      </c>
      <c r="D130">
        <v>128</v>
      </c>
      <c r="E130" t="str">
        <f t="shared" si="2"/>
        <v>RB</v>
      </c>
      <c r="F130">
        <f t="shared" si="3"/>
        <v>40</v>
      </c>
      <c r="G130" t="str" cm="1">
        <f t="array" ref="G130">_xlfn.LET(_xlpm.x,TRIM(B130),_xlpm.base,IFERROR(_xlfn.TEXTBEFORE(_xlpm.x,"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Brian Robinson Jr.</v>
      </c>
    </row>
    <row r="131" spans="1:7" hidden="1" x14ac:dyDescent="0.25">
      <c r="A131">
        <v>129</v>
      </c>
      <c r="B131" t="s">
        <v>147</v>
      </c>
      <c r="C131" t="s">
        <v>662</v>
      </c>
      <c r="D131">
        <v>129</v>
      </c>
      <c r="E131" t="str">
        <f t="shared" si="2"/>
        <v>WR</v>
      </c>
      <c r="F131">
        <f t="shared" si="3"/>
        <v>57</v>
      </c>
      <c r="G131" t="str" cm="1">
        <f t="array" ref="G131">_xlfn.LET(_xlpm.x,TRIM(B131),_xlpm.base,IFERROR(_xlfn.TEXTBEFORE(_xlpm.x,"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Luther Burden III</v>
      </c>
    </row>
    <row r="132" spans="1:7" hidden="1" x14ac:dyDescent="0.25">
      <c r="A132">
        <v>130</v>
      </c>
      <c r="B132" t="s">
        <v>60</v>
      </c>
      <c r="C132" t="s">
        <v>627</v>
      </c>
      <c r="D132">
        <v>130</v>
      </c>
      <c r="E132" t="str">
        <f t="shared" ref="E132:E195" si="4">LEFT(C132,2)</f>
        <v>TE</v>
      </c>
      <c r="F132">
        <f t="shared" ref="F132:F195" si="5">VALUE(MID(C132,3,LEN(C132)))</f>
        <v>13</v>
      </c>
      <c r="G132" t="str" cm="1">
        <f t="array" ref="G132">_xlfn.LET(_xlpm.x,TRIM(B132),_xlpm.base,IFERROR(_xlfn.TEXTBEFORE(_xlpm.x,"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Dalton Kincaid</v>
      </c>
    </row>
    <row r="133" spans="1:7" hidden="1" x14ac:dyDescent="0.25">
      <c r="A133">
        <v>131</v>
      </c>
      <c r="B133" t="s">
        <v>29</v>
      </c>
      <c r="C133" t="s">
        <v>636</v>
      </c>
      <c r="D133">
        <v>131</v>
      </c>
      <c r="E133" t="str">
        <f t="shared" si="4"/>
        <v>TE</v>
      </c>
      <c r="F133">
        <f t="shared" si="5"/>
        <v>14</v>
      </c>
      <c r="G133" t="str" cm="1">
        <f t="array" ref="G133">_xlfn.LET(_xlpm.x,TRIM(B133),_xlpm.base,IFERROR(_xlfn.TEXTBEFORE(_xlpm.x,"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Jake Ferguson</v>
      </c>
    </row>
    <row r="134" spans="1:7" hidden="1" x14ac:dyDescent="0.25">
      <c r="A134">
        <v>132</v>
      </c>
      <c r="B134" t="s">
        <v>312</v>
      </c>
      <c r="C134" t="s">
        <v>648</v>
      </c>
      <c r="D134">
        <v>132</v>
      </c>
      <c r="E134" t="str">
        <f t="shared" si="4"/>
        <v>RB</v>
      </c>
      <c r="F134">
        <f t="shared" si="5"/>
        <v>41</v>
      </c>
      <c r="G134" t="str" cm="1">
        <f t="array" ref="G134">_xlfn.LET(_xlpm.x,TRIM(B134),_xlpm.base,IFERROR(_xlfn.TEXTBEFORE(_xlpm.x,"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Jaydon Blue</v>
      </c>
    </row>
    <row r="135" spans="1:7" hidden="1" x14ac:dyDescent="0.25">
      <c r="A135">
        <v>133</v>
      </c>
      <c r="B135" t="s">
        <v>389</v>
      </c>
      <c r="C135" t="s">
        <v>650</v>
      </c>
      <c r="D135">
        <v>133</v>
      </c>
      <c r="E135" t="str">
        <f t="shared" si="4"/>
        <v>RB</v>
      </c>
      <c r="F135">
        <f t="shared" si="5"/>
        <v>42</v>
      </c>
      <c r="G135" t="str" cm="1">
        <f t="array" ref="G135">_xlfn.LET(_xlpm.x,TRIM(B135),_xlpm.base,IFERROR(_xlfn.TEXTBEFORE(_xlpm.x,"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Joe Mixon</v>
      </c>
    </row>
    <row r="136" spans="1:7" hidden="1" x14ac:dyDescent="0.25">
      <c r="A136">
        <v>134</v>
      </c>
      <c r="B136" t="s">
        <v>202</v>
      </c>
      <c r="C136" t="s">
        <v>666</v>
      </c>
      <c r="D136">
        <v>134</v>
      </c>
      <c r="E136" t="str">
        <f t="shared" si="4"/>
        <v>WR</v>
      </c>
      <c r="F136">
        <f t="shared" si="5"/>
        <v>58</v>
      </c>
      <c r="G136" t="str" cm="1">
        <f t="array" ref="G136">_xlfn.LET(_xlpm.x,TRIM(B136),_xlpm.base,IFERROR(_xlfn.TEXTBEFORE(_xlpm.x,"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Rashod Bateman</v>
      </c>
    </row>
    <row r="137" spans="1:7" hidden="1" x14ac:dyDescent="0.25">
      <c r="A137">
        <v>135</v>
      </c>
      <c r="B137" t="s">
        <v>298</v>
      </c>
      <c r="C137" t="s">
        <v>652</v>
      </c>
      <c r="D137">
        <v>135</v>
      </c>
      <c r="E137" t="str">
        <f t="shared" si="4"/>
        <v>RB</v>
      </c>
      <c r="F137">
        <f t="shared" si="5"/>
        <v>43</v>
      </c>
      <c r="G137" t="str" cm="1">
        <f t="array" ref="G137">_xlfn.LET(_xlpm.x,TRIM(B137),_xlpm.base,IFERROR(_xlfn.TEXTBEFORE(_xlpm.x,"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Trey Benson</v>
      </c>
    </row>
    <row r="138" spans="1:7" hidden="1" x14ac:dyDescent="0.25">
      <c r="A138">
        <v>136</v>
      </c>
      <c r="B138" t="s">
        <v>246</v>
      </c>
      <c r="C138" t="s">
        <v>653</v>
      </c>
      <c r="D138">
        <v>136</v>
      </c>
      <c r="E138" t="str">
        <f t="shared" si="4"/>
        <v>RB</v>
      </c>
      <c r="F138">
        <f t="shared" si="5"/>
        <v>44</v>
      </c>
      <c r="G138" t="str" cm="1">
        <f t="array" ref="G138">_xlfn.LET(_xlpm.x,TRIM(B138),_xlpm.base,IFERROR(_xlfn.TEXTBEFORE(_xlpm.x,"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Quinshon Judkins</v>
      </c>
    </row>
    <row r="139" spans="1:7" hidden="1" x14ac:dyDescent="0.25">
      <c r="A139">
        <v>137</v>
      </c>
      <c r="B139" t="s">
        <v>273</v>
      </c>
      <c r="C139" t="s">
        <v>656</v>
      </c>
      <c r="D139">
        <v>137</v>
      </c>
      <c r="E139" t="str">
        <f t="shared" si="4"/>
        <v>RB</v>
      </c>
      <c r="F139">
        <f t="shared" si="5"/>
        <v>45</v>
      </c>
      <c r="G139" t="str" cm="1">
        <f t="array" ref="G139">_xlfn.LET(_xlpm.x,TRIM(B139),_xlpm.base,IFERROR(_xlfn.TEXTBEFORE(_xlpm.x,"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Bhayshul Tu</v>
      </c>
    </row>
    <row r="140" spans="1:7" hidden="1" x14ac:dyDescent="0.25">
      <c r="A140">
        <v>138</v>
      </c>
      <c r="B140" t="s">
        <v>274</v>
      </c>
      <c r="C140" t="s">
        <v>661</v>
      </c>
      <c r="D140">
        <v>138</v>
      </c>
      <c r="E140" t="str">
        <f t="shared" si="4"/>
        <v>RB</v>
      </c>
      <c r="F140">
        <f t="shared" si="5"/>
        <v>46</v>
      </c>
      <c r="G140" t="str" cm="1">
        <f t="array" ref="G140">_xlfn.LET(_xlpm.x,TRIM(B140),_xlpm.base,IFERROR(_xlfn.TEXTBEFORE(_xlpm.x,"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Nick Chubb</v>
      </c>
    </row>
    <row r="141" spans="1:7" hidden="1" x14ac:dyDescent="0.25">
      <c r="A141">
        <v>139</v>
      </c>
      <c r="B141" t="s">
        <v>23</v>
      </c>
      <c r="C141" t="s">
        <v>642</v>
      </c>
      <c r="D141">
        <v>139</v>
      </c>
      <c r="E141" t="str">
        <f t="shared" si="4"/>
        <v>TE</v>
      </c>
      <c r="F141">
        <f t="shared" si="5"/>
        <v>15</v>
      </c>
      <c r="G141" t="str" cm="1">
        <f t="array" ref="G141">_xlfn.LET(_xlpm.x,TRIM(B141),_xlpm.base,IFERROR(_xlfn.TEXTBEFORE(_xlpm.x,"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Kyle Pitts Sr.</v>
      </c>
    </row>
    <row r="142" spans="1:7" hidden="1" x14ac:dyDescent="0.25">
      <c r="A142">
        <v>140</v>
      </c>
      <c r="B142" t="s">
        <v>275</v>
      </c>
      <c r="C142" t="s">
        <v>665</v>
      </c>
      <c r="D142">
        <v>140</v>
      </c>
      <c r="E142" t="str">
        <f t="shared" si="4"/>
        <v>RB</v>
      </c>
      <c r="F142">
        <f t="shared" si="5"/>
        <v>47</v>
      </c>
      <c r="G142" t="str" cm="1">
        <f t="array" ref="G142">_xlfn.LET(_xlpm.x,TRIM(B142),_xlpm.base,IFERROR(_xlfn.TEXTBEFORE(_xlpm.x,"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Dylan Sampson</v>
      </c>
    </row>
    <row r="143" spans="1:7" hidden="1" x14ac:dyDescent="0.25">
      <c r="A143">
        <v>141</v>
      </c>
      <c r="B143" t="s">
        <v>364</v>
      </c>
      <c r="C143" t="s">
        <v>663</v>
      </c>
      <c r="D143">
        <v>141</v>
      </c>
      <c r="E143" t="str">
        <f t="shared" si="4"/>
        <v>QB</v>
      </c>
      <c r="F143">
        <f t="shared" si="5"/>
        <v>21</v>
      </c>
      <c r="G143" t="str" cm="1">
        <f t="array" ref="G143">_xlfn.LET(_xlpm.x,TRIM(B143),_xlpm.base,IFERROR(_xlfn.TEXTBEFORE(_xlpm.x,"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Michael Penix Jr.</v>
      </c>
    </row>
    <row r="144" spans="1:7" hidden="1" x14ac:dyDescent="0.25">
      <c r="A144">
        <v>142</v>
      </c>
      <c r="B144" t="s">
        <v>34</v>
      </c>
      <c r="C144" t="s">
        <v>673</v>
      </c>
      <c r="D144">
        <v>142</v>
      </c>
      <c r="E144" t="str">
        <f t="shared" si="4"/>
        <v>TE</v>
      </c>
      <c r="F144">
        <f t="shared" si="5"/>
        <v>16</v>
      </c>
      <c r="G144" t="str" cm="1">
        <f t="array" ref="G144">_xlfn.LET(_xlpm.x,TRIM(B144),_xlpm.base,IFERROR(_xlfn.TEXTBEFORE(_xlpm.x,"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Dallas Goedert</v>
      </c>
    </row>
    <row r="145" spans="1:7" hidden="1" x14ac:dyDescent="0.25">
      <c r="A145">
        <v>143</v>
      </c>
      <c r="B145" t="s">
        <v>288</v>
      </c>
      <c r="C145" t="s">
        <v>668</v>
      </c>
      <c r="D145">
        <v>143</v>
      </c>
      <c r="E145" t="str">
        <f t="shared" si="4"/>
        <v>RB</v>
      </c>
      <c r="F145">
        <f t="shared" si="5"/>
        <v>48</v>
      </c>
      <c r="G145" t="str" cm="1">
        <f t="array" ref="G145">_xlfn.LET(_xlpm.x,TRIM(B145),_xlpm.base,IFERROR(_xlfn.TEXTBEFORE(_xlpm.x,"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Ollie Gordon II</v>
      </c>
    </row>
    <row r="146" spans="1:7" hidden="1" x14ac:dyDescent="0.25">
      <c r="A146">
        <v>144</v>
      </c>
      <c r="B146" t="s">
        <v>323</v>
      </c>
      <c r="C146" t="s">
        <v>670</v>
      </c>
      <c r="D146">
        <v>144</v>
      </c>
      <c r="E146" t="str">
        <f t="shared" si="4"/>
        <v>RB</v>
      </c>
      <c r="F146">
        <f t="shared" si="5"/>
        <v>49</v>
      </c>
      <c r="G146" t="str" cm="1">
        <f t="array" ref="G146">_xlfn.LET(_xlpm.x,TRIM(B146),_xlpm.base,IFERROR(_xlfn.TEXTBEFORE(_xlpm.x,"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Najee Harris</v>
      </c>
    </row>
    <row r="147" spans="1:7" hidden="1" x14ac:dyDescent="0.25">
      <c r="A147">
        <v>145</v>
      </c>
      <c r="B147" t="s">
        <v>426</v>
      </c>
      <c r="C147" t="s">
        <v>667</v>
      </c>
      <c r="D147">
        <v>145</v>
      </c>
      <c r="E147" t="str">
        <f t="shared" si="4"/>
        <v>WR</v>
      </c>
      <c r="F147">
        <f t="shared" si="5"/>
        <v>59</v>
      </c>
      <c r="G147" t="str" cm="1">
        <f t="array" ref="G147">_xlfn.LET(_xlpm.x,TRIM(B147),_xlpm.base,IFERROR(_xlfn.TEXTBEFORE(_xlpm.x,"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Brandon Aiyuk</v>
      </c>
    </row>
    <row r="148" spans="1:7" hidden="1" x14ac:dyDescent="0.25">
      <c r="A148">
        <v>146</v>
      </c>
      <c r="B148" t="s">
        <v>356</v>
      </c>
      <c r="C148" t="s">
        <v>671</v>
      </c>
      <c r="D148">
        <v>146</v>
      </c>
      <c r="E148" t="str">
        <f t="shared" si="4"/>
        <v>QB</v>
      </c>
      <c r="F148">
        <f t="shared" si="5"/>
        <v>22</v>
      </c>
      <c r="G148" t="str" cm="1">
        <f t="array" ref="G148">_xlfn.LET(_xlpm.x,TRIM(B148),_xlpm.base,IFERROR(_xlfn.TEXTBEFORE(_xlpm.x,"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Tua Tagovailoa</v>
      </c>
    </row>
    <row r="149" spans="1:7" hidden="1" x14ac:dyDescent="0.25">
      <c r="A149">
        <v>147</v>
      </c>
      <c r="B149" t="s">
        <v>350</v>
      </c>
      <c r="C149" t="s">
        <v>682</v>
      </c>
      <c r="D149">
        <v>147</v>
      </c>
      <c r="E149" t="str">
        <f t="shared" si="4"/>
        <v>QB</v>
      </c>
      <c r="F149">
        <f t="shared" si="5"/>
        <v>23</v>
      </c>
      <c r="G149" t="str" cm="1">
        <f t="array" ref="G149">_xlfn.LET(_xlpm.x,TRIM(B149),_xlpm.base,IFERROR(_xlfn.TEXTBEFORE(_xlpm.x,"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Bryce Young</v>
      </c>
    </row>
    <row r="150" spans="1:7" hidden="1" x14ac:dyDescent="0.25">
      <c r="A150">
        <v>148</v>
      </c>
      <c r="B150" t="s">
        <v>281</v>
      </c>
      <c r="C150" t="s">
        <v>675</v>
      </c>
      <c r="D150">
        <v>148</v>
      </c>
      <c r="E150" t="str">
        <f t="shared" si="4"/>
        <v>RB</v>
      </c>
      <c r="F150">
        <f t="shared" si="5"/>
        <v>50</v>
      </c>
      <c r="G150" t="str" cm="1">
        <f t="array" ref="G150">_xlfn.LET(_xlpm.x,TRIM(B150),_xlpm.base,IFERROR(_xlfn.TEXTBEFORE(_xlpm.x,"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Ray Davis</v>
      </c>
    </row>
    <row r="151" spans="1:7" hidden="1" x14ac:dyDescent="0.25">
      <c r="A151">
        <v>149</v>
      </c>
      <c r="B151" t="s">
        <v>197</v>
      </c>
      <c r="C151" t="s">
        <v>669</v>
      </c>
      <c r="D151">
        <v>149</v>
      </c>
      <c r="E151" t="str">
        <f t="shared" si="4"/>
        <v>WR</v>
      </c>
      <c r="F151">
        <f t="shared" si="5"/>
        <v>60</v>
      </c>
      <c r="G151" t="str" cm="1">
        <f t="array" ref="G151">_xlfn.LET(_xlpm.x,TRIM(B151),_xlpm.base,IFERROR(_xlfn.TEXTBEFORE(_xlpm.x,"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Cedric Tillman</v>
      </c>
    </row>
    <row r="152" spans="1:7" hidden="1" x14ac:dyDescent="0.25">
      <c r="A152">
        <v>150</v>
      </c>
      <c r="B152" t="s">
        <v>205</v>
      </c>
      <c r="C152" t="s">
        <v>672</v>
      </c>
      <c r="D152">
        <v>150</v>
      </c>
      <c r="E152" t="str">
        <f t="shared" si="4"/>
        <v>WR</v>
      </c>
      <c r="F152">
        <f t="shared" si="5"/>
        <v>61</v>
      </c>
      <c r="G152" t="str" cm="1">
        <f t="array" ref="G152">_xlfn.LET(_xlpm.x,TRIM(B152),_xlpm.base,IFERROR(_xlfn.TEXTBEFORE(_xlpm.x,"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Joshua Palmer</v>
      </c>
    </row>
    <row r="153" spans="1:7" hidden="1" x14ac:dyDescent="0.25">
      <c r="A153">
        <v>151</v>
      </c>
      <c r="B153" t="s">
        <v>142</v>
      </c>
      <c r="C153" t="s">
        <v>676</v>
      </c>
      <c r="D153">
        <v>151</v>
      </c>
      <c r="E153" t="str">
        <f t="shared" si="4"/>
        <v>WR</v>
      </c>
      <c r="F153">
        <f t="shared" si="5"/>
        <v>62</v>
      </c>
      <c r="G153" t="str" cm="1">
        <f t="array" ref="G153">_xlfn.LET(_xlpm.x,TRIM(B153),_xlpm.base,IFERROR(_xlfn.TEXTBEFORE(_xlpm.x,"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Hollywood Brown</v>
      </c>
    </row>
    <row r="154" spans="1:7" hidden="1" x14ac:dyDescent="0.25">
      <c r="A154">
        <v>152</v>
      </c>
      <c r="B154" t="s">
        <v>353</v>
      </c>
      <c r="C154" t="s">
        <v>692</v>
      </c>
      <c r="D154">
        <v>152</v>
      </c>
      <c r="E154" t="str">
        <f t="shared" si="4"/>
        <v>QB</v>
      </c>
      <c r="F154">
        <f t="shared" si="5"/>
        <v>24</v>
      </c>
      <c r="G154" t="str" cm="1">
        <f t="array" ref="G154">_xlfn.LET(_xlpm.x,TRIM(B154),_xlpm.base,IFERROR(_xlfn.TEXTBEFORE(_xlpm.x,"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Cam Ward</v>
      </c>
    </row>
    <row r="155" spans="1:7" hidden="1" x14ac:dyDescent="0.25">
      <c r="A155">
        <v>153</v>
      </c>
      <c r="B155" t="s">
        <v>292</v>
      </c>
      <c r="C155" t="s">
        <v>680</v>
      </c>
      <c r="D155">
        <v>153</v>
      </c>
      <c r="E155" t="str">
        <f t="shared" si="4"/>
        <v>RB</v>
      </c>
      <c r="F155">
        <f t="shared" si="5"/>
        <v>51</v>
      </c>
      <c r="G155" t="str" cm="1">
        <f t="array" ref="G155">_xlfn.LET(_xlpm.x,TRIM(B155),_xlpm.base,IFERROR(_xlfn.TEXTBEFORE(_xlpm.x,"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Jerome Ford</v>
      </c>
    </row>
    <row r="156" spans="1:7" hidden="1" x14ac:dyDescent="0.25">
      <c r="A156">
        <v>154</v>
      </c>
      <c r="B156" t="s">
        <v>58</v>
      </c>
      <c r="C156" t="s">
        <v>674</v>
      </c>
      <c r="D156">
        <v>154</v>
      </c>
      <c r="E156" t="str">
        <f t="shared" si="4"/>
        <v>TE</v>
      </c>
      <c r="F156">
        <f t="shared" si="5"/>
        <v>17</v>
      </c>
      <c r="G156" t="str" cm="1">
        <f t="array" ref="G156">_xlfn.LET(_xlpm.x,TRIM(B156),_xlpm.base,IFERROR(_xlfn.TEXTBEFORE(_xlpm.x,"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Zach Ertz</v>
      </c>
    </row>
    <row r="157" spans="1:7" hidden="1" x14ac:dyDescent="0.25">
      <c r="A157">
        <v>155</v>
      </c>
      <c r="B157" t="s">
        <v>164</v>
      </c>
      <c r="C157" t="s">
        <v>677</v>
      </c>
      <c r="D157">
        <v>155</v>
      </c>
      <c r="E157" t="str">
        <f t="shared" si="4"/>
        <v>WR</v>
      </c>
      <c r="F157">
        <f t="shared" si="5"/>
        <v>63</v>
      </c>
      <c r="G157" t="str" cm="1">
        <f t="array" ref="G157">_xlfn.LET(_xlpm.x,TRIM(B157),_xlpm.base,IFERROR(_xlfn.TEXTBEFORE(_xlpm.x,"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DeMario Douglas</v>
      </c>
    </row>
    <row r="158" spans="1:7" hidden="1" x14ac:dyDescent="0.25">
      <c r="A158">
        <v>156</v>
      </c>
      <c r="B158" t="s">
        <v>252</v>
      </c>
      <c r="C158" t="s">
        <v>681</v>
      </c>
      <c r="D158">
        <v>156</v>
      </c>
      <c r="E158" t="str">
        <f t="shared" si="4"/>
        <v>RB</v>
      </c>
      <c r="F158">
        <f t="shared" si="5"/>
        <v>52</v>
      </c>
      <c r="G158" t="str" cm="1">
        <f t="array" ref="G158">_xlfn.LET(_xlpm.x,TRIM(B158),_xlpm.base,IFERROR(_xlfn.TEXTBEFORE(_xlpm.x,"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Rachaad White</v>
      </c>
    </row>
    <row r="159" spans="1:7" hidden="1" x14ac:dyDescent="0.25">
      <c r="A159">
        <v>157</v>
      </c>
      <c r="B159" t="s">
        <v>354</v>
      </c>
      <c r="C159" t="s">
        <v>700</v>
      </c>
      <c r="D159">
        <v>157</v>
      </c>
      <c r="E159" t="str">
        <f t="shared" si="4"/>
        <v>QB</v>
      </c>
      <c r="F159">
        <f t="shared" si="5"/>
        <v>25</v>
      </c>
      <c r="G159" t="str" cm="1">
        <f t="array" ref="G159">_xlfn.LET(_xlpm.x,TRIM(B159),_xlpm.base,IFERROR(_xlfn.TEXTBEFORE(_xlpm.x,"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Geno Smith</v>
      </c>
    </row>
    <row r="160" spans="1:7" hidden="1" x14ac:dyDescent="0.25">
      <c r="A160">
        <v>158</v>
      </c>
      <c r="B160" t="s">
        <v>136</v>
      </c>
      <c r="C160" t="s">
        <v>683</v>
      </c>
      <c r="D160">
        <v>158</v>
      </c>
      <c r="E160" t="str">
        <f t="shared" si="4"/>
        <v>WR</v>
      </c>
      <c r="F160">
        <f t="shared" si="5"/>
        <v>64</v>
      </c>
      <c r="G160" t="str" cm="1">
        <f t="array" ref="G160">_xlfn.LET(_xlpm.x,TRIM(B160),_xlpm.base,IFERROR(_xlfn.TEXTBEFORE(_xlpm.x,"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Romeo Doubs</v>
      </c>
    </row>
    <row r="161" spans="1:7" hidden="1" x14ac:dyDescent="0.25">
      <c r="A161">
        <v>159</v>
      </c>
      <c r="B161" t="s">
        <v>66</v>
      </c>
      <c r="C161" t="s">
        <v>678</v>
      </c>
      <c r="D161">
        <v>159</v>
      </c>
      <c r="E161" t="str">
        <f t="shared" si="4"/>
        <v>TE</v>
      </c>
      <c r="F161">
        <f t="shared" si="5"/>
        <v>18</v>
      </c>
      <c r="G161" t="str" cm="1">
        <f t="array" ref="G161">_xlfn.LET(_xlpm.x,TRIM(B161),_xlpm.base,IFERROR(_xlfn.TEXTBEFORE(_xlpm.x,"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Brenton Strange</v>
      </c>
    </row>
    <row r="162" spans="1:7" hidden="1" x14ac:dyDescent="0.25">
      <c r="A162">
        <v>160</v>
      </c>
      <c r="B162" t="s">
        <v>38</v>
      </c>
      <c r="C162" t="s">
        <v>679</v>
      </c>
      <c r="D162">
        <v>160</v>
      </c>
      <c r="E162" t="str">
        <f t="shared" si="4"/>
        <v>TE</v>
      </c>
      <c r="F162">
        <f t="shared" si="5"/>
        <v>19</v>
      </c>
      <c r="G162" t="str" cm="1">
        <f t="array" ref="G162">_xlfn.LET(_xlpm.x,TRIM(B162),_xlpm.base,IFERROR(_xlfn.TEXTBEFORE(_xlpm.x,"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Hunter Henry</v>
      </c>
    </row>
    <row r="163" spans="1:7" hidden="1" x14ac:dyDescent="0.25">
      <c r="A163">
        <v>161</v>
      </c>
      <c r="B163" t="s">
        <v>170</v>
      </c>
      <c r="C163" t="s">
        <v>687</v>
      </c>
      <c r="D163">
        <v>161</v>
      </c>
      <c r="E163" t="str">
        <f t="shared" si="4"/>
        <v>WR</v>
      </c>
      <c r="F163">
        <f t="shared" si="5"/>
        <v>65</v>
      </c>
      <c r="G163" t="str" cm="1">
        <f t="array" ref="G163">_xlfn.LET(_xlpm.x,TRIM(B163),_xlpm.base,IFERROR(_xlfn.TEXTBEFORE(_xlpm.x,"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Xavier Legette</v>
      </c>
    </row>
    <row r="164" spans="1:7" hidden="1" x14ac:dyDescent="0.25">
      <c r="A164">
        <v>162</v>
      </c>
      <c r="B164" t="s">
        <v>259</v>
      </c>
      <c r="C164" t="s">
        <v>684</v>
      </c>
      <c r="D164">
        <v>162</v>
      </c>
      <c r="E164" t="str">
        <f t="shared" si="4"/>
        <v>RB</v>
      </c>
      <c r="F164">
        <f t="shared" si="5"/>
        <v>53</v>
      </c>
      <c r="G164" t="str" cm="1">
        <f t="array" ref="G164">_xlfn.LET(_xlpm.x,TRIM(B164),_xlpm.base,IFERROR(_xlfn.TEXTBEFORE(_xlpm.x,"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Tyler Allgeier</v>
      </c>
    </row>
    <row r="165" spans="1:7" hidden="1" x14ac:dyDescent="0.25">
      <c r="A165">
        <v>163</v>
      </c>
      <c r="B165" t="s">
        <v>411</v>
      </c>
      <c r="C165" t="s">
        <v>691</v>
      </c>
      <c r="D165">
        <v>163</v>
      </c>
      <c r="E165" t="str">
        <f t="shared" si="4"/>
        <v>WR</v>
      </c>
      <c r="F165">
        <f t="shared" si="5"/>
        <v>66</v>
      </c>
      <c r="G165" t="str" cm="1">
        <f t="array" ref="G165">_xlfn.LET(_xlpm.x,TRIM(B165),_xlpm.base,IFERROR(_xlfn.TEXTBEFORE(_xlpm.x,"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Adam Thielen</v>
      </c>
    </row>
    <row r="166" spans="1:7" hidden="1" x14ac:dyDescent="0.25">
      <c r="A166">
        <v>164</v>
      </c>
      <c r="B166" t="s">
        <v>334</v>
      </c>
      <c r="C166" t="s">
        <v>709</v>
      </c>
      <c r="D166">
        <v>164</v>
      </c>
      <c r="E166" t="str">
        <f t="shared" si="4"/>
        <v>QB</v>
      </c>
      <c r="F166">
        <f t="shared" si="5"/>
        <v>26</v>
      </c>
      <c r="G166" t="str" cm="1">
        <f t="array" ref="G166">_xlfn.LET(_xlpm.x,TRIM(B166),_xlpm.base,IFERROR(_xlfn.TEXTBEFORE(_xlpm.x,"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Matthew Stafford</v>
      </c>
    </row>
    <row r="167" spans="1:7" hidden="1" x14ac:dyDescent="0.25">
      <c r="A167">
        <v>165</v>
      </c>
      <c r="B167" t="s">
        <v>62</v>
      </c>
      <c r="C167" t="s">
        <v>685</v>
      </c>
      <c r="D167">
        <v>165</v>
      </c>
      <c r="E167" t="str">
        <f t="shared" si="4"/>
        <v>TE</v>
      </c>
      <c r="F167">
        <f t="shared" si="5"/>
        <v>20</v>
      </c>
      <c r="G167" t="str" cm="1">
        <f t="array" ref="G167">_xlfn.LET(_xlpm.x,TRIM(B167),_xlpm.base,IFERROR(_xlfn.TEXTBEFORE(_xlpm.x,"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Chig Okonkwo</v>
      </c>
    </row>
    <row r="168" spans="1:7" hidden="1" x14ac:dyDescent="0.25">
      <c r="A168">
        <v>166</v>
      </c>
      <c r="B168" t="s">
        <v>344</v>
      </c>
      <c r="C168" t="s">
        <v>720</v>
      </c>
      <c r="D168">
        <v>166</v>
      </c>
      <c r="E168" t="str">
        <f t="shared" si="4"/>
        <v>QB</v>
      </c>
      <c r="F168">
        <f t="shared" si="5"/>
        <v>27</v>
      </c>
      <c r="G168" t="str" cm="1">
        <f t="array" ref="G168">_xlfn.LET(_xlpm.x,TRIM(B168),_xlpm.base,IFERROR(_xlfn.TEXTBEFORE(_xlpm.x,"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Sam Darnold</v>
      </c>
    </row>
    <row r="169" spans="1:7" hidden="1" x14ac:dyDescent="0.25">
      <c r="A169">
        <v>167</v>
      </c>
      <c r="B169" t="s">
        <v>238</v>
      </c>
      <c r="C169" t="s">
        <v>688</v>
      </c>
      <c r="D169">
        <v>167</v>
      </c>
      <c r="E169" t="str">
        <f t="shared" si="4"/>
        <v>RB</v>
      </c>
      <c r="F169">
        <f t="shared" si="5"/>
        <v>54</v>
      </c>
      <c r="G169" t="str" cm="1">
        <f t="array" ref="G169">_xlfn.LET(_xlpm.x,TRIM(B169),_xlpm.base,IFERROR(_xlfn.TEXTBEFORE(_xlpm.x,"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Rico Dowdle</v>
      </c>
    </row>
    <row r="170" spans="1:7" hidden="1" x14ac:dyDescent="0.25">
      <c r="A170">
        <v>168</v>
      </c>
      <c r="B170" t="s">
        <v>1214</v>
      </c>
      <c r="C170" t="s">
        <v>695</v>
      </c>
      <c r="D170">
        <v>168</v>
      </c>
      <c r="E170" t="str">
        <f t="shared" si="4"/>
        <v>WR</v>
      </c>
      <c r="F170">
        <f t="shared" si="5"/>
        <v>67</v>
      </c>
      <c r="G170" t="str" cm="1">
        <f t="array" ref="G170">_xlfn.LET(_xlpm.x,TRIM(B170),_xlpm.base,IFERROR(_xlfn.TEXTBEFORE(_xlpm.x,"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Dont'e Thornton Jr.</v>
      </c>
    </row>
    <row r="171" spans="1:7" hidden="1" x14ac:dyDescent="0.25">
      <c r="A171">
        <v>169</v>
      </c>
      <c r="B171" t="s">
        <v>86</v>
      </c>
      <c r="C171" t="s">
        <v>690</v>
      </c>
      <c r="D171">
        <v>169</v>
      </c>
      <c r="E171" t="str">
        <f t="shared" si="4"/>
        <v>TE</v>
      </c>
      <c r="F171">
        <f t="shared" si="5"/>
        <v>21</v>
      </c>
      <c r="G171" t="str" cm="1">
        <f t="array" ref="G171">_xlfn.LET(_xlpm.x,TRIM(B171),_xlpm.base,IFERROR(_xlfn.TEXTBEFORE(_xlpm.x,"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Jonnu Smith</v>
      </c>
    </row>
    <row r="172" spans="1:7" hidden="1" x14ac:dyDescent="0.25">
      <c r="A172">
        <v>170</v>
      </c>
      <c r="B172" t="s">
        <v>113</v>
      </c>
      <c r="C172" t="s">
        <v>708</v>
      </c>
      <c r="D172">
        <v>170</v>
      </c>
      <c r="E172" t="str">
        <f t="shared" si="4"/>
        <v>WR</v>
      </c>
      <c r="F172">
        <f t="shared" si="5"/>
        <v>68</v>
      </c>
      <c r="G172" t="str" cm="1">
        <f t="array" ref="G172">_xlfn.LET(_xlpm.x,TRIM(B172),_xlpm.base,IFERROR(_xlfn.TEXTBEFORE(_xlpm.x,"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Wan'Dale Robinson</v>
      </c>
    </row>
    <row r="173" spans="1:7" hidden="1" x14ac:dyDescent="0.25">
      <c r="A173">
        <v>171</v>
      </c>
      <c r="B173" t="s">
        <v>264</v>
      </c>
      <c r="C173" t="s">
        <v>689</v>
      </c>
      <c r="D173">
        <v>171</v>
      </c>
      <c r="E173" t="str">
        <f t="shared" si="4"/>
        <v>RB</v>
      </c>
      <c r="F173">
        <f t="shared" si="5"/>
        <v>55</v>
      </c>
      <c r="G173" t="str" cm="1">
        <f t="array" ref="G173">_xlfn.LET(_xlpm.x,TRIM(B173),_xlpm.base,IFERROR(_xlfn.TEXTBEFORE(_xlpm.x,"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Tyjae Spears</v>
      </c>
    </row>
    <row r="174" spans="1:7" hidden="1" x14ac:dyDescent="0.25">
      <c r="A174">
        <v>172</v>
      </c>
      <c r="B174" t="s">
        <v>190</v>
      </c>
      <c r="C174" t="s">
        <v>711</v>
      </c>
      <c r="D174">
        <v>172</v>
      </c>
      <c r="E174" t="str">
        <f t="shared" si="4"/>
        <v>WR</v>
      </c>
      <c r="F174">
        <f t="shared" si="5"/>
        <v>69</v>
      </c>
      <c r="G174" t="str" cm="1">
        <f t="array" ref="G174">_xlfn.LET(_xlpm.x,TRIM(B174),_xlpm.base,IFERROR(_xlfn.TEXTBEFORE(_xlpm.x,"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Tre' Harris</v>
      </c>
    </row>
    <row r="175" spans="1:7" hidden="1" x14ac:dyDescent="0.25">
      <c r="A175">
        <v>173</v>
      </c>
      <c r="B175" t="s">
        <v>98</v>
      </c>
      <c r="C175" t="s">
        <v>693</v>
      </c>
      <c r="D175">
        <v>173</v>
      </c>
      <c r="E175" t="str">
        <f t="shared" si="4"/>
        <v>TE</v>
      </c>
      <c r="F175">
        <f t="shared" si="5"/>
        <v>22</v>
      </c>
      <c r="G175" t="str" cm="1">
        <f t="array" ref="G175">_xlfn.LET(_xlpm.x,TRIM(B175),_xlpm.base,IFERROR(_xlfn.TEXTBEFORE(_xlpm.x,"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Isaiah Likely</v>
      </c>
    </row>
    <row r="176" spans="1:7" hidden="1" x14ac:dyDescent="0.25">
      <c r="A176">
        <v>174</v>
      </c>
      <c r="B176" t="s">
        <v>249</v>
      </c>
      <c r="C176" t="s">
        <v>694</v>
      </c>
      <c r="D176">
        <v>174</v>
      </c>
      <c r="E176" t="str">
        <f t="shared" si="4"/>
        <v>RB</v>
      </c>
      <c r="F176">
        <f t="shared" si="5"/>
        <v>56</v>
      </c>
      <c r="G176" t="str" cm="1">
        <f t="array" ref="G176">_xlfn.LET(_xlpm.x,TRIM(B176),_xlpm.base,IFERROR(_xlfn.TEXTBEFORE(_xlpm.x,"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Woody Marks</v>
      </c>
    </row>
    <row r="177" spans="1:7" hidden="1" x14ac:dyDescent="0.25">
      <c r="A177">
        <v>175</v>
      </c>
      <c r="B177" t="s">
        <v>181</v>
      </c>
      <c r="C177" t="s">
        <v>713</v>
      </c>
      <c r="D177">
        <v>175</v>
      </c>
      <c r="E177" t="str">
        <f t="shared" si="4"/>
        <v>WR</v>
      </c>
      <c r="F177">
        <f t="shared" si="5"/>
        <v>70</v>
      </c>
      <c r="G177" t="str" cm="1">
        <f t="array" ref="G177">_xlfn.LET(_xlpm.x,TRIM(B177),_xlpm.base,IFERROR(_xlfn.TEXTBEFORE(_xlpm.x,"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Isaac TeSlaa</v>
      </c>
    </row>
    <row r="178" spans="1:7" hidden="1" x14ac:dyDescent="0.25">
      <c r="A178">
        <v>176</v>
      </c>
      <c r="B178" t="s">
        <v>211</v>
      </c>
      <c r="C178" t="s">
        <v>717</v>
      </c>
      <c r="D178">
        <v>176</v>
      </c>
      <c r="E178" t="str">
        <f t="shared" si="4"/>
        <v>WR</v>
      </c>
      <c r="F178">
        <f t="shared" si="5"/>
        <v>71</v>
      </c>
      <c r="G178" t="str" cm="1">
        <f t="array" ref="G178">_xlfn.LET(_xlpm.x,TRIM(B178),_xlpm.base,IFERROR(_xlfn.TEXTBEFORE(_xlpm.x,"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Kyle Williams</v>
      </c>
    </row>
    <row r="179" spans="1:7" hidden="1" x14ac:dyDescent="0.25">
      <c r="A179">
        <v>177</v>
      </c>
      <c r="B179" t="s">
        <v>314</v>
      </c>
      <c r="C179" t="s">
        <v>699</v>
      </c>
      <c r="D179">
        <v>177</v>
      </c>
      <c r="E179" t="str">
        <f t="shared" si="4"/>
        <v>RB</v>
      </c>
      <c r="F179">
        <f t="shared" si="5"/>
        <v>57</v>
      </c>
      <c r="G179" t="str" cm="1">
        <f t="array" ref="G179">_xlfn.LET(_xlpm.x,TRIM(B179),_xlpm.base,IFERROR(_xlfn.TEXTBEFORE(_xlpm.x,"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Will Shipley</v>
      </c>
    </row>
    <row r="180" spans="1:7" hidden="1" x14ac:dyDescent="0.25">
      <c r="A180">
        <v>178</v>
      </c>
      <c r="B180" t="s">
        <v>81</v>
      </c>
      <c r="C180" t="s">
        <v>697</v>
      </c>
      <c r="D180">
        <v>178</v>
      </c>
      <c r="E180" t="str">
        <f t="shared" si="4"/>
        <v>TE</v>
      </c>
      <c r="F180">
        <f t="shared" si="5"/>
        <v>23</v>
      </c>
      <c r="G180" t="str" cm="1">
        <f t="array" ref="G180">_xlfn.LET(_xlpm.x,TRIM(B180),_xlpm.base,IFERROR(_xlfn.TEXTBEFORE(_xlpm.x,"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Mason Taylor</v>
      </c>
    </row>
    <row r="181" spans="1:7" hidden="1" x14ac:dyDescent="0.25">
      <c r="A181">
        <v>179</v>
      </c>
      <c r="B181" t="s">
        <v>64</v>
      </c>
      <c r="C181" t="s">
        <v>698</v>
      </c>
      <c r="D181">
        <v>179</v>
      </c>
      <c r="E181" t="str">
        <f t="shared" si="4"/>
        <v>TE</v>
      </c>
      <c r="F181">
        <f t="shared" si="5"/>
        <v>24</v>
      </c>
      <c r="G181" t="str" cm="1">
        <f t="array" ref="G181">_xlfn.LET(_xlpm.x,TRIM(B181),_xlpm.base,IFERROR(_xlfn.TEXTBEFORE(_xlpm.x,"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Cade Otton</v>
      </c>
    </row>
    <row r="182" spans="1:7" hidden="1" x14ac:dyDescent="0.25">
      <c r="A182">
        <v>180</v>
      </c>
      <c r="B182" t="s">
        <v>349</v>
      </c>
      <c r="C182" t="s">
        <v>734</v>
      </c>
      <c r="D182">
        <v>180</v>
      </c>
      <c r="E182" t="str">
        <f t="shared" si="4"/>
        <v>QB</v>
      </c>
      <c r="F182">
        <f t="shared" si="5"/>
        <v>28</v>
      </c>
      <c r="G182" t="str" cm="1">
        <f t="array" ref="G182">_xlfn.LET(_xlpm.x,TRIM(B182),_xlpm.base,IFERROR(_xlfn.TEXTBEFORE(_xlpm.x,"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Aaron Rodgers</v>
      </c>
    </row>
    <row r="183" spans="1:7" hidden="1" x14ac:dyDescent="0.25">
      <c r="A183">
        <v>181</v>
      </c>
      <c r="B183" t="s">
        <v>922</v>
      </c>
      <c r="C183" t="s">
        <v>702</v>
      </c>
      <c r="D183">
        <v>181</v>
      </c>
      <c r="E183" t="str">
        <f t="shared" si="4"/>
        <v>RB</v>
      </c>
      <c r="F183">
        <f t="shared" si="5"/>
        <v>58</v>
      </c>
      <c r="G183" t="str" cm="1">
        <f t="array" ref="G183">_xlfn.LET(_xlpm.x,TRIM(B183),_xlpm.base,IFERROR(_xlfn.TEXTBEFORE(_xlpm.x,"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Chris Rodriguez Jr.JAC</v>
      </c>
    </row>
    <row r="184" spans="1:7" hidden="1" x14ac:dyDescent="0.25">
      <c r="A184">
        <v>182</v>
      </c>
      <c r="B184" t="s">
        <v>184</v>
      </c>
      <c r="C184" t="s">
        <v>721</v>
      </c>
      <c r="D184">
        <v>182</v>
      </c>
      <c r="E184" t="str">
        <f t="shared" si="4"/>
        <v>WR</v>
      </c>
      <c r="F184">
        <f t="shared" si="5"/>
        <v>72</v>
      </c>
      <c r="G184" t="str" cm="1">
        <f t="array" ref="G184">_xlfn.LET(_xlpm.x,TRIM(B184),_xlpm.base,IFERROR(_xlfn.TEXTBEFORE(_xlpm.x,"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Pat Bryant</v>
      </c>
    </row>
    <row r="185" spans="1:7" hidden="1" x14ac:dyDescent="0.25">
      <c r="A185">
        <v>183</v>
      </c>
      <c r="B185" t="s">
        <v>348</v>
      </c>
      <c r="C185" t="s">
        <v>739</v>
      </c>
      <c r="D185">
        <v>183</v>
      </c>
      <c r="E185" t="str">
        <f t="shared" si="4"/>
        <v>QB</v>
      </c>
      <c r="F185">
        <f t="shared" si="5"/>
        <v>29</v>
      </c>
      <c r="G185" t="str" cm="1">
        <f t="array" ref="G185">_xlfn.LET(_xlpm.x,TRIM(B185),_xlpm.base,IFERROR(_xlfn.TEXTBEFORE(_xlpm.x,"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Daniel Jones</v>
      </c>
    </row>
    <row r="186" spans="1:7" hidden="1" x14ac:dyDescent="0.25">
      <c r="A186">
        <v>184</v>
      </c>
      <c r="B186" t="s">
        <v>287</v>
      </c>
      <c r="C186" t="s">
        <v>703</v>
      </c>
      <c r="D186">
        <v>184</v>
      </c>
      <c r="E186" t="str">
        <f t="shared" si="4"/>
        <v>RB</v>
      </c>
      <c r="F186">
        <f t="shared" si="5"/>
        <v>59</v>
      </c>
      <c r="G186" t="str" cm="1">
        <f t="array" ref="G186">_xlfn.LET(_xlpm.x,TRIM(B186),_xlpm.base,IFERROR(_xlfn.TEXTBEFORE(_xlpm.x,"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Keaton Mitchell</v>
      </c>
    </row>
    <row r="187" spans="1:7" hidden="1" x14ac:dyDescent="0.25">
      <c r="A187">
        <v>185</v>
      </c>
      <c r="B187" t="s">
        <v>93</v>
      </c>
      <c r="C187" t="s">
        <v>710</v>
      </c>
      <c r="D187">
        <v>185</v>
      </c>
      <c r="E187" t="str">
        <f t="shared" si="4"/>
        <v>TE</v>
      </c>
      <c r="F187">
        <f t="shared" si="5"/>
        <v>25</v>
      </c>
      <c r="G187" t="str" cm="1">
        <f t="array" ref="G187">_xlfn.LET(_xlpm.x,TRIM(B187),_xlpm.base,IFERROR(_xlfn.TEXTBEFORE(_xlpm.x,"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Mike Gesicki</v>
      </c>
    </row>
    <row r="188" spans="1:7" hidden="1" x14ac:dyDescent="0.25">
      <c r="A188">
        <v>186</v>
      </c>
      <c r="B188" t="s">
        <v>280</v>
      </c>
      <c r="C188" t="s">
        <v>705</v>
      </c>
      <c r="D188">
        <v>186</v>
      </c>
      <c r="E188" t="str">
        <f t="shared" si="4"/>
        <v>RB</v>
      </c>
      <c r="F188">
        <f t="shared" si="5"/>
        <v>60</v>
      </c>
      <c r="G188" t="str" cm="1">
        <f t="array" ref="G188">_xlfn.LET(_xlpm.x,TRIM(B188),_xlpm.base,IFERROR(_xlfn.TEXTBEFORE(_xlpm.x,"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Justice Hill</v>
      </c>
    </row>
    <row r="189" spans="1:7" hidden="1" x14ac:dyDescent="0.25">
      <c r="A189">
        <v>187</v>
      </c>
      <c r="B189" t="s">
        <v>127</v>
      </c>
      <c r="C189" t="s">
        <v>722</v>
      </c>
      <c r="D189">
        <v>187</v>
      </c>
      <c r="E189" t="str">
        <f t="shared" si="4"/>
        <v>WR</v>
      </c>
      <c r="F189">
        <f t="shared" si="5"/>
        <v>73</v>
      </c>
      <c r="G189" t="str" cm="1">
        <f t="array" ref="G189">_xlfn.LET(_xlpm.x,TRIM(B189),_xlpm.base,IFERROR(_xlfn.TEXTBEFORE(_xlpm.x,"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Alec Pierce</v>
      </c>
    </row>
    <row r="190" spans="1:7" hidden="1" x14ac:dyDescent="0.25">
      <c r="A190">
        <v>188</v>
      </c>
      <c r="B190" t="s">
        <v>251</v>
      </c>
      <c r="C190" t="s">
        <v>707</v>
      </c>
      <c r="D190">
        <v>188</v>
      </c>
      <c r="E190" t="str">
        <f t="shared" si="4"/>
        <v>RB</v>
      </c>
      <c r="F190">
        <f t="shared" si="5"/>
        <v>61</v>
      </c>
      <c r="G190" t="str" cm="1">
        <f t="array" ref="G190">_xlfn.LET(_xlpm.x,TRIM(B190),_xlpm.base,IFERROR(_xlfn.TEXTBEFORE(_xlpm.x,"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Kareem Hunt</v>
      </c>
    </row>
    <row r="191" spans="1:7" hidden="1" x14ac:dyDescent="0.25">
      <c r="A191">
        <v>189</v>
      </c>
      <c r="B191" t="s">
        <v>195</v>
      </c>
      <c r="C191" t="s">
        <v>723</v>
      </c>
      <c r="D191">
        <v>189</v>
      </c>
      <c r="E191" t="str">
        <f t="shared" si="4"/>
        <v>WR</v>
      </c>
      <c r="F191">
        <f t="shared" si="5"/>
        <v>74</v>
      </c>
      <c r="G191" t="str" cm="1">
        <f t="array" ref="G191">_xlfn.LET(_xlpm.x,TRIM(B191),_xlpm.base,IFERROR(_xlfn.TEXTBEFORE(_xlpm.x,"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Tory Horton</v>
      </c>
    </row>
    <row r="192" spans="1:7" hidden="1" x14ac:dyDescent="0.25">
      <c r="A192">
        <v>190</v>
      </c>
      <c r="B192" t="s">
        <v>154</v>
      </c>
      <c r="C192" t="s">
        <v>725</v>
      </c>
      <c r="D192">
        <v>190</v>
      </c>
      <c r="E192" t="str">
        <f t="shared" si="4"/>
        <v>WR</v>
      </c>
      <c r="F192">
        <f t="shared" si="5"/>
        <v>75</v>
      </c>
      <c r="G192" t="str" cm="1">
        <f t="array" ref="G192">_xlfn.LET(_xlpm.x,TRIM(B192),_xlpm.base,IFERROR(_xlfn.TEXTBEFORE(_xlpm.x,"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Elic Ayomanor</v>
      </c>
    </row>
    <row r="193" spans="1:7" hidden="1" x14ac:dyDescent="0.25">
      <c r="A193">
        <v>191</v>
      </c>
      <c r="B193" t="s">
        <v>133</v>
      </c>
      <c r="C193" t="s">
        <v>727</v>
      </c>
      <c r="D193">
        <v>191</v>
      </c>
      <c r="E193" t="str">
        <f t="shared" si="4"/>
        <v>WR</v>
      </c>
      <c r="F193">
        <f t="shared" si="5"/>
        <v>76</v>
      </c>
      <c r="G193" t="str" cm="1">
        <f t="array" ref="G193">_xlfn.LET(_xlpm.x,TRIM(B193),_xlpm.base,IFERROR(_xlfn.TEXTBEFORE(_xlpm.x,"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Quentin Johnston</v>
      </c>
    </row>
    <row r="194" spans="1:7" hidden="1" x14ac:dyDescent="0.25">
      <c r="A194">
        <v>192</v>
      </c>
      <c r="B194" t="s">
        <v>192</v>
      </c>
      <c r="C194" t="s">
        <v>728</v>
      </c>
      <c r="D194">
        <v>192</v>
      </c>
      <c r="E194" t="str">
        <f t="shared" si="4"/>
        <v>WR</v>
      </c>
      <c r="F194">
        <f t="shared" si="5"/>
        <v>77</v>
      </c>
      <c r="G194" t="str" cm="1">
        <f t="array" ref="G194">_xlfn.LET(_xlpm.x,TRIM(B194),_xlpm.base,IFERROR(_xlfn.TEXTBEFORE(_xlpm.x,"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DeAndre Hopkins</v>
      </c>
    </row>
    <row r="195" spans="1:7" hidden="1" x14ac:dyDescent="0.25">
      <c r="A195">
        <v>193</v>
      </c>
      <c r="B195" t="s">
        <v>168</v>
      </c>
      <c r="C195" t="s">
        <v>729</v>
      </c>
      <c r="D195">
        <v>193</v>
      </c>
      <c r="E195" t="str">
        <f t="shared" si="4"/>
        <v>WR</v>
      </c>
      <c r="F195">
        <f t="shared" si="5"/>
        <v>78</v>
      </c>
      <c r="G195" t="str" cm="1">
        <f t="array" ref="G195">_xlfn.LET(_xlpm.x,TRIM(B195),_xlpm.base,IFERROR(_xlfn.TEXTBEFORE(_xlpm.x,"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Jalen Coker</v>
      </c>
    </row>
    <row r="196" spans="1:7" hidden="1" x14ac:dyDescent="0.25">
      <c r="A196">
        <v>194</v>
      </c>
      <c r="B196" t="s">
        <v>329</v>
      </c>
      <c r="C196" t="s">
        <v>714</v>
      </c>
      <c r="D196">
        <v>194</v>
      </c>
      <c r="E196" t="str">
        <f t="shared" ref="E196:E259" si="6">LEFT(C196,2)</f>
        <v>RB</v>
      </c>
      <c r="F196">
        <f t="shared" ref="F196:F259" si="7">VALUE(MID(C196,3,LEN(C196)))</f>
        <v>62</v>
      </c>
      <c r="G196" t="str" cm="1">
        <f t="array" ref="G196">_xlfn.LET(_xlpm.x,TRIM(B196),_xlpm.base,IFERROR(_xlfn.TEXTBEFORE(_xlpm.x,"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DJ Giddens</v>
      </c>
    </row>
    <row r="197" spans="1:7" hidden="1" x14ac:dyDescent="0.25">
      <c r="A197">
        <v>195</v>
      </c>
      <c r="B197" t="s">
        <v>391</v>
      </c>
      <c r="C197" t="s">
        <v>716</v>
      </c>
      <c r="D197">
        <v>195</v>
      </c>
      <c r="E197" t="str">
        <f t="shared" si="6"/>
        <v>RB</v>
      </c>
      <c r="F197">
        <f t="shared" si="7"/>
        <v>63</v>
      </c>
      <c r="G197" t="str" cm="1">
        <f t="array" ref="G197">_xlfn.LET(_xlpm.x,TRIM(B197),_xlpm.base,IFERROR(_xlfn.TEXTBEFORE(_xlpm.x,"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Isaac Guerendo</v>
      </c>
    </row>
    <row r="198" spans="1:7" hidden="1" x14ac:dyDescent="0.25">
      <c r="A198">
        <v>196</v>
      </c>
      <c r="B198" t="s">
        <v>250</v>
      </c>
      <c r="C198" t="s">
        <v>718</v>
      </c>
      <c r="D198">
        <v>196</v>
      </c>
      <c r="E198" t="str">
        <f t="shared" si="6"/>
        <v>RB</v>
      </c>
      <c r="F198">
        <f t="shared" si="7"/>
        <v>64</v>
      </c>
      <c r="G198" t="str" cm="1">
        <f t="array" ref="G198">_xlfn.LET(_xlpm.x,TRIM(B198),_xlpm.base,IFERROR(_xlfn.TEXTBEFORE(_xlpm.x,"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Kyle Monangai</v>
      </c>
    </row>
    <row r="199" spans="1:7" hidden="1" x14ac:dyDescent="0.25">
      <c r="A199">
        <v>197</v>
      </c>
      <c r="B199" t="s">
        <v>345</v>
      </c>
      <c r="C199" t="s">
        <v>742</v>
      </c>
      <c r="D199">
        <v>197</v>
      </c>
      <c r="E199" t="str">
        <f t="shared" si="6"/>
        <v>QB</v>
      </c>
      <c r="F199">
        <f t="shared" si="7"/>
        <v>30</v>
      </c>
      <c r="G199" t="str" cm="1">
        <f t="array" ref="G199">_xlfn.LET(_xlpm.x,TRIM(B199),_xlpm.base,IFERROR(_xlfn.TEXTBEFORE(_xlpm.x,"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Jaxson Dart</v>
      </c>
    </row>
    <row r="200" spans="1:7" hidden="1" x14ac:dyDescent="0.25">
      <c r="A200">
        <v>198</v>
      </c>
      <c r="B200" t="s">
        <v>130</v>
      </c>
      <c r="C200" t="s">
        <v>730</v>
      </c>
      <c r="D200">
        <v>198</v>
      </c>
      <c r="E200" t="str">
        <f t="shared" si="6"/>
        <v>WR</v>
      </c>
      <c r="F200">
        <f t="shared" si="7"/>
        <v>79</v>
      </c>
      <c r="G200" t="str" cm="1">
        <f t="array" ref="G200">_xlfn.LET(_xlpm.x,TRIM(B200),_xlpm.base,IFERROR(_xlfn.TEXTBEFORE(_xlpm.x,"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Troy Franklin</v>
      </c>
    </row>
    <row r="201" spans="1:7" hidden="1" x14ac:dyDescent="0.25">
      <c r="A201">
        <v>199</v>
      </c>
      <c r="B201" t="s">
        <v>443</v>
      </c>
      <c r="C201" t="s">
        <v>715</v>
      </c>
      <c r="D201">
        <v>199</v>
      </c>
      <c r="E201" t="str">
        <f t="shared" si="6"/>
        <v>TE</v>
      </c>
      <c r="F201">
        <f t="shared" si="7"/>
        <v>26</v>
      </c>
      <c r="G201" t="str" cm="1">
        <f t="array" ref="G201">_xlfn.LET(_xlpm.x,TRIM(B201),_xlpm.base,IFERROR(_xlfn.TEXTBEFORE(_xlpm.x,"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Ja'Tavion Sanders</v>
      </c>
    </row>
    <row r="202" spans="1:7" hidden="1" x14ac:dyDescent="0.25">
      <c r="A202">
        <v>200</v>
      </c>
      <c r="B202" t="s">
        <v>162</v>
      </c>
      <c r="C202" t="s">
        <v>732</v>
      </c>
      <c r="D202">
        <v>200</v>
      </c>
      <c r="E202" t="str">
        <f t="shared" si="6"/>
        <v>WR</v>
      </c>
      <c r="F202">
        <f t="shared" si="7"/>
        <v>80</v>
      </c>
      <c r="G202" t="str" cm="1">
        <f t="array" ref="G202">_xlfn.LET(_xlpm.x,TRIM(B202),_xlpm.base,IFERROR(_xlfn.TEXTBEFORE(_xlpm.x,"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Darius Slayton</v>
      </c>
    </row>
    <row r="203" spans="1:7" hidden="1" x14ac:dyDescent="0.25">
      <c r="A203">
        <v>201</v>
      </c>
      <c r="B203" t="s">
        <v>1215</v>
      </c>
      <c r="C203" t="s">
        <v>726</v>
      </c>
      <c r="D203">
        <v>201</v>
      </c>
      <c r="E203" t="str">
        <f t="shared" si="6"/>
        <v>RB</v>
      </c>
      <c r="F203">
        <f t="shared" si="7"/>
        <v>65</v>
      </c>
      <c r="G203" t="str" cm="1">
        <f t="array" ref="G203">_xlfn.LET(_xlpm.x,TRIM(B203),_xlpm.base,IFERROR(_xlfn.TEXTBEFORE(_xlpm.x,"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Tahj Brooks</v>
      </c>
    </row>
    <row r="204" spans="1:7" hidden="1" x14ac:dyDescent="0.25">
      <c r="A204">
        <v>202</v>
      </c>
      <c r="B204" t="s">
        <v>260</v>
      </c>
      <c r="C204" t="s">
        <v>731</v>
      </c>
      <c r="D204">
        <v>202</v>
      </c>
      <c r="E204" t="str">
        <f t="shared" si="6"/>
        <v>RB</v>
      </c>
      <c r="F204">
        <f t="shared" si="7"/>
        <v>66</v>
      </c>
      <c r="G204" t="str" cm="1">
        <f t="array" ref="G204">_xlfn.LET(_xlpm.x,TRIM(B204),_xlpm.base,IFERROR(_xlfn.TEXTBEFORE(_xlpm.x,"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Blake Corum</v>
      </c>
    </row>
    <row r="205" spans="1:7" hidden="1" x14ac:dyDescent="0.25">
      <c r="A205">
        <v>203</v>
      </c>
      <c r="B205" t="s">
        <v>375</v>
      </c>
      <c r="C205" t="s">
        <v>755</v>
      </c>
      <c r="D205">
        <v>203</v>
      </c>
      <c r="E205" t="str">
        <f t="shared" si="6"/>
        <v>QB</v>
      </c>
      <c r="F205">
        <f t="shared" si="7"/>
        <v>31</v>
      </c>
      <c r="G205" t="str" cm="1">
        <f t="array" ref="G205">_xlfn.LET(_xlpm.x,TRIM(B205),_xlpm.base,IFERROR(_xlfn.TEXTBEFORE(_xlpm.x,"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Russell Wilson</v>
      </c>
    </row>
    <row r="206" spans="1:7" hidden="1" x14ac:dyDescent="0.25">
      <c r="A206">
        <v>204</v>
      </c>
      <c r="B206" t="s">
        <v>56</v>
      </c>
      <c r="C206" t="s">
        <v>719</v>
      </c>
      <c r="D206">
        <v>204</v>
      </c>
      <c r="E206" t="str">
        <f t="shared" si="6"/>
        <v>TE</v>
      </c>
      <c r="F206">
        <f t="shared" si="7"/>
        <v>27</v>
      </c>
      <c r="G206" t="str" cm="1">
        <f t="array" ref="G206">_xlfn.LET(_xlpm.x,TRIM(B206),_xlpm.base,IFERROR(_xlfn.TEXTBEFORE(_xlpm.x,"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Theo Johnson</v>
      </c>
    </row>
    <row r="207" spans="1:7" hidden="1" x14ac:dyDescent="0.25">
      <c r="A207">
        <v>205</v>
      </c>
      <c r="B207" t="s">
        <v>109</v>
      </c>
      <c r="C207" t="s">
        <v>735</v>
      </c>
      <c r="D207">
        <v>205</v>
      </c>
      <c r="E207" t="str">
        <f t="shared" si="6"/>
        <v>WR</v>
      </c>
      <c r="F207">
        <f t="shared" si="7"/>
        <v>81</v>
      </c>
      <c r="G207" t="str" cm="1">
        <f t="array" ref="G207">_xlfn.LET(_xlpm.x,TRIM(B207),_xlpm.base,IFERROR(_xlfn.TEXTBEFORE(_xlpm.x,"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Michael Wilson</v>
      </c>
    </row>
    <row r="208" spans="1:7" hidden="1" x14ac:dyDescent="0.25">
      <c r="A208">
        <v>206</v>
      </c>
      <c r="B208" t="s">
        <v>1216</v>
      </c>
      <c r="C208" t="s">
        <v>724</v>
      </c>
      <c r="D208">
        <v>206</v>
      </c>
      <c r="E208" t="str">
        <f t="shared" si="6"/>
        <v>TE</v>
      </c>
      <c r="F208">
        <f t="shared" si="7"/>
        <v>28</v>
      </c>
      <c r="G208" t="str" cm="1">
        <f t="array" ref="G208">_xlfn.LET(_xlpm.x,TRIM(B208),_xlpm.base,IFERROR(_xlfn.TEXTBEFORE(_xlpm.x,"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Elijah Arroyo</v>
      </c>
    </row>
    <row r="209" spans="1:7" hidden="1" x14ac:dyDescent="0.25">
      <c r="A209">
        <v>207</v>
      </c>
      <c r="B209" t="s">
        <v>31</v>
      </c>
      <c r="C209" t="s">
        <v>743</v>
      </c>
      <c r="D209">
        <v>207</v>
      </c>
      <c r="E209" t="str">
        <f t="shared" si="6"/>
        <v>TE</v>
      </c>
      <c r="F209">
        <f t="shared" si="7"/>
        <v>29</v>
      </c>
      <c r="G209" t="str" cm="1">
        <f t="array" ref="G209">_xlfn.LET(_xlpm.x,TRIM(B209),_xlpm.base,IFERROR(_xlfn.TEXTBEFORE(_xlpm.x,"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Harold Fannin Jr.</v>
      </c>
    </row>
    <row r="210" spans="1:7" hidden="1" x14ac:dyDescent="0.25">
      <c r="A210">
        <v>208</v>
      </c>
      <c r="B210" t="s">
        <v>377</v>
      </c>
      <c r="C210" t="s">
        <v>759</v>
      </c>
      <c r="D210">
        <v>208</v>
      </c>
      <c r="E210" t="str">
        <f t="shared" si="6"/>
        <v>QB</v>
      </c>
      <c r="F210">
        <f t="shared" si="7"/>
        <v>32</v>
      </c>
      <c r="G210" t="str" cm="1">
        <f t="array" ref="G210">_xlfn.LET(_xlpm.x,TRIM(B210),_xlpm.base,IFERROR(_xlfn.TEXTBEFORE(_xlpm.x,"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Anthony Richardson Sr.</v>
      </c>
    </row>
    <row r="211" spans="1:7" hidden="1" x14ac:dyDescent="0.25">
      <c r="A211">
        <v>209</v>
      </c>
      <c r="B211" t="s">
        <v>70</v>
      </c>
      <c r="C211" t="s">
        <v>745</v>
      </c>
      <c r="D211">
        <v>209</v>
      </c>
      <c r="E211" t="str">
        <f t="shared" si="6"/>
        <v>TE</v>
      </c>
      <c r="F211">
        <f t="shared" si="7"/>
        <v>30</v>
      </c>
      <c r="G211" t="str" cm="1">
        <f t="array" ref="G211">_xlfn.LET(_xlpm.x,TRIM(B211),_xlpm.base,IFERROR(_xlfn.TEXTBEFORE(_xlpm.x,"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Pat Freiermuth</v>
      </c>
    </row>
    <row r="212" spans="1:7" hidden="1" x14ac:dyDescent="0.25">
      <c r="A212">
        <v>210</v>
      </c>
      <c r="B212" t="s">
        <v>358</v>
      </c>
      <c r="C212" t="s">
        <v>762</v>
      </c>
      <c r="D212">
        <v>210</v>
      </c>
      <c r="E212" t="str">
        <f t="shared" si="6"/>
        <v>QB</v>
      </c>
      <c r="F212">
        <f t="shared" si="7"/>
        <v>33</v>
      </c>
      <c r="G212" t="str" cm="1">
        <f t="array" ref="G212">_xlfn.LET(_xlpm.x,TRIM(B212),_xlpm.base,IFERROR(_xlfn.TEXTBEFORE(_xlpm.x,"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Joe Flacco</v>
      </c>
    </row>
    <row r="213" spans="1:7" hidden="1" x14ac:dyDescent="0.25">
      <c r="A213">
        <v>211</v>
      </c>
      <c r="B213" t="s">
        <v>394</v>
      </c>
      <c r="C213" t="s">
        <v>733</v>
      </c>
      <c r="D213">
        <v>211</v>
      </c>
      <c r="E213" t="str">
        <f t="shared" si="6"/>
        <v>RB</v>
      </c>
      <c r="F213">
        <f t="shared" si="7"/>
        <v>67</v>
      </c>
      <c r="G213" t="str" cm="1">
        <f t="array" ref="G213">_xlfn.LET(_xlpm.x,TRIM(B213),_xlpm.base,IFERROR(_xlfn.TEXTBEFORE(_xlpm.x,"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Roschon Johnson</v>
      </c>
    </row>
    <row r="214" spans="1:7" hidden="1" x14ac:dyDescent="0.25">
      <c r="A214">
        <v>212</v>
      </c>
      <c r="B214" t="s">
        <v>399</v>
      </c>
      <c r="C214" t="s">
        <v>747</v>
      </c>
      <c r="D214">
        <v>212</v>
      </c>
      <c r="E214" t="str">
        <f t="shared" si="6"/>
        <v>RB</v>
      </c>
      <c r="F214">
        <f t="shared" si="7"/>
        <v>68</v>
      </c>
      <c r="G214" t="str" cm="1">
        <f t="array" ref="G214">_xlfn.LET(_xlpm.x,TRIM(B214),_xlpm.base,IFERROR(_xlfn.TEXTBEFORE(_xlpm.x,"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Dameon Pierce</v>
      </c>
    </row>
    <row r="215" spans="1:7" hidden="1" x14ac:dyDescent="0.25">
      <c r="A215">
        <v>213</v>
      </c>
      <c r="B215" t="s">
        <v>169</v>
      </c>
      <c r="C215" t="s">
        <v>736</v>
      </c>
      <c r="D215">
        <v>213</v>
      </c>
      <c r="E215" t="str">
        <f t="shared" si="6"/>
        <v>WR</v>
      </c>
      <c r="F215">
        <f t="shared" si="7"/>
        <v>82</v>
      </c>
      <c r="G215" t="str" cm="1">
        <f t="array" ref="G215">_xlfn.LET(_xlpm.x,TRIM(B215),_xlpm.base,IFERROR(_xlfn.TEXTBEFORE(_xlpm.x,"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Andrei Iosivas</v>
      </c>
    </row>
    <row r="216" spans="1:7" hidden="1" x14ac:dyDescent="0.25">
      <c r="A216">
        <v>214</v>
      </c>
      <c r="B216" t="s">
        <v>290</v>
      </c>
      <c r="C216" t="s">
        <v>753</v>
      </c>
      <c r="D216">
        <v>214</v>
      </c>
      <c r="E216" t="str">
        <f t="shared" si="6"/>
        <v>RB</v>
      </c>
      <c r="F216">
        <f t="shared" si="7"/>
        <v>69</v>
      </c>
      <c r="G216" t="str" cm="1">
        <f t="array" ref="G216">_xlfn.LET(_xlpm.x,TRIM(B216),_xlpm.base,IFERROR(_xlfn.TEXTBEFORE(_xlpm.x,"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Jaylen Wright</v>
      </c>
    </row>
    <row r="217" spans="1:7" hidden="1" x14ac:dyDescent="0.25">
      <c r="A217">
        <v>215</v>
      </c>
      <c r="B217" t="s">
        <v>300</v>
      </c>
      <c r="C217" t="s">
        <v>754</v>
      </c>
      <c r="D217">
        <v>215</v>
      </c>
      <c r="E217" t="str">
        <f t="shared" si="6"/>
        <v>RB</v>
      </c>
      <c r="F217">
        <f t="shared" si="7"/>
        <v>70</v>
      </c>
      <c r="G217" t="str" cm="1">
        <f t="array" ref="G217">_xlfn.LET(_xlpm.x,TRIM(B217),_xlpm.base,IFERROR(_xlfn.TEXTBEFORE(_xlpm.x,"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Kendre Miller</v>
      </c>
    </row>
    <row r="218" spans="1:7" hidden="1" x14ac:dyDescent="0.25">
      <c r="A218">
        <v>216</v>
      </c>
      <c r="B218" t="s">
        <v>36</v>
      </c>
      <c r="C218" t="s">
        <v>750</v>
      </c>
      <c r="D218">
        <v>216</v>
      </c>
      <c r="E218" t="str">
        <f t="shared" si="6"/>
        <v>TE</v>
      </c>
      <c r="F218">
        <f t="shared" si="7"/>
        <v>31</v>
      </c>
      <c r="G218" t="str" cm="1">
        <f t="array" ref="G218">_xlfn.LET(_xlpm.x,TRIM(B218),_xlpm.base,IFERROR(_xlfn.TEXTBEFORE(_xlpm.x,"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Juwan Johnson</v>
      </c>
    </row>
    <row r="219" spans="1:7" hidden="1" x14ac:dyDescent="0.25">
      <c r="A219">
        <v>217</v>
      </c>
      <c r="B219" t="s">
        <v>40</v>
      </c>
      <c r="C219" t="s">
        <v>756</v>
      </c>
      <c r="D219">
        <v>217</v>
      </c>
      <c r="E219" t="str">
        <f t="shared" si="6"/>
        <v>TE</v>
      </c>
      <c r="F219">
        <f t="shared" si="7"/>
        <v>32</v>
      </c>
      <c r="G219" t="str" cm="1">
        <f t="array" ref="G219">_xlfn.LET(_xlpm.x,TRIM(B219),_xlpm.base,IFERROR(_xlfn.TEXTBEFORE(_xlpm.x,"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Dalton Schultz</v>
      </c>
    </row>
    <row r="220" spans="1:7" hidden="1" x14ac:dyDescent="0.25">
      <c r="A220">
        <v>218</v>
      </c>
      <c r="B220" t="s">
        <v>219</v>
      </c>
      <c r="C220" t="s">
        <v>737</v>
      </c>
      <c r="D220">
        <v>218</v>
      </c>
      <c r="E220" t="str">
        <f t="shared" si="6"/>
        <v>WR</v>
      </c>
      <c r="F220">
        <f t="shared" si="7"/>
        <v>83</v>
      </c>
      <c r="G220" t="str" cm="1">
        <f t="array" ref="G220">_xlfn.LET(_xlpm.x,TRIM(B220),_xlpm.base,IFERROR(_xlfn.TEXTBEFORE(_xlpm.x,"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Jack Bech</v>
      </c>
    </row>
    <row r="221" spans="1:7" hidden="1" x14ac:dyDescent="0.25">
      <c r="A221">
        <v>219</v>
      </c>
      <c r="B221" t="s">
        <v>934</v>
      </c>
      <c r="C221" t="s">
        <v>738</v>
      </c>
      <c r="D221">
        <v>219</v>
      </c>
      <c r="E221" t="str">
        <f t="shared" si="6"/>
        <v>WR</v>
      </c>
      <c r="F221">
        <f t="shared" si="7"/>
        <v>84</v>
      </c>
      <c r="G221" t="str" cm="1">
        <f t="array" ref="G221">_xlfn.LET(_xlpm.x,TRIM(B221),_xlpm.base,IFERROR(_xlfn.TEXTBEFORE(_xlpm.x,"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Roman Wilson</v>
      </c>
    </row>
    <row r="222" spans="1:7" hidden="1" x14ac:dyDescent="0.25">
      <c r="A222">
        <v>220</v>
      </c>
      <c r="B222" t="s">
        <v>83</v>
      </c>
      <c r="C222" t="s">
        <v>760</v>
      </c>
      <c r="D222">
        <v>220</v>
      </c>
      <c r="E222" t="str">
        <f t="shared" si="6"/>
        <v>TE</v>
      </c>
      <c r="F222">
        <f t="shared" si="7"/>
        <v>33</v>
      </c>
      <c r="G222" t="str" cm="1">
        <f t="array" ref="G222">_xlfn.LET(_xlpm.x,TRIM(B222),_xlpm.base,IFERROR(_xlfn.TEXTBEFORE(_xlpm.x,"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Darren Waller</v>
      </c>
    </row>
    <row r="223" spans="1:7" hidden="1" x14ac:dyDescent="0.25">
      <c r="A223">
        <v>221</v>
      </c>
      <c r="B223" t="s">
        <v>210</v>
      </c>
      <c r="C223" t="s">
        <v>740</v>
      </c>
      <c r="D223">
        <v>221</v>
      </c>
      <c r="E223" t="str">
        <f t="shared" si="6"/>
        <v>WR</v>
      </c>
      <c r="F223">
        <f t="shared" si="7"/>
        <v>85</v>
      </c>
      <c r="G223" t="str" cm="1">
        <f t="array" ref="G223">_xlfn.LET(_xlpm.x,TRIM(B223),_xlpm.base,IFERROR(_xlfn.TEXTBEFORE(_xlpm.x,"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Dyami Brown</v>
      </c>
    </row>
    <row r="224" spans="1:7" hidden="1" x14ac:dyDescent="0.25">
      <c r="A224">
        <v>222</v>
      </c>
      <c r="B224" t="s">
        <v>282</v>
      </c>
      <c r="C224" t="s">
        <v>767</v>
      </c>
      <c r="D224">
        <v>222</v>
      </c>
      <c r="E224" t="str">
        <f t="shared" si="6"/>
        <v>RB</v>
      </c>
      <c r="F224">
        <f t="shared" si="7"/>
        <v>71</v>
      </c>
      <c r="G224" t="str" cm="1">
        <f t="array" ref="G224">_xlfn.LET(_xlpm.x,TRIM(B224),_xlpm.base,IFERROR(_xlfn.TEXTBEFORE(_xlpm.x,"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Brashard Smith</v>
      </c>
    </row>
    <row r="225" spans="1:7" hidden="1" x14ac:dyDescent="0.25">
      <c r="A225">
        <v>223</v>
      </c>
      <c r="B225" t="s">
        <v>1217</v>
      </c>
      <c r="C225" t="s">
        <v>741</v>
      </c>
      <c r="D225">
        <v>223</v>
      </c>
      <c r="E225" t="str">
        <f t="shared" si="6"/>
        <v>WR</v>
      </c>
      <c r="F225">
        <f t="shared" si="7"/>
        <v>86</v>
      </c>
      <c r="G225" t="str" cm="1">
        <f t="array" ref="G225">_xlfn.LET(_xlpm.x,TRIM(B225),_xlpm.base,IFERROR(_xlfn.TEXTBEFORE(_xlpm.x,"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Jaylin Noel</v>
      </c>
    </row>
    <row r="226" spans="1:7" hidden="1" x14ac:dyDescent="0.25">
      <c r="A226">
        <v>224</v>
      </c>
      <c r="B226" t="s">
        <v>272</v>
      </c>
      <c r="C226" t="s">
        <v>768</v>
      </c>
      <c r="D226">
        <v>224</v>
      </c>
      <c r="E226" t="str">
        <f t="shared" si="6"/>
        <v>RB</v>
      </c>
      <c r="F226">
        <f t="shared" si="7"/>
        <v>72</v>
      </c>
      <c r="G226" t="str" cm="1">
        <f t="array" ref="G226">_xlfn.LET(_xlpm.x,TRIM(B226),_xlpm.base,IFERROR(_xlfn.TEXTBEFORE(_xlpm.x,"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Sean Tucker</v>
      </c>
    </row>
    <row r="227" spans="1:7" hidden="1" x14ac:dyDescent="0.25">
      <c r="A227">
        <v>225</v>
      </c>
      <c r="B227" t="s">
        <v>409</v>
      </c>
      <c r="C227" t="s">
        <v>744</v>
      </c>
      <c r="D227">
        <v>225</v>
      </c>
      <c r="E227" t="str">
        <f t="shared" si="6"/>
        <v>WR</v>
      </c>
      <c r="F227">
        <f t="shared" si="7"/>
        <v>87</v>
      </c>
      <c r="G227" t="str" cm="1">
        <f t="array" ref="G227">_xlfn.LET(_xlpm.x,TRIM(B227),_xlpm.base,IFERROR(_xlfn.TEXTBEFORE(_xlpm.x,"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Ray-Ray McCloud III</v>
      </c>
    </row>
    <row r="228" spans="1:7" hidden="1" x14ac:dyDescent="0.25">
      <c r="A228">
        <v>226</v>
      </c>
      <c r="B228" t="s">
        <v>173</v>
      </c>
      <c r="C228" t="s">
        <v>748</v>
      </c>
      <c r="D228">
        <v>226</v>
      </c>
      <c r="E228" t="str">
        <f t="shared" si="6"/>
        <v>WR</v>
      </c>
      <c r="F228">
        <f t="shared" si="7"/>
        <v>88</v>
      </c>
      <c r="G228" t="str" cm="1">
        <f t="array" ref="G228">_xlfn.LET(_xlpm.x,TRIM(B228),_xlpm.base,IFERROR(_xlfn.TEXTBEFORE(_xlpm.x,"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Calvin Austin III</v>
      </c>
    </row>
    <row r="229" spans="1:7" hidden="1" x14ac:dyDescent="0.25">
      <c r="A229">
        <v>227</v>
      </c>
      <c r="B229" t="s">
        <v>304</v>
      </c>
      <c r="C229" t="s">
        <v>772</v>
      </c>
      <c r="D229">
        <v>227</v>
      </c>
      <c r="E229" t="str">
        <f t="shared" si="6"/>
        <v>RB</v>
      </c>
      <c r="F229">
        <f t="shared" si="7"/>
        <v>73</v>
      </c>
      <c r="G229" t="str" cm="1">
        <f t="array" ref="G229">_xlfn.LET(_xlpm.x,TRIM(B229),_xlpm.base,IFERROR(_xlfn.TEXTBEFORE(_xlpm.x,"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Raheem Mostert</v>
      </c>
    </row>
    <row r="230" spans="1:7" hidden="1" x14ac:dyDescent="0.25">
      <c r="A230">
        <v>228</v>
      </c>
      <c r="B230" t="s">
        <v>305</v>
      </c>
      <c r="C230" t="s">
        <v>775</v>
      </c>
      <c r="D230">
        <v>228</v>
      </c>
      <c r="E230" t="str">
        <f t="shared" si="6"/>
        <v>RB</v>
      </c>
      <c r="F230">
        <f t="shared" si="7"/>
        <v>74</v>
      </c>
      <c r="G230" t="str" cm="1">
        <f t="array" ref="G230">_xlfn.LET(_xlpm.x,TRIM(B230),_xlpm.base,IFERROR(_xlfn.TEXTBEFORE(_xlpm.x,"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Miles Sanders</v>
      </c>
    </row>
    <row r="231" spans="1:7" hidden="1" x14ac:dyDescent="0.25">
      <c r="A231">
        <v>229</v>
      </c>
      <c r="B231" t="s">
        <v>92</v>
      </c>
      <c r="C231" t="s">
        <v>766</v>
      </c>
      <c r="D231">
        <v>229</v>
      </c>
      <c r="E231" t="str">
        <f t="shared" si="6"/>
        <v>TE</v>
      </c>
      <c r="F231">
        <f t="shared" si="7"/>
        <v>34</v>
      </c>
      <c r="G231" t="str" cm="1">
        <f t="array" ref="G231">_xlfn.LET(_xlpm.x,TRIM(B231),_xlpm.base,IFERROR(_xlfn.TEXTBEFORE(_xlpm.x,"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Tyler Higbee</v>
      </c>
    </row>
    <row r="232" spans="1:7" hidden="1" x14ac:dyDescent="0.25">
      <c r="A232">
        <v>230</v>
      </c>
      <c r="B232" t="s">
        <v>1218</v>
      </c>
      <c r="C232" t="s">
        <v>777</v>
      </c>
      <c r="D232">
        <v>230</v>
      </c>
      <c r="E232" t="str">
        <f t="shared" si="6"/>
        <v>RB</v>
      </c>
      <c r="F232">
        <f t="shared" si="7"/>
        <v>75</v>
      </c>
      <c r="G232" t="str" cm="1">
        <f t="array" ref="G232">_xlfn.LET(_xlpm.x,TRIM(B232),_xlpm.base,IFERROR(_xlfn.TEXTBEFORE(_xlpm.x,"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Jarquez Hunter</v>
      </c>
    </row>
    <row r="233" spans="1:7" hidden="1" x14ac:dyDescent="0.25">
      <c r="A233">
        <v>231</v>
      </c>
      <c r="B233" t="s">
        <v>1219</v>
      </c>
      <c r="C233" t="s">
        <v>751</v>
      </c>
      <c r="D233">
        <v>231</v>
      </c>
      <c r="E233" t="str">
        <f t="shared" si="6"/>
        <v>WR</v>
      </c>
      <c r="F233">
        <f t="shared" si="7"/>
        <v>89</v>
      </c>
      <c r="G233" t="str" cm="1">
        <f t="array" ref="G233">_xlfn.LET(_xlpm.x,TRIM(B233),_xlpm.base,IFERROR(_xlfn.TEXTBEFORE(_xlpm.x,"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Efton Chism III</v>
      </c>
    </row>
    <row r="234" spans="1:7" hidden="1" x14ac:dyDescent="0.25">
      <c r="A234">
        <v>232</v>
      </c>
      <c r="B234" t="s">
        <v>150</v>
      </c>
      <c r="C234" t="s">
        <v>752</v>
      </c>
      <c r="D234">
        <v>232</v>
      </c>
      <c r="E234" t="str">
        <f t="shared" si="6"/>
        <v>WR</v>
      </c>
      <c r="F234">
        <f t="shared" si="7"/>
        <v>90</v>
      </c>
      <c r="G234" t="str" cm="1">
        <f t="array" ref="G234">_xlfn.LET(_xlpm.x,TRIM(B234),_xlpm.base,IFERROR(_xlfn.TEXTBEFORE(_xlpm.x,"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Kayshon Boutte</v>
      </c>
    </row>
    <row r="235" spans="1:7" hidden="1" x14ac:dyDescent="0.25">
      <c r="A235">
        <v>233</v>
      </c>
      <c r="B235" t="s">
        <v>153</v>
      </c>
      <c r="C235" t="s">
        <v>758</v>
      </c>
      <c r="D235">
        <v>233</v>
      </c>
      <c r="E235" t="str">
        <f t="shared" si="6"/>
        <v>WR</v>
      </c>
      <c r="F235">
        <f t="shared" si="7"/>
        <v>91</v>
      </c>
      <c r="G235" t="str" cm="1">
        <f t="array" ref="G235">_xlfn.LET(_xlpm.x,TRIM(B235),_xlpm.base,IFERROR(_xlfn.TEXTBEFORE(_xlpm.x,"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Malik Washington</v>
      </c>
    </row>
    <row r="236" spans="1:7" hidden="1" x14ac:dyDescent="0.25">
      <c r="A236">
        <v>234</v>
      </c>
      <c r="B236" t="s">
        <v>413</v>
      </c>
      <c r="C236" t="s">
        <v>761</v>
      </c>
      <c r="D236">
        <v>234</v>
      </c>
      <c r="E236" t="str">
        <f t="shared" si="6"/>
        <v>WR</v>
      </c>
      <c r="F236">
        <f t="shared" si="7"/>
        <v>92</v>
      </c>
      <c r="G236" t="str" cm="1">
        <f t="array" ref="G236">_xlfn.LET(_xlpm.x,TRIM(B236),_xlpm.base,IFERROR(_xlfn.TEXTBEFORE(_xlpm.x,"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Jalen McMillan</v>
      </c>
    </row>
    <row r="237" spans="1:7" hidden="1" x14ac:dyDescent="0.25">
      <c r="A237">
        <v>235</v>
      </c>
      <c r="B237" t="s">
        <v>186</v>
      </c>
      <c r="C237" t="s">
        <v>763</v>
      </c>
      <c r="D237">
        <v>235</v>
      </c>
      <c r="E237" t="str">
        <f t="shared" si="6"/>
        <v>WR</v>
      </c>
      <c r="F237">
        <f t="shared" si="7"/>
        <v>93</v>
      </c>
      <c r="G237" t="str" cm="1">
        <f t="array" ref="G237">_xlfn.LET(_xlpm.x,TRIM(B237),_xlpm.base,IFERROR(_xlfn.TEXTBEFORE(_xlpm.x,"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Tyler Lockett</v>
      </c>
    </row>
    <row r="238" spans="1:7" hidden="1" x14ac:dyDescent="0.25">
      <c r="A238">
        <v>236</v>
      </c>
      <c r="B238" t="s">
        <v>269</v>
      </c>
      <c r="C238" t="s">
        <v>780</v>
      </c>
      <c r="D238">
        <v>236</v>
      </c>
      <c r="E238" t="str">
        <f t="shared" si="6"/>
        <v>RB</v>
      </c>
      <c r="F238">
        <f t="shared" si="7"/>
        <v>76</v>
      </c>
      <c r="G238" t="str" cm="1">
        <f t="array" ref="G238">_xlfn.LET(_xlpm.x,TRIM(B238),_xlpm.base,IFERROR(_xlfn.TEXTBEFORE(_xlpm.x,"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Emanuel Wilson</v>
      </c>
    </row>
    <row r="239" spans="1:7" hidden="1" x14ac:dyDescent="0.25">
      <c r="A239">
        <v>237</v>
      </c>
      <c r="B239" t="s">
        <v>494</v>
      </c>
      <c r="C239" t="s">
        <v>789</v>
      </c>
      <c r="D239">
        <v>237</v>
      </c>
      <c r="E239" t="str">
        <f t="shared" si="6"/>
        <v>RB</v>
      </c>
      <c r="F239">
        <f t="shared" si="7"/>
        <v>77</v>
      </c>
      <c r="G239" t="str" cm="1">
        <f t="array" ref="G239">_xlfn.LET(_xlpm.x,TRIM(B239),_xlpm.base,IFERROR(_xlfn.TEXTBEFORE(_xlpm.x,"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Elijah Mitchell</v>
      </c>
    </row>
    <row r="240" spans="1:7" hidden="1" x14ac:dyDescent="0.25">
      <c r="A240">
        <v>238</v>
      </c>
      <c r="B240" t="s">
        <v>437</v>
      </c>
      <c r="C240" t="s">
        <v>773</v>
      </c>
      <c r="D240">
        <v>238</v>
      </c>
      <c r="E240" t="str">
        <f t="shared" si="6"/>
        <v>TE</v>
      </c>
      <c r="F240">
        <f t="shared" si="7"/>
        <v>35</v>
      </c>
      <c r="G240" t="str" cm="1">
        <f t="array" ref="G240">_xlfn.LET(_xlpm.x,TRIM(B240),_xlpm.base,IFERROR(_xlfn.TEXTBEFORE(_xlpm.x,"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Noah Gray</v>
      </c>
    </row>
    <row r="241" spans="1:7" hidden="1" x14ac:dyDescent="0.25">
      <c r="A241">
        <v>239</v>
      </c>
      <c r="B241" t="s">
        <v>367</v>
      </c>
      <c r="C241" t="s">
        <v>810</v>
      </c>
      <c r="D241">
        <v>239</v>
      </c>
      <c r="E241" t="str">
        <f t="shared" si="6"/>
        <v>QB</v>
      </c>
      <c r="F241">
        <f t="shared" si="7"/>
        <v>34</v>
      </c>
      <c r="G241" t="str" cm="1">
        <f t="array" ref="G241">_xlfn.LET(_xlpm.x,TRIM(B241),_xlpm.base,IFERROR(_xlfn.TEXTBEFORE(_xlpm.x,"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Spencer Rattler</v>
      </c>
    </row>
    <row r="242" spans="1:7" hidden="1" x14ac:dyDescent="0.25">
      <c r="A242">
        <v>240</v>
      </c>
      <c r="B242" t="s">
        <v>172</v>
      </c>
      <c r="C242" t="s">
        <v>765</v>
      </c>
      <c r="D242">
        <v>240</v>
      </c>
      <c r="E242" t="str">
        <f t="shared" si="6"/>
        <v>WR</v>
      </c>
      <c r="F242">
        <f t="shared" si="7"/>
        <v>94</v>
      </c>
      <c r="G242" t="str" cm="1">
        <f t="array" ref="G242">_xlfn.LET(_xlpm.x,TRIM(B242),_xlpm.base,IFERROR(_xlfn.TEXTBEFORE(_xlpm.x,"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Adonai Mitchell</v>
      </c>
    </row>
    <row r="243" spans="1:7" hidden="1" x14ac:dyDescent="0.25">
      <c r="A243">
        <v>241</v>
      </c>
      <c r="B243" t="s">
        <v>357</v>
      </c>
      <c r="C243" t="s">
        <v>813</v>
      </c>
      <c r="D243">
        <v>241</v>
      </c>
      <c r="E243" t="str">
        <f t="shared" si="6"/>
        <v>QB</v>
      </c>
      <c r="F243">
        <f t="shared" si="7"/>
        <v>35</v>
      </c>
      <c r="G243" t="str" cm="1">
        <f t="array" ref="G243">_xlfn.LET(_xlpm.x,TRIM(B243),_xlpm.base,IFERROR(_xlfn.TEXTBEFORE(_xlpm.x,"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Tyler Shough</v>
      </c>
    </row>
    <row r="244" spans="1:7" hidden="1" x14ac:dyDescent="0.25">
      <c r="A244">
        <v>242</v>
      </c>
      <c r="B244" t="s">
        <v>160</v>
      </c>
      <c r="C244" t="s">
        <v>770</v>
      </c>
      <c r="D244">
        <v>242</v>
      </c>
      <c r="E244" t="str">
        <f t="shared" si="6"/>
        <v>WR</v>
      </c>
      <c r="F244">
        <f t="shared" si="7"/>
        <v>95</v>
      </c>
      <c r="G244" t="str" cm="1">
        <f t="array" ref="G244">_xlfn.LET(_xlpm.x,TRIM(B244),_xlpm.base,IFERROR(_xlfn.TEXTBEFORE(_xlpm.x,"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Jalen Nailor</v>
      </c>
    </row>
    <row r="245" spans="1:7" hidden="1" x14ac:dyDescent="0.25">
      <c r="A245">
        <v>243</v>
      </c>
      <c r="B245" t="s">
        <v>182</v>
      </c>
      <c r="C245" t="s">
        <v>771</v>
      </c>
      <c r="D245">
        <v>243</v>
      </c>
      <c r="E245" t="str">
        <f t="shared" si="6"/>
        <v>WR</v>
      </c>
      <c r="F245">
        <f t="shared" si="7"/>
        <v>96</v>
      </c>
      <c r="G245" t="str" cm="1">
        <f t="array" ref="G245">_xlfn.LET(_xlpm.x,TRIM(B245),_xlpm.base,IFERROR(_xlfn.TEXTBEFORE(_xlpm.x,"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Dontayvion Wicks</v>
      </c>
    </row>
    <row r="246" spans="1:7" hidden="1" x14ac:dyDescent="0.25">
      <c r="A246">
        <v>244</v>
      </c>
      <c r="B246" t="s">
        <v>175</v>
      </c>
      <c r="C246" t="s">
        <v>774</v>
      </c>
      <c r="D246">
        <v>244</v>
      </c>
      <c r="E246" t="str">
        <f t="shared" si="6"/>
        <v>WR</v>
      </c>
      <c r="F246">
        <f t="shared" si="7"/>
        <v>97</v>
      </c>
      <c r="G246" t="str" cm="1">
        <f t="array" ref="G246">_xlfn.LET(_xlpm.x,TRIM(B246),_xlpm.base,IFERROR(_xlfn.TEXTBEFORE(_xlpm.x,"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Olamide Zaccheaus</v>
      </c>
    </row>
    <row r="247" spans="1:7" hidden="1" x14ac:dyDescent="0.25">
      <c r="A247">
        <v>245</v>
      </c>
      <c r="B247" t="s">
        <v>217</v>
      </c>
      <c r="C247" t="s">
        <v>779</v>
      </c>
      <c r="D247">
        <v>245</v>
      </c>
      <c r="E247" t="str">
        <f t="shared" si="6"/>
        <v>WR</v>
      </c>
      <c r="F247">
        <f t="shared" si="7"/>
        <v>98</v>
      </c>
      <c r="G247" t="str" cm="1">
        <f t="array" ref="G247">_xlfn.LET(_xlpm.x,TRIM(B247),_xlpm.base,IFERROR(_xlfn.TEXTBEFORE(_xlpm.x,"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Jalen Tolbert</v>
      </c>
    </row>
    <row r="248" spans="1:7" hidden="1" x14ac:dyDescent="0.25">
      <c r="A248">
        <v>246</v>
      </c>
      <c r="B248" t="s">
        <v>436</v>
      </c>
      <c r="C248" t="s">
        <v>776</v>
      </c>
      <c r="D248">
        <v>246</v>
      </c>
      <c r="E248" t="str">
        <f t="shared" si="6"/>
        <v>TE</v>
      </c>
      <c r="F248">
        <f t="shared" si="7"/>
        <v>36</v>
      </c>
      <c r="G248" t="str" cm="1">
        <f t="array" ref="G248">_xlfn.LET(_xlpm.x,TRIM(B248),_xlpm.base,IFERROR(_xlfn.TEXTBEFORE(_xlpm.x,"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Tyler Conklin</v>
      </c>
    </row>
    <row r="249" spans="1:7" hidden="1" x14ac:dyDescent="0.25">
      <c r="A249">
        <v>247</v>
      </c>
      <c r="B249" t="s">
        <v>212</v>
      </c>
      <c r="C249" t="s">
        <v>781</v>
      </c>
      <c r="D249">
        <v>247</v>
      </c>
      <c r="E249" t="str">
        <f t="shared" si="6"/>
        <v>WR</v>
      </c>
      <c r="F249">
        <f t="shared" si="7"/>
        <v>99</v>
      </c>
      <c r="G249" t="str" cm="1">
        <f t="array" ref="G249">_xlfn.LET(_xlpm.x,TRIM(B249),_xlpm.base,IFERROR(_xlfn.TEXTBEFORE(_xlpm.x,"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Jaylin La</v>
      </c>
    </row>
    <row r="250" spans="1:7" hidden="1" x14ac:dyDescent="0.25">
      <c r="A250">
        <v>248</v>
      </c>
      <c r="B250" t="s">
        <v>236</v>
      </c>
      <c r="C250" t="s">
        <v>798</v>
      </c>
      <c r="D250">
        <v>248</v>
      </c>
      <c r="E250" t="str">
        <f t="shared" si="6"/>
        <v>RB</v>
      </c>
      <c r="F250">
        <f t="shared" si="7"/>
        <v>78</v>
      </c>
      <c r="G250" t="str" cm="1">
        <f t="array" ref="G250">_xlfn.LET(_xlpm.x,TRIM(B250),_xlpm.base,IFERROR(_xlfn.TEXTBEFORE(_xlpm.x,"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Kenny Gainwell</v>
      </c>
    </row>
    <row r="251" spans="1:7" hidden="1" x14ac:dyDescent="0.25">
      <c r="A251">
        <v>249</v>
      </c>
      <c r="B251" t="s">
        <v>1220</v>
      </c>
      <c r="C251" t="s">
        <v>782</v>
      </c>
      <c r="D251">
        <v>249</v>
      </c>
      <c r="E251" t="str">
        <f t="shared" si="6"/>
        <v>WR</v>
      </c>
      <c r="F251">
        <f t="shared" si="7"/>
        <v>100</v>
      </c>
      <c r="G251" t="str" cm="1">
        <f t="array" ref="G251">_xlfn.LET(_xlpm.x,TRIM(B251),_xlpm.base,IFERROR(_xlfn.TEXTBEFORE(_xlpm.x,"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Jalen Royals</v>
      </c>
    </row>
    <row r="252" spans="1:7" hidden="1" x14ac:dyDescent="0.25">
      <c r="A252">
        <v>250</v>
      </c>
      <c r="B252" t="s">
        <v>1221</v>
      </c>
      <c r="C252" t="s">
        <v>783</v>
      </c>
      <c r="D252">
        <v>250</v>
      </c>
      <c r="E252" t="str">
        <f t="shared" si="6"/>
        <v>WR</v>
      </c>
      <c r="F252">
        <f t="shared" si="7"/>
        <v>101</v>
      </c>
      <c r="G252" t="str" cm="1">
        <f t="array" ref="G252">_xlfn.LET(_xlpm.x,TRIM(B252),_xlpm.base,IFERROR(_xlfn.TEXTBEFORE(_xlpm.x,"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KeAndre Lambert-Smith</v>
      </c>
    </row>
    <row r="253" spans="1:7" hidden="1" x14ac:dyDescent="0.25">
      <c r="A253">
        <v>251</v>
      </c>
      <c r="B253" t="s">
        <v>137</v>
      </c>
      <c r="C253" t="s">
        <v>784</v>
      </c>
      <c r="D253">
        <v>251</v>
      </c>
      <c r="E253" t="str">
        <f t="shared" si="6"/>
        <v>WR</v>
      </c>
      <c r="F253">
        <f t="shared" si="7"/>
        <v>102</v>
      </c>
      <c r="G253" t="str" cm="1">
        <f t="array" ref="G253">_xlfn.LET(_xlpm.x,TRIM(B253),_xlpm.base,IFERROR(_xlfn.TEXTBEFORE(_xlpm.x,"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Tre Tucker</v>
      </c>
    </row>
    <row r="254" spans="1:7" hidden="1" x14ac:dyDescent="0.25">
      <c r="A254">
        <v>252</v>
      </c>
      <c r="B254" t="s">
        <v>302</v>
      </c>
      <c r="C254" t="s">
        <v>806</v>
      </c>
      <c r="D254">
        <v>252</v>
      </c>
      <c r="E254" t="str">
        <f t="shared" si="6"/>
        <v>RB</v>
      </c>
      <c r="F254">
        <f t="shared" si="7"/>
        <v>79</v>
      </c>
      <c r="G254" t="str" cm="1">
        <f t="array" ref="G254">_xlfn.LET(_xlpm.x,TRIM(B254),_xlpm.base,IFERROR(_xlfn.TEXTBEFORE(_xlpm.x,"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Jaleel McLaughlin</v>
      </c>
    </row>
    <row r="255" spans="1:7" hidden="1" x14ac:dyDescent="0.25">
      <c r="A255">
        <v>253</v>
      </c>
      <c r="B255" t="s">
        <v>368</v>
      </c>
      <c r="C255" t="s">
        <v>827</v>
      </c>
      <c r="D255">
        <v>253</v>
      </c>
      <c r="E255" t="str">
        <f t="shared" si="6"/>
        <v>QB</v>
      </c>
      <c r="F255">
        <f t="shared" si="7"/>
        <v>36</v>
      </c>
      <c r="G255" t="str" cm="1">
        <f t="array" ref="G255">_xlfn.LET(_xlpm.x,TRIM(B255),_xlpm.base,IFERROR(_xlfn.TEXTBEFORE(_xlpm.x,"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Shedeur Sanders</v>
      </c>
    </row>
    <row r="256" spans="1:7" hidden="1" x14ac:dyDescent="0.25">
      <c r="A256">
        <v>254</v>
      </c>
      <c r="B256" t="s">
        <v>203</v>
      </c>
      <c r="C256" t="s">
        <v>785</v>
      </c>
      <c r="D256">
        <v>254</v>
      </c>
      <c r="E256" t="str">
        <f t="shared" si="6"/>
        <v>WR</v>
      </c>
      <c r="F256">
        <f t="shared" si="7"/>
        <v>103</v>
      </c>
      <c r="G256" t="str" cm="1">
        <f t="array" ref="G256">_xlfn.LET(_xlpm.x,TRIM(B256),_xlpm.base,IFERROR(_xlfn.TEXTBEFORE(_xlpm.x,"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Isaiah Bond</v>
      </c>
    </row>
    <row r="257" spans="1:7" hidden="1" x14ac:dyDescent="0.25">
      <c r="A257">
        <v>255</v>
      </c>
      <c r="B257" t="s">
        <v>417</v>
      </c>
      <c r="C257" t="s">
        <v>787</v>
      </c>
      <c r="D257">
        <v>255</v>
      </c>
      <c r="E257" t="str">
        <f t="shared" si="6"/>
        <v>WR</v>
      </c>
      <c r="F257">
        <f t="shared" si="7"/>
        <v>104</v>
      </c>
      <c r="G257" t="str" cm="1">
        <f t="array" ref="G257">_xlfn.LET(_xlpm.x,TRIM(B257),_xlpm.base,IFERROR(_xlfn.TEXTBEFORE(_xlpm.x,"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Tutu Atwell</v>
      </c>
    </row>
    <row r="258" spans="1:7" hidden="1" x14ac:dyDescent="0.25">
      <c r="A258">
        <v>256</v>
      </c>
      <c r="B258" t="s">
        <v>1222</v>
      </c>
      <c r="C258" t="s">
        <v>830</v>
      </c>
      <c r="D258">
        <v>256</v>
      </c>
      <c r="E258" t="str">
        <f t="shared" si="6"/>
        <v>QB</v>
      </c>
      <c r="F258">
        <f t="shared" si="7"/>
        <v>37</v>
      </c>
      <c r="G258" t="str" cm="1">
        <f t="array" ref="G258">_xlfn.LET(_xlpm.x,TRIM(B258),_xlpm.base,IFERROR(_xlfn.TEXTBEFORE(_xlpm.x,"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Jalen Milroe</v>
      </c>
    </row>
    <row r="259" spans="1:7" hidden="1" x14ac:dyDescent="0.25">
      <c r="A259">
        <v>257</v>
      </c>
      <c r="B259" t="s">
        <v>87</v>
      </c>
      <c r="C259" t="s">
        <v>778</v>
      </c>
      <c r="D259">
        <v>257</v>
      </c>
      <c r="E259" t="str">
        <f t="shared" si="6"/>
        <v>TE</v>
      </c>
      <c r="F259">
        <f t="shared" si="7"/>
        <v>37</v>
      </c>
      <c r="G259" t="str" cm="1">
        <f t="array" ref="G259">_xlfn.LET(_xlpm.x,TRIM(B259),_xlpm.base,IFERROR(_xlfn.TEXTBEFORE(_xlpm.x,"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Cole Kmet</v>
      </c>
    </row>
    <row r="260" spans="1:7" hidden="1" x14ac:dyDescent="0.25">
      <c r="A260">
        <v>258</v>
      </c>
      <c r="B260" t="s">
        <v>484</v>
      </c>
      <c r="C260" t="s">
        <v>791</v>
      </c>
      <c r="D260">
        <v>258</v>
      </c>
      <c r="E260" t="str">
        <f t="shared" ref="E260:E323" si="8">LEFT(C260,2)</f>
        <v>WR</v>
      </c>
      <c r="F260">
        <f t="shared" ref="F260:F323" si="9">VALUE(MID(C260,3,LEN(C260)))</f>
        <v>105</v>
      </c>
      <c r="G260" t="str" cm="1">
        <f t="array" ref="G260">_xlfn.LET(_xlpm.x,TRIM(B260),_xlpm.base,IFERROR(_xlfn.TEXTBEFORE(_xlpm.x,"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Hunter Renfrow</v>
      </c>
    </row>
    <row r="261" spans="1:7" hidden="1" x14ac:dyDescent="0.25">
      <c r="A261">
        <v>259</v>
      </c>
      <c r="B261" t="s">
        <v>419</v>
      </c>
      <c r="C261" t="s">
        <v>792</v>
      </c>
      <c r="D261">
        <v>259</v>
      </c>
      <c r="E261" t="str">
        <f t="shared" si="8"/>
        <v>WR</v>
      </c>
      <c r="F261">
        <f t="shared" si="9"/>
        <v>106</v>
      </c>
      <c r="G261" t="str" cm="1">
        <f t="array" ref="G261">_xlfn.LET(_xlpm.x,TRIM(B261),_xlpm.base,IFERROR(_xlfn.TEXTBEFORE(_xlpm.x,"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Noah Brown</v>
      </c>
    </row>
    <row r="262" spans="1:7" hidden="1" x14ac:dyDescent="0.25">
      <c r="A262">
        <v>260</v>
      </c>
      <c r="B262" t="s">
        <v>176</v>
      </c>
      <c r="C262" t="s">
        <v>793</v>
      </c>
      <c r="D262">
        <v>260</v>
      </c>
      <c r="E262" t="str">
        <f t="shared" si="8"/>
        <v>WR</v>
      </c>
      <c r="F262">
        <f t="shared" si="9"/>
        <v>107</v>
      </c>
      <c r="G262" t="str" cm="1">
        <f t="array" ref="G262">_xlfn.LET(_xlpm.x,TRIM(B262),_xlpm.base,IFERROR(_xlfn.TEXTBEFORE(_xlpm.x,"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KaVontae Turpin</v>
      </c>
    </row>
    <row r="263" spans="1:7" hidden="1" x14ac:dyDescent="0.25">
      <c r="A263">
        <v>261</v>
      </c>
      <c r="B263" t="s">
        <v>435</v>
      </c>
      <c r="C263" t="s">
        <v>794</v>
      </c>
      <c r="D263">
        <v>261</v>
      </c>
      <c r="E263" t="str">
        <f t="shared" si="8"/>
        <v>WR</v>
      </c>
      <c r="F263">
        <f t="shared" si="9"/>
        <v>108</v>
      </c>
      <c r="G263" t="str" cm="1">
        <f t="array" ref="G263">_xlfn.LET(_xlpm.x,TRIM(B263),_xlpm.base,IFERROR(_xlfn.TEXTBEFORE(_xlpm.x,"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Josh Reynolds</v>
      </c>
    </row>
    <row r="264" spans="1:7" hidden="1" x14ac:dyDescent="0.25">
      <c r="A264">
        <v>262</v>
      </c>
      <c r="B264" t="s">
        <v>284</v>
      </c>
      <c r="C264" t="s">
        <v>807</v>
      </c>
      <c r="D264">
        <v>262</v>
      </c>
      <c r="E264" t="str">
        <f t="shared" si="8"/>
        <v>RB</v>
      </c>
      <c r="F264">
        <f t="shared" si="9"/>
        <v>80</v>
      </c>
      <c r="G264" t="str" cm="1">
        <f t="array" ref="G264">_xlfn.LET(_xlpm.x,TRIM(B264),_xlpm.base,IFERROR(_xlfn.TEXTBEFORE(_xlpm.x,"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Devin Neal</v>
      </c>
    </row>
    <row r="265" spans="1:7" hidden="1" x14ac:dyDescent="0.25">
      <c r="A265">
        <v>263</v>
      </c>
      <c r="B265" t="s">
        <v>187</v>
      </c>
      <c r="C265" t="s">
        <v>795</v>
      </c>
      <c r="D265">
        <v>263</v>
      </c>
      <c r="E265" t="str">
        <f t="shared" si="8"/>
        <v>WR</v>
      </c>
      <c r="F265">
        <f t="shared" si="9"/>
        <v>109</v>
      </c>
      <c r="G265" t="str" cm="1">
        <f t="array" ref="G265">_xlfn.LET(_xlpm.x,TRIM(B265),_xlpm.base,IFERROR(_xlfn.TEXTBEFORE(_xlpm.x,"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John Metchie III</v>
      </c>
    </row>
    <row r="266" spans="1:7" hidden="1" x14ac:dyDescent="0.25">
      <c r="A266">
        <v>264</v>
      </c>
      <c r="B266" t="s">
        <v>412</v>
      </c>
      <c r="C266" t="s">
        <v>796</v>
      </c>
      <c r="D266">
        <v>264</v>
      </c>
      <c r="E266" t="str">
        <f t="shared" si="8"/>
        <v>WR</v>
      </c>
      <c r="F266">
        <f t="shared" si="9"/>
        <v>110</v>
      </c>
      <c r="G266" t="str" cm="1">
        <f t="array" ref="G266">_xlfn.LET(_xlpm.x,TRIM(B266),_xlpm.base,IFERROR(_xlfn.TEXTBEFORE(_xlpm.x,"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Nick Westbrook-Ikhi</v>
      </c>
    </row>
    <row r="267" spans="1:7" hidden="1" x14ac:dyDescent="0.25">
      <c r="A267">
        <v>265</v>
      </c>
      <c r="B267" t="s">
        <v>322</v>
      </c>
      <c r="C267" t="s">
        <v>809</v>
      </c>
      <c r="D267">
        <v>265</v>
      </c>
      <c r="E267" t="str">
        <f t="shared" si="8"/>
        <v>RB</v>
      </c>
      <c r="F267">
        <f t="shared" si="9"/>
        <v>81</v>
      </c>
      <c r="G267" t="str" cm="1">
        <f t="array" ref="G267">_xlfn.LET(_xlpm.x,TRIM(B267),_xlpm.base,IFERROR(_xlfn.TEXTBEFORE(_xlpm.x,"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Trevor Etien</v>
      </c>
    </row>
    <row r="268" spans="1:7" hidden="1" x14ac:dyDescent="0.25">
      <c r="A268">
        <v>266</v>
      </c>
      <c r="B268" t="s">
        <v>416</v>
      </c>
      <c r="C268" t="s">
        <v>800</v>
      </c>
      <c r="D268">
        <v>266</v>
      </c>
      <c r="E268" t="str">
        <f t="shared" si="8"/>
        <v>WR</v>
      </c>
      <c r="F268">
        <f t="shared" si="9"/>
        <v>111</v>
      </c>
      <c r="G268" t="str" cm="1">
        <f t="array" ref="G268">_xlfn.LET(_xlpm.x,TRIM(B268),_xlpm.base,IFERROR(_xlfn.TEXTBEFORE(_xlpm.x,"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Elijah Moore</v>
      </c>
    </row>
    <row r="269" spans="1:7" hidden="1" x14ac:dyDescent="0.25">
      <c r="A269">
        <v>267</v>
      </c>
      <c r="B269" t="s">
        <v>421</v>
      </c>
      <c r="C269" t="s">
        <v>804</v>
      </c>
      <c r="D269">
        <v>267</v>
      </c>
      <c r="E269" t="str">
        <f t="shared" si="8"/>
        <v>WR</v>
      </c>
      <c r="F269">
        <f t="shared" si="9"/>
        <v>112</v>
      </c>
      <c r="G269" t="str" cm="1">
        <f t="array" ref="G269">_xlfn.LET(_xlpm.x,TRIM(B269),_xlpm.base,IFERROR(_xlfn.TEXTBEFORE(_xlpm.x,"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Marquez Valdes-Scantling</v>
      </c>
    </row>
    <row r="270" spans="1:7" hidden="1" x14ac:dyDescent="0.25">
      <c r="A270">
        <v>268</v>
      </c>
      <c r="B270" t="s">
        <v>267</v>
      </c>
      <c r="C270" t="s">
        <v>816</v>
      </c>
      <c r="D270">
        <v>268</v>
      </c>
      <c r="E270" t="str">
        <f t="shared" si="8"/>
        <v>RB</v>
      </c>
      <c r="F270">
        <f t="shared" si="9"/>
        <v>82</v>
      </c>
      <c r="G270" t="str" cm="1">
        <f t="array" ref="G270">_xlfn.LET(_xlpm.x,TRIM(B270),_xlpm.base,IFERROR(_xlfn.TEXTBEFORE(_xlpm.x,"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Ty Johnson</v>
      </c>
    </row>
    <row r="271" spans="1:7" hidden="1" x14ac:dyDescent="0.25">
      <c r="A271">
        <v>269</v>
      </c>
      <c r="B271" t="s">
        <v>1223</v>
      </c>
      <c r="C271" t="s">
        <v>801</v>
      </c>
      <c r="D271">
        <v>269</v>
      </c>
      <c r="E271" t="str">
        <f t="shared" si="8"/>
        <v>TE</v>
      </c>
      <c r="F271">
        <f t="shared" si="9"/>
        <v>38</v>
      </c>
      <c r="G271" t="str" cm="1">
        <f t="array" ref="G271">_xlfn.LET(_xlpm.x,TRIM(B271),_xlpm.base,IFERROR(_xlfn.TEXTBEFORE(_xlpm.x,"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Terrance Ferguson</v>
      </c>
    </row>
    <row r="272" spans="1:7" hidden="1" x14ac:dyDescent="0.25">
      <c r="A272">
        <v>270</v>
      </c>
      <c r="B272" t="s">
        <v>366</v>
      </c>
      <c r="C272" t="s">
        <v>839</v>
      </c>
      <c r="D272">
        <v>270</v>
      </c>
      <c r="E272" t="str">
        <f t="shared" si="8"/>
        <v>QB</v>
      </c>
      <c r="F272">
        <f t="shared" si="9"/>
        <v>38</v>
      </c>
      <c r="G272" t="str" cm="1">
        <f t="array" ref="G272">_xlfn.LET(_xlpm.x,TRIM(B272),_xlpm.base,IFERROR(_xlfn.TEXTBEFORE(_xlpm.x,"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Kirk Cousins</v>
      </c>
    </row>
    <row r="273" spans="1:7" hidden="1" x14ac:dyDescent="0.25">
      <c r="A273">
        <v>271</v>
      </c>
      <c r="B273" t="s">
        <v>194</v>
      </c>
      <c r="C273" t="s">
        <v>817</v>
      </c>
      <c r="D273">
        <v>271</v>
      </c>
      <c r="E273" t="str">
        <f t="shared" si="8"/>
        <v>WR</v>
      </c>
      <c r="F273">
        <f t="shared" si="9"/>
        <v>113</v>
      </c>
      <c r="G273" t="str" cm="1">
        <f t="array" ref="G273">_xlfn.LET(_xlpm.x,TRIM(B273),_xlpm.base,IFERROR(_xlfn.TEXTBEFORE(_xlpm.x,"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Devaughn Vele</v>
      </c>
    </row>
    <row r="274" spans="1:7" hidden="1" x14ac:dyDescent="0.25">
      <c r="A274">
        <v>272</v>
      </c>
      <c r="B274" t="s">
        <v>199</v>
      </c>
      <c r="C274" t="s">
        <v>820</v>
      </c>
      <c r="D274">
        <v>272</v>
      </c>
      <c r="E274" t="str">
        <f t="shared" si="8"/>
        <v>WR</v>
      </c>
      <c r="F274">
        <f t="shared" si="9"/>
        <v>114</v>
      </c>
      <c r="G274" t="str" cm="1">
        <f t="array" ref="G274">_xlfn.LET(_xlpm.x,TRIM(B274),_xlpm.base,IFERROR(_xlfn.TEXTBEFORE(_xlpm.x,"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Demarcus Robinson</v>
      </c>
    </row>
    <row r="275" spans="1:7" hidden="1" x14ac:dyDescent="0.25">
      <c r="A275">
        <v>273</v>
      </c>
      <c r="B275" t="s">
        <v>277</v>
      </c>
      <c r="C275" t="s">
        <v>838</v>
      </c>
      <c r="D275">
        <v>273</v>
      </c>
      <c r="E275" t="str">
        <f t="shared" si="8"/>
        <v>RB</v>
      </c>
      <c r="F275">
        <f t="shared" si="9"/>
        <v>83</v>
      </c>
      <c r="G275" t="str" cm="1">
        <f t="array" ref="G275">_xlfn.LET(_xlpm.x,TRIM(B275),_xlpm.base,IFERROR(_xlfn.TEXTBEFORE(_xlpm.x,"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Samaje Peri</v>
      </c>
    </row>
    <row r="276" spans="1:7" hidden="1" x14ac:dyDescent="0.25">
      <c r="A276">
        <v>274</v>
      </c>
      <c r="B276" t="s">
        <v>265</v>
      </c>
      <c r="C276" t="s">
        <v>841</v>
      </c>
      <c r="D276">
        <v>274</v>
      </c>
      <c r="E276" t="str">
        <f t="shared" si="8"/>
        <v>RB</v>
      </c>
      <c r="F276">
        <f t="shared" si="9"/>
        <v>84</v>
      </c>
      <c r="G276" t="str" cm="1">
        <f t="array" ref="G276">_xlfn.LET(_xlpm.x,TRIM(B276),_xlpm.base,IFERROR(_xlfn.TEXTBEFORE(_xlpm.x,"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Devin Singletary</v>
      </c>
    </row>
    <row r="277" spans="1:7" hidden="1" x14ac:dyDescent="0.25">
      <c r="A277">
        <v>275</v>
      </c>
      <c r="B277" t="s">
        <v>1071</v>
      </c>
      <c r="C277" t="s">
        <v>843</v>
      </c>
      <c r="D277">
        <v>275</v>
      </c>
      <c r="E277" t="str">
        <f t="shared" si="8"/>
        <v>RB</v>
      </c>
      <c r="F277">
        <f t="shared" si="9"/>
        <v>85</v>
      </c>
      <c r="G277" t="str" cm="1">
        <f t="array" ref="G277">_xlfn.LET(_xlpm.x,TRIM(B277),_xlpm.base,IFERROR(_xlfn.TEXTBEFORE(_xlpm.x,"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MarShawn Lloyd</v>
      </c>
    </row>
    <row r="278" spans="1:7" hidden="1" x14ac:dyDescent="0.25">
      <c r="A278">
        <v>276</v>
      </c>
      <c r="B278" t="s">
        <v>145</v>
      </c>
      <c r="C278" t="s">
        <v>824</v>
      </c>
      <c r="D278">
        <v>276</v>
      </c>
      <c r="E278" t="str">
        <f t="shared" si="8"/>
        <v>WR</v>
      </c>
      <c r="F278">
        <f t="shared" si="9"/>
        <v>115</v>
      </c>
      <c r="G278" t="str" cm="1">
        <f t="array" ref="G278">_xlfn.LET(_xlpm.x,TRIM(B278),_xlpm.base,IFERROR(_xlfn.TEXTBEFORE(_xlpm.x,"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Christian Watson</v>
      </c>
    </row>
    <row r="279" spans="1:7" hidden="1" x14ac:dyDescent="0.25">
      <c r="A279">
        <v>277</v>
      </c>
      <c r="B279" t="s">
        <v>50</v>
      </c>
      <c r="C279" t="s">
        <v>802</v>
      </c>
      <c r="D279">
        <v>277</v>
      </c>
      <c r="E279" t="str">
        <f t="shared" si="8"/>
        <v>TE</v>
      </c>
      <c r="F279">
        <f t="shared" si="9"/>
        <v>39</v>
      </c>
      <c r="G279" t="str" cm="1">
        <f t="array" ref="G279">_xlfn.LET(_xlpm.x,TRIM(B279),_xlpm.base,IFERROR(_xlfn.TEXTBEFORE(_xlpm.x,"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Oronde Gadsden II</v>
      </c>
    </row>
    <row r="280" spans="1:7" hidden="1" x14ac:dyDescent="0.25">
      <c r="A280">
        <v>278</v>
      </c>
      <c r="B280" t="s">
        <v>48</v>
      </c>
      <c r="C280" t="s">
        <v>808</v>
      </c>
      <c r="D280">
        <v>278</v>
      </c>
      <c r="E280" t="str">
        <f t="shared" si="8"/>
        <v>TE</v>
      </c>
      <c r="F280">
        <f t="shared" si="9"/>
        <v>40</v>
      </c>
      <c r="G280" t="str" cm="1">
        <f t="array" ref="G280">_xlfn.LET(_xlpm.x,TRIM(B280),_xlpm.base,IFERROR(_xlfn.TEXTBEFORE(_xlpm.x,"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AJ Barner</v>
      </c>
    </row>
    <row r="281" spans="1:7" hidden="1" x14ac:dyDescent="0.25">
      <c r="A281">
        <v>279</v>
      </c>
      <c r="B281" t="s">
        <v>440</v>
      </c>
      <c r="C281" t="s">
        <v>821</v>
      </c>
      <c r="D281">
        <v>279</v>
      </c>
      <c r="E281" t="str">
        <f t="shared" si="8"/>
        <v>TE</v>
      </c>
      <c r="F281">
        <f t="shared" si="9"/>
        <v>41</v>
      </c>
      <c r="G281" t="str" cm="1">
        <f t="array" ref="G281">_xlfn.LET(_xlpm.x,TRIM(B281),_xlpm.base,IFERROR(_xlfn.TEXTBEFORE(_xlpm.x,"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Taysom Hill</v>
      </c>
    </row>
    <row r="282" spans="1:7" hidden="1" x14ac:dyDescent="0.25">
      <c r="A282">
        <v>280</v>
      </c>
      <c r="B282" t="s">
        <v>90</v>
      </c>
      <c r="C282" t="s">
        <v>825</v>
      </c>
      <c r="D282">
        <v>280</v>
      </c>
      <c r="E282" t="str">
        <f t="shared" si="8"/>
        <v>TE</v>
      </c>
      <c r="F282">
        <f t="shared" si="9"/>
        <v>42</v>
      </c>
      <c r="G282" t="str" cm="1">
        <f t="array" ref="G282">_xlfn.LET(_xlpm.x,TRIM(B282),_xlpm.base,IFERROR(_xlfn.TEXTBEFORE(_xlpm.x,"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Michael Mayer</v>
      </c>
    </row>
    <row r="283" spans="1:7" hidden="1" x14ac:dyDescent="0.25">
      <c r="A283">
        <v>281</v>
      </c>
      <c r="B283" t="s">
        <v>185</v>
      </c>
      <c r="C283" t="s">
        <v>832</v>
      </c>
      <c r="D283">
        <v>281</v>
      </c>
      <c r="E283" t="str">
        <f t="shared" si="8"/>
        <v>WR</v>
      </c>
      <c r="F283">
        <f t="shared" si="9"/>
        <v>116</v>
      </c>
      <c r="G283" t="str" cm="1">
        <f t="array" ref="G283">_xlfn.LET(_xlpm.x,TRIM(B283),_xlpm.base,IFERROR(_xlfn.TEXTBEFORE(_xlpm.x,"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JuJu Smith-Schuster</v>
      </c>
    </row>
    <row r="284" spans="1:7" hidden="1" x14ac:dyDescent="0.25">
      <c r="A284">
        <v>282</v>
      </c>
      <c r="B284" t="s">
        <v>468</v>
      </c>
      <c r="C284" t="s">
        <v>833</v>
      </c>
      <c r="D284">
        <v>282</v>
      </c>
      <c r="E284" t="str">
        <f t="shared" si="8"/>
        <v>WR</v>
      </c>
      <c r="F284">
        <f t="shared" si="9"/>
        <v>117</v>
      </c>
      <c r="G284" t="str" cm="1">
        <f t="array" ref="G284">_xlfn.LET(_xlpm.x,TRIM(B284),_xlpm.base,IFERROR(_xlfn.TEXTBEFORE(_xlpm.x,"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Zay Jones</v>
      </c>
    </row>
    <row r="285" spans="1:7" hidden="1" x14ac:dyDescent="0.25">
      <c r="A285">
        <v>283</v>
      </c>
      <c r="B285" t="s">
        <v>180</v>
      </c>
      <c r="C285" t="s">
        <v>842</v>
      </c>
      <c r="D285">
        <v>283</v>
      </c>
      <c r="E285" t="str">
        <f t="shared" si="8"/>
        <v>WR</v>
      </c>
      <c r="F285">
        <f t="shared" si="9"/>
        <v>118</v>
      </c>
      <c r="G285" t="str" cm="1">
        <f t="array" ref="G285">_xlfn.LET(_xlpm.x,TRIM(B285),_xlpm.base,IFERROR(_xlfn.TEXTBEFORE(_xlpm.x,"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Tyquan Thornton</v>
      </c>
    </row>
    <row r="286" spans="1:7" hidden="1" x14ac:dyDescent="0.25">
      <c r="A286">
        <v>284</v>
      </c>
      <c r="B286" t="s">
        <v>1072</v>
      </c>
      <c r="C286" t="s">
        <v>829</v>
      </c>
      <c r="D286">
        <v>284</v>
      </c>
      <c r="E286" t="str">
        <f t="shared" si="8"/>
        <v>TE</v>
      </c>
      <c r="F286">
        <f t="shared" si="9"/>
        <v>43</v>
      </c>
      <c r="G286" t="str" cm="1">
        <f t="array" ref="G286">_xlfn.LET(_xlpm.x,TRIM(B286),_xlpm.base,IFERROR(_xlfn.TEXTBEFORE(_xlpm.x,"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Ben Sinnott</v>
      </c>
    </row>
    <row r="287" spans="1:7" hidden="1" x14ac:dyDescent="0.25">
      <c r="A287">
        <v>285</v>
      </c>
      <c r="B287" t="s">
        <v>301</v>
      </c>
      <c r="C287" t="s">
        <v>854</v>
      </c>
      <c r="D287">
        <v>285</v>
      </c>
      <c r="E287" t="str">
        <f t="shared" si="8"/>
        <v>RB</v>
      </c>
      <c r="F287">
        <f t="shared" si="9"/>
        <v>86</v>
      </c>
      <c r="G287" t="str" cm="1">
        <f t="array" ref="G287">_xlfn.LET(_xlpm.x,TRIM(B287),_xlpm.base,IFERROR(_xlfn.TEXTBEFORE(_xlpm.x,"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Chris Brooks</v>
      </c>
    </row>
    <row r="288" spans="1:7" hidden="1" x14ac:dyDescent="0.25">
      <c r="A288">
        <v>286</v>
      </c>
      <c r="B288" t="s">
        <v>488</v>
      </c>
      <c r="C288" t="s">
        <v>865</v>
      </c>
      <c r="D288">
        <v>286</v>
      </c>
      <c r="E288" t="str">
        <f t="shared" si="8"/>
        <v>RB</v>
      </c>
      <c r="F288">
        <f t="shared" si="9"/>
        <v>87</v>
      </c>
      <c r="G288" t="str" cm="1">
        <f t="array" ref="G288">_xlfn.LET(_xlpm.x,TRIM(B288),_xlpm.base,IFERROR(_xlfn.TEXTBEFORE(_xlpm.x,"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AJ Dillon</v>
      </c>
    </row>
    <row r="289" spans="1:7" hidden="1" x14ac:dyDescent="0.25">
      <c r="A289">
        <v>287</v>
      </c>
      <c r="B289" t="s">
        <v>410</v>
      </c>
      <c r="C289" t="s">
        <v>849</v>
      </c>
      <c r="D289">
        <v>287</v>
      </c>
      <c r="E289" t="str">
        <f t="shared" si="8"/>
        <v>WR</v>
      </c>
      <c r="F289">
        <f t="shared" si="9"/>
        <v>119</v>
      </c>
      <c r="G289" t="str" cm="1">
        <f t="array" ref="G289">_xlfn.LET(_xlpm.x,TRIM(B289),_xlpm.base,IFERROR(_xlfn.TEXTBEFORE(_xlpm.x,"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Tank Dell</v>
      </c>
    </row>
    <row r="290" spans="1:7" hidden="1" x14ac:dyDescent="0.25">
      <c r="A290">
        <v>288</v>
      </c>
      <c r="B290" t="s">
        <v>310</v>
      </c>
      <c r="C290" t="s">
        <v>870</v>
      </c>
      <c r="D290">
        <v>288</v>
      </c>
      <c r="E290" t="str">
        <f t="shared" si="8"/>
        <v>RB</v>
      </c>
      <c r="F290">
        <f t="shared" si="9"/>
        <v>88</v>
      </c>
      <c r="G290" t="str" cm="1">
        <f t="array" ref="G290">_xlfn.LET(_xlpm.x,TRIM(B290),_xlpm.base,IFERROR(_xlfn.TEXTBEFORE(_xlpm.x,"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Antonio Gibson</v>
      </c>
    </row>
    <row r="291" spans="1:7" hidden="1" x14ac:dyDescent="0.25">
      <c r="A291">
        <v>289</v>
      </c>
      <c r="B291" t="s">
        <v>209</v>
      </c>
      <c r="C291" t="s">
        <v>851</v>
      </c>
      <c r="D291">
        <v>289</v>
      </c>
      <c r="E291" t="str">
        <f t="shared" si="8"/>
        <v>WR</v>
      </c>
      <c r="F291">
        <f t="shared" si="9"/>
        <v>120</v>
      </c>
      <c r="G291" t="str" cm="1">
        <f t="array" ref="G291">_xlfn.LET(_xlpm.x,TRIM(B291),_xlpm.base,IFERROR(_xlfn.TEXTBEFORE(_xlpm.x,"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Jahan Dotson</v>
      </c>
    </row>
    <row r="292" spans="1:7" hidden="1" x14ac:dyDescent="0.25">
      <c r="A292">
        <v>290</v>
      </c>
      <c r="B292" t="s">
        <v>206</v>
      </c>
      <c r="C292" t="s">
        <v>855</v>
      </c>
      <c r="D292">
        <v>290</v>
      </c>
      <c r="E292" t="str">
        <f t="shared" si="8"/>
        <v>WR</v>
      </c>
      <c r="F292">
        <f t="shared" si="9"/>
        <v>121</v>
      </c>
      <c r="G292" t="str" cm="1">
        <f t="array" ref="G292">_xlfn.LET(_xlpm.x,TRIM(B292),_xlpm.base,IFERROR(_xlfn.TEXTBEFORE(_xlpm.x,"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Brandin Cooks</v>
      </c>
    </row>
    <row r="293" spans="1:7" hidden="1" x14ac:dyDescent="0.25">
      <c r="A293">
        <v>291</v>
      </c>
      <c r="B293" t="s">
        <v>1224</v>
      </c>
      <c r="C293" t="s">
        <v>857</v>
      </c>
      <c r="D293">
        <v>291</v>
      </c>
      <c r="E293" t="str">
        <f t="shared" si="8"/>
        <v>WR</v>
      </c>
      <c r="F293">
        <f t="shared" si="9"/>
        <v>122</v>
      </c>
      <c r="G293" t="str" cm="1">
        <f t="array" ref="G293">_xlfn.LET(_xlpm.x,TRIM(B293),_xlpm.base,IFERROR(_xlfn.TEXTBEFORE(_xlpm.x,"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Mitch Tinsley</v>
      </c>
    </row>
    <row r="294" spans="1:7" hidden="1" x14ac:dyDescent="0.25">
      <c r="A294">
        <v>292</v>
      </c>
      <c r="B294" t="s">
        <v>88</v>
      </c>
      <c r="C294" t="s">
        <v>837</v>
      </c>
      <c r="D294">
        <v>292</v>
      </c>
      <c r="E294" t="str">
        <f t="shared" si="8"/>
        <v>TE</v>
      </c>
      <c r="F294">
        <f t="shared" si="9"/>
        <v>44</v>
      </c>
      <c r="G294" t="str" cm="1">
        <f t="array" ref="G294">_xlfn.LET(_xlpm.x,TRIM(B294),_xlpm.base,IFERROR(_xlfn.TEXTBEFORE(_xlpm.x,"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Noah Fant</v>
      </c>
    </row>
    <row r="295" spans="1:7" hidden="1" x14ac:dyDescent="0.25">
      <c r="A295">
        <v>293</v>
      </c>
      <c r="B295" t="s">
        <v>476</v>
      </c>
      <c r="C295" t="s">
        <v>861</v>
      </c>
      <c r="D295">
        <v>293</v>
      </c>
      <c r="E295" t="str">
        <f t="shared" si="8"/>
        <v>WR</v>
      </c>
      <c r="F295">
        <f t="shared" si="9"/>
        <v>123</v>
      </c>
      <c r="G295" t="str" cm="1">
        <f t="array" ref="G295">_xlfn.LET(_xlpm.x,TRIM(B295),_xlpm.base,IFERROR(_xlfn.TEXTBEFORE(_xlpm.x,"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Jalin Hyatt</v>
      </c>
    </row>
    <row r="296" spans="1:7" hidden="1" x14ac:dyDescent="0.25">
      <c r="A296">
        <v>294</v>
      </c>
      <c r="B296" t="s">
        <v>1081</v>
      </c>
      <c r="C296" t="s">
        <v>875</v>
      </c>
      <c r="D296">
        <v>294</v>
      </c>
      <c r="E296" t="str">
        <f t="shared" si="8"/>
        <v>RB</v>
      </c>
      <c r="F296">
        <f t="shared" si="9"/>
        <v>89</v>
      </c>
      <c r="G296" t="str" cm="1">
        <f t="array" ref="G296">_xlfn.LET(_xlpm.x,TRIM(B296),_xlpm.base,IFERROR(_xlfn.TEXTBEFORE(_xlpm.x,"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Julius Chestnut</v>
      </c>
    </row>
    <row r="297" spans="1:7" hidden="1" x14ac:dyDescent="0.25">
      <c r="A297">
        <v>295</v>
      </c>
      <c r="B297" t="s">
        <v>414</v>
      </c>
      <c r="C297" t="s">
        <v>862</v>
      </c>
      <c r="D297">
        <v>295</v>
      </c>
      <c r="E297" t="str">
        <f t="shared" si="8"/>
        <v>WR</v>
      </c>
      <c r="F297">
        <f t="shared" si="9"/>
        <v>124</v>
      </c>
      <c r="G297" t="str" cm="1">
        <f t="array" ref="G297">_xlfn.LET(_xlpm.x,TRIM(B297),_xlpm.base,IFERROR(_xlfn.TEXTBEFORE(_xlpm.x,"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Allen Lazard</v>
      </c>
    </row>
    <row r="298" spans="1:7" hidden="1" x14ac:dyDescent="0.25">
      <c r="A298">
        <v>296</v>
      </c>
      <c r="B298" t="s">
        <v>189</v>
      </c>
      <c r="C298" t="s">
        <v>868</v>
      </c>
      <c r="D298">
        <v>296</v>
      </c>
      <c r="E298" t="str">
        <f t="shared" si="8"/>
        <v>WR</v>
      </c>
      <c r="F298">
        <f t="shared" si="9"/>
        <v>125</v>
      </c>
      <c r="G298" t="str" cm="1">
        <f t="array" ref="G298">_xlfn.LET(_xlpm.x,TRIM(B298),_xlpm.base,IFERROR(_xlfn.TEXTBEFORE(_xlpm.x,"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Van Jefferson</v>
      </c>
    </row>
    <row r="299" spans="1:7" hidden="1" x14ac:dyDescent="0.25">
      <c r="A299">
        <v>297</v>
      </c>
      <c r="B299" t="s">
        <v>430</v>
      </c>
      <c r="C299" t="s">
        <v>872</v>
      </c>
      <c r="D299">
        <v>297</v>
      </c>
      <c r="E299" t="str">
        <f t="shared" si="8"/>
        <v>WR</v>
      </c>
      <c r="F299">
        <f t="shared" si="9"/>
        <v>126</v>
      </c>
      <c r="G299" t="str" cm="1">
        <f t="array" ref="G299">_xlfn.LET(_xlpm.x,TRIM(B299),_xlpm.base,IFERROR(_xlfn.TEXTBEFORE(_xlpm.x,"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Jordan Whittington</v>
      </c>
    </row>
    <row r="300" spans="1:7" hidden="1" x14ac:dyDescent="0.25">
      <c r="A300">
        <v>298</v>
      </c>
      <c r="B300" t="s">
        <v>126</v>
      </c>
      <c r="C300" t="s">
        <v>873</v>
      </c>
      <c r="D300">
        <v>298</v>
      </c>
      <c r="E300" t="str">
        <f t="shared" si="8"/>
        <v>WR</v>
      </c>
      <c r="F300">
        <f t="shared" si="9"/>
        <v>127</v>
      </c>
      <c r="G300" t="str" cm="1">
        <f t="array" ref="G300">_xlfn.LET(_xlpm.x,TRIM(B300),_xlpm.base,IFERROR(_xlfn.TEXTBEFORE(_xlpm.x,"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Parker Washington</v>
      </c>
    </row>
    <row r="301" spans="1:7" hidden="1" x14ac:dyDescent="0.25">
      <c r="A301">
        <v>299</v>
      </c>
      <c r="B301" t="s">
        <v>279</v>
      </c>
      <c r="C301" t="s">
        <v>877</v>
      </c>
      <c r="D301">
        <v>299</v>
      </c>
      <c r="E301" t="str">
        <f t="shared" si="8"/>
        <v>RB</v>
      </c>
      <c r="F301">
        <f t="shared" si="9"/>
        <v>90</v>
      </c>
      <c r="G301" t="str" cm="1">
        <f t="array" ref="G301">_xlfn.LET(_xlpm.x,TRIM(B301),_xlpm.base,IFERROR(_xlfn.TEXTBEFORE(_xlpm.x,"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Isaiah Davis</v>
      </c>
    </row>
    <row r="302" spans="1:7" hidden="1" x14ac:dyDescent="0.25">
      <c r="A302">
        <v>300</v>
      </c>
      <c r="B302" t="s">
        <v>76</v>
      </c>
      <c r="C302" t="s">
        <v>856</v>
      </c>
      <c r="D302">
        <v>300</v>
      </c>
      <c r="E302" t="str">
        <f t="shared" si="8"/>
        <v>TE</v>
      </c>
      <c r="F302">
        <f t="shared" si="9"/>
        <v>45</v>
      </c>
      <c r="G302" t="str" cm="1">
        <f t="array" ref="G302">_xlfn.LET(_xlpm.x,TRIM(B302),_xlpm.base,IFERROR(_xlfn.TEXTBEFORE(_xlpm.x,"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Dawson Knox</v>
      </c>
    </row>
    <row r="303" spans="1:7" hidden="1" x14ac:dyDescent="0.25">
      <c r="A303">
        <v>301</v>
      </c>
      <c r="B303" t="s">
        <v>1225</v>
      </c>
      <c r="C303" t="s">
        <v>880</v>
      </c>
      <c r="D303">
        <v>301</v>
      </c>
      <c r="E303" t="str">
        <f t="shared" si="8"/>
        <v>WR</v>
      </c>
      <c r="F303">
        <f t="shared" si="9"/>
        <v>128</v>
      </c>
      <c r="G303" t="str" cm="1">
        <f t="array" ref="G303">_xlfn.LET(_xlpm.x,TRIM(B303),_xlpm.base,IFERROR(_xlfn.TEXTBEFORE(_xlpm.x,"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Jimmy Horn Jr.</v>
      </c>
    </row>
    <row r="304" spans="1:7" hidden="1" x14ac:dyDescent="0.25">
      <c r="A304">
        <v>302</v>
      </c>
      <c r="B304" t="s">
        <v>516</v>
      </c>
      <c r="C304" t="s">
        <v>848</v>
      </c>
      <c r="D304">
        <v>302</v>
      </c>
      <c r="E304" t="str">
        <f t="shared" si="8"/>
        <v>QB</v>
      </c>
      <c r="F304">
        <f t="shared" si="9"/>
        <v>39</v>
      </c>
      <c r="G304" t="str" cm="1">
        <f t="array" ref="G304">_xlfn.LET(_xlpm.x,TRIM(B304),_xlpm.base,IFERROR(_xlfn.TEXTBEFORE(_xlpm.x,"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Jimmy Garoppolo</v>
      </c>
    </row>
    <row r="305" spans="1:7" hidden="1" x14ac:dyDescent="0.25">
      <c r="A305">
        <v>303</v>
      </c>
      <c r="B305" t="s">
        <v>371</v>
      </c>
      <c r="C305" t="s">
        <v>874</v>
      </c>
      <c r="D305">
        <v>303</v>
      </c>
      <c r="E305" t="str">
        <f t="shared" si="8"/>
        <v>QB</v>
      </c>
      <c r="F305">
        <f t="shared" si="9"/>
        <v>40</v>
      </c>
      <c r="G305" t="str" cm="1">
        <f t="array" ref="G305">_xlfn.LET(_xlpm.x,TRIM(B305),_xlpm.base,IFERROR(_xlfn.TEXTBEFORE(_xlpm.x,"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Dillon Gabriel</v>
      </c>
    </row>
    <row r="306" spans="1:7" hidden="1" x14ac:dyDescent="0.25">
      <c r="A306">
        <v>304</v>
      </c>
      <c r="B306" t="s">
        <v>166</v>
      </c>
      <c r="C306" t="s">
        <v>890</v>
      </c>
      <c r="D306">
        <v>304</v>
      </c>
      <c r="E306" t="str">
        <f t="shared" si="8"/>
        <v>WR</v>
      </c>
      <c r="F306">
        <f t="shared" si="9"/>
        <v>129</v>
      </c>
      <c r="G306" t="str" cm="1">
        <f t="array" ref="G306">_xlfn.LET(_xlpm.x,TRIM(B306),_xlpm.base,IFERROR(_xlfn.TEXTBEFORE(_xlpm.x,"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Tez Johnson</v>
      </c>
    </row>
    <row r="307" spans="1:7" hidden="1" x14ac:dyDescent="0.25">
      <c r="A307">
        <v>305</v>
      </c>
      <c r="B307" t="s">
        <v>398</v>
      </c>
      <c r="C307" t="s">
        <v>879</v>
      </c>
      <c r="D307">
        <v>305</v>
      </c>
      <c r="E307" t="str">
        <f t="shared" si="8"/>
        <v>RB</v>
      </c>
      <c r="F307">
        <f t="shared" si="9"/>
        <v>91</v>
      </c>
      <c r="G307" t="str" cm="1">
        <f t="array" ref="G307">_xlfn.LET(_xlpm.x,TRIM(B307),_xlpm.base,IFERROR(_xlfn.TEXTBEFORE(_xlpm.x,"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Tyler Goodson</v>
      </c>
    </row>
    <row r="308" spans="1:7" hidden="1" x14ac:dyDescent="0.25">
      <c r="A308">
        <v>306</v>
      </c>
      <c r="B308" t="s">
        <v>504</v>
      </c>
      <c r="C308" t="s">
        <v>883</v>
      </c>
      <c r="D308">
        <v>306</v>
      </c>
      <c r="E308" t="str">
        <f t="shared" si="8"/>
        <v>RB</v>
      </c>
      <c r="F308">
        <f t="shared" si="9"/>
        <v>92</v>
      </c>
      <c r="G308" t="str" cm="1">
        <f t="array" ref="G308">_xlfn.LET(_xlpm.x,TRIM(B308),_xlpm.base,IFERROR(_xlfn.TEXTBEFORE(_xlpm.x,"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Craig Reynolds</v>
      </c>
    </row>
    <row r="309" spans="1:7" hidden="1" x14ac:dyDescent="0.25">
      <c r="A309">
        <v>307</v>
      </c>
      <c r="B309" t="s">
        <v>1226</v>
      </c>
      <c r="C309" t="s">
        <v>895</v>
      </c>
      <c r="D309">
        <v>307</v>
      </c>
      <c r="E309" t="str">
        <f t="shared" si="8"/>
        <v>WR</v>
      </c>
      <c r="F309">
        <f t="shared" si="9"/>
        <v>130</v>
      </c>
      <c r="G309" t="str" cm="1">
        <f t="array" ref="G309">_xlfn.LET(_xlpm.x,TRIM(B309),_xlpm.base,IFERROR(_xlfn.TEXTBEFORE(_xlpm.x,"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Xavier Restrepo</v>
      </c>
    </row>
    <row r="310" spans="1:7" hidden="1" x14ac:dyDescent="0.25">
      <c r="A310">
        <v>308</v>
      </c>
      <c r="B310" t="s">
        <v>80</v>
      </c>
      <c r="C310" t="s">
        <v>860</v>
      </c>
      <c r="D310">
        <v>308</v>
      </c>
      <c r="E310" t="str">
        <f t="shared" si="8"/>
        <v>TE</v>
      </c>
      <c r="F310">
        <f t="shared" si="9"/>
        <v>46</v>
      </c>
      <c r="G310" t="str" cm="1">
        <f t="array" ref="G310">_xlfn.LET(_xlpm.x,TRIM(B310),_xlpm.base,IFERROR(_xlfn.TEXTBEFORE(_xlpm.x,"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Gunnar Helm</v>
      </c>
    </row>
    <row r="311" spans="1:7" hidden="1" x14ac:dyDescent="0.25">
      <c r="A311">
        <v>309</v>
      </c>
      <c r="B311" t="s">
        <v>454</v>
      </c>
      <c r="C311" t="s">
        <v>884</v>
      </c>
      <c r="D311">
        <v>309</v>
      </c>
      <c r="E311" t="str">
        <f t="shared" si="8"/>
        <v>TE</v>
      </c>
      <c r="F311">
        <f t="shared" si="9"/>
        <v>47</v>
      </c>
      <c r="G311" t="str" cm="1">
        <f t="array" ref="G311">_xlfn.LET(_xlpm.x,TRIM(B311),_xlpm.base,IFERROR(_xlfn.TEXTBEFORE(_xlpm.x,"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Luke Musgrave</v>
      </c>
    </row>
    <row r="312" spans="1:7" hidden="1" x14ac:dyDescent="0.25">
      <c r="A312">
        <v>310</v>
      </c>
      <c r="B312" t="s">
        <v>438</v>
      </c>
      <c r="C312" t="s">
        <v>887</v>
      </c>
      <c r="D312">
        <v>310</v>
      </c>
      <c r="E312" t="str">
        <f t="shared" si="8"/>
        <v>TE</v>
      </c>
      <c r="F312">
        <f t="shared" si="9"/>
        <v>48</v>
      </c>
      <c r="G312" t="str" cm="1">
        <f t="array" ref="G312">_xlfn.LET(_xlpm.x,TRIM(B312),_xlpm.base,IFERROR(_xlfn.TEXTBEFORE(_xlpm.x,"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Will Dissly</v>
      </c>
    </row>
    <row r="313" spans="1:7" hidden="1" x14ac:dyDescent="0.25">
      <c r="A313">
        <v>311</v>
      </c>
      <c r="B313" t="s">
        <v>193</v>
      </c>
      <c r="C313" t="s">
        <v>905</v>
      </c>
      <c r="D313">
        <v>311</v>
      </c>
      <c r="E313" t="str">
        <f t="shared" si="8"/>
        <v>WR</v>
      </c>
      <c r="F313">
        <f t="shared" si="9"/>
        <v>131</v>
      </c>
      <c r="G313" t="str" cm="1">
        <f t="array" ref="G313">_xlfn.LET(_xlpm.x,TRIM(B313),_xlpm.base,IFERROR(_xlfn.TEXTBEFORE(_xlpm.x,"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Kalif Raymond</v>
      </c>
    </row>
    <row r="314" spans="1:7" hidden="1" x14ac:dyDescent="0.25">
      <c r="A314">
        <v>312</v>
      </c>
      <c r="B314" t="s">
        <v>519</v>
      </c>
      <c r="C314" t="s">
        <v>882</v>
      </c>
      <c r="D314">
        <v>312</v>
      </c>
      <c r="E314" t="str">
        <f t="shared" si="8"/>
        <v>QB</v>
      </c>
      <c r="F314">
        <f t="shared" si="9"/>
        <v>41</v>
      </c>
      <c r="G314" t="str" cm="1">
        <f t="array" ref="G314">_xlfn.LET(_xlpm.x,TRIM(B314),_xlpm.base,IFERROR(_xlfn.TEXTBEFORE(_xlpm.x,"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Tyson Bagent</v>
      </c>
    </row>
    <row r="315" spans="1:7" hidden="1" x14ac:dyDescent="0.25">
      <c r="A315">
        <v>313</v>
      </c>
      <c r="B315" t="s">
        <v>1227</v>
      </c>
      <c r="C315" t="s">
        <v>939</v>
      </c>
      <c r="D315">
        <v>313</v>
      </c>
      <c r="E315" t="str">
        <f t="shared" si="8"/>
        <v>WR</v>
      </c>
      <c r="F315">
        <f t="shared" si="9"/>
        <v>132</v>
      </c>
      <c r="G315" t="str" cm="1">
        <f t="array" ref="G315">_xlfn.LET(_xlpm.x,TRIM(B315),_xlpm.base,IFERROR(_xlfn.TEXTBEFORE(_xlpm.x,"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Arian Smith</v>
      </c>
    </row>
    <row r="316" spans="1:7" hidden="1" x14ac:dyDescent="0.25">
      <c r="A316">
        <v>314</v>
      </c>
      <c r="B316" t="s">
        <v>208</v>
      </c>
      <c r="C316" t="s">
        <v>940</v>
      </c>
      <c r="D316">
        <v>314</v>
      </c>
      <c r="E316" t="str">
        <f t="shared" si="8"/>
        <v>WR</v>
      </c>
      <c r="F316">
        <f t="shared" si="9"/>
        <v>133</v>
      </c>
      <c r="G316" t="str" cm="1">
        <f t="array" ref="G316">_xlfn.LET(_xlpm.x,TRIM(B316),_xlpm.base,IFERROR(_xlfn.TEXTBEFORE(_xlpm.x,"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Luke McCaffrey</v>
      </c>
    </row>
    <row r="317" spans="1:7" hidden="1" x14ac:dyDescent="0.25">
      <c r="A317">
        <v>315</v>
      </c>
      <c r="B317" t="s">
        <v>424</v>
      </c>
      <c r="C317" t="s">
        <v>941</v>
      </c>
      <c r="D317">
        <v>315</v>
      </c>
      <c r="E317" t="str">
        <f t="shared" si="8"/>
        <v>WR</v>
      </c>
      <c r="F317">
        <f t="shared" si="9"/>
        <v>134</v>
      </c>
      <c r="G317" t="str" cm="1">
        <f t="array" ref="G317">_xlfn.LET(_xlpm.x,TRIM(B317),_xlpm.base,IFERROR(_xlfn.TEXTBEFORE(_xlpm.x,"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Curtis Samuel</v>
      </c>
    </row>
    <row r="318" spans="1:7" hidden="1" x14ac:dyDescent="0.25">
      <c r="A318">
        <v>316</v>
      </c>
      <c r="B318" t="s">
        <v>1228</v>
      </c>
      <c r="C318" t="s">
        <v>893</v>
      </c>
      <c r="D318">
        <v>316</v>
      </c>
      <c r="E318" t="str">
        <f t="shared" si="8"/>
        <v>RB</v>
      </c>
      <c r="F318">
        <f t="shared" si="9"/>
        <v>93</v>
      </c>
      <c r="G318" t="str" cm="1">
        <f t="array" ref="G318">_xlfn.LET(_xlpm.x,TRIM(B318),_xlpm.base,IFERROR(_xlfn.TEXTBEFORE(_xlpm.x,"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Jordan James</v>
      </c>
    </row>
    <row r="319" spans="1:7" hidden="1" x14ac:dyDescent="0.25">
      <c r="A319">
        <v>317</v>
      </c>
      <c r="B319" t="s">
        <v>481</v>
      </c>
      <c r="C319" t="s">
        <v>942</v>
      </c>
      <c r="D319">
        <v>317</v>
      </c>
      <c r="E319" t="str">
        <f t="shared" si="8"/>
        <v>WR</v>
      </c>
      <c r="F319">
        <f t="shared" si="9"/>
        <v>135</v>
      </c>
      <c r="G319" t="str" cm="1">
        <f t="array" ref="G319">_xlfn.LET(_xlpm.x,TRIM(B319),_xlpm.base,IFERROR(_xlfn.TEXTBEFORE(_xlpm.x,"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Skyy Moore</v>
      </c>
    </row>
    <row r="320" spans="1:7" hidden="1" x14ac:dyDescent="0.25">
      <c r="A320">
        <v>318</v>
      </c>
      <c r="B320" t="s">
        <v>157</v>
      </c>
      <c r="C320" t="s">
        <v>943</v>
      </c>
      <c r="D320">
        <v>318</v>
      </c>
      <c r="E320" t="str">
        <f t="shared" si="8"/>
        <v>WR</v>
      </c>
      <c r="F320">
        <f t="shared" si="9"/>
        <v>136</v>
      </c>
      <c r="G320" t="str" cm="1">
        <f t="array" ref="G320">_xlfn.LET(_xlpm.x,TRIM(B320),_xlpm.base,IFERROR(_xlfn.TEXTBEFORE(_xlpm.x,"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Mack Hollins</v>
      </c>
    </row>
    <row r="321" spans="1:7" hidden="1" x14ac:dyDescent="0.25">
      <c r="A321">
        <v>319</v>
      </c>
      <c r="B321" t="s">
        <v>376</v>
      </c>
      <c r="C321" t="s">
        <v>894</v>
      </c>
      <c r="D321">
        <v>319</v>
      </c>
      <c r="E321" t="str">
        <f t="shared" si="8"/>
        <v>QB</v>
      </c>
      <c r="F321">
        <f t="shared" si="9"/>
        <v>42</v>
      </c>
      <c r="G321" t="str" cm="1">
        <f t="array" ref="G321">_xlfn.LET(_xlpm.x,TRIM(B321),_xlpm.base,IFERROR(_xlfn.TEXTBEFORE(_xlpm.x,"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Malik Willis</v>
      </c>
    </row>
    <row r="322" spans="1:7" hidden="1" x14ac:dyDescent="0.25">
      <c r="A322">
        <v>320</v>
      </c>
      <c r="B322" t="s">
        <v>1229</v>
      </c>
      <c r="C322" t="s">
        <v>904</v>
      </c>
      <c r="D322">
        <v>320</v>
      </c>
      <c r="E322" t="str">
        <f t="shared" si="8"/>
        <v>RB</v>
      </c>
      <c r="F322">
        <f t="shared" si="9"/>
        <v>94</v>
      </c>
      <c r="G322" t="str" cm="1">
        <f t="array" ref="G322">_xlfn.LET(_xlpm.x,TRIM(B322),_xlpm.base,IFERROR(_xlfn.TEXTBEFORE(_xlpm.x,"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Kalel Mullings</v>
      </c>
    </row>
    <row r="323" spans="1:7" hidden="1" x14ac:dyDescent="0.25">
      <c r="A323">
        <v>321</v>
      </c>
      <c r="B323" t="s">
        <v>313</v>
      </c>
      <c r="C323" t="s">
        <v>945</v>
      </c>
      <c r="D323">
        <v>321</v>
      </c>
      <c r="E323" t="str">
        <f t="shared" si="8"/>
        <v>RB</v>
      </c>
      <c r="F323">
        <f t="shared" si="9"/>
        <v>95</v>
      </c>
      <c r="G323" t="str" cm="1">
        <f t="array" ref="G323">_xlfn.LET(_xlpm.x,TRIM(B323),_xlpm.base,IFERROR(_xlfn.TEXTBEFORE(_xlpm.x,"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Raheim Sanders</v>
      </c>
    </row>
    <row r="324" spans="1:7" hidden="1" x14ac:dyDescent="0.25">
      <c r="A324">
        <v>322</v>
      </c>
      <c r="B324" t="s">
        <v>207</v>
      </c>
      <c r="C324" t="s">
        <v>944</v>
      </c>
      <c r="D324">
        <v>322</v>
      </c>
      <c r="E324" t="str">
        <f t="shared" ref="E324:E387" si="10">LEFT(C324,2)</f>
        <v>WR</v>
      </c>
      <c r="F324">
        <f t="shared" ref="F324:F387" si="11">VALUE(MID(C324,3,LEN(C324)))</f>
        <v>137</v>
      </c>
      <c r="G324" t="str" cm="1">
        <f t="array" ref="G324">_xlfn.LET(_xlpm.x,TRIM(B324),_xlpm.base,IFERROR(_xlfn.TEXTBEFORE(_xlpm.x,"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Tim Patrick</v>
      </c>
    </row>
    <row r="325" spans="1:7" hidden="1" x14ac:dyDescent="0.25">
      <c r="A325">
        <v>323</v>
      </c>
      <c r="B325" t="s">
        <v>311</v>
      </c>
      <c r="C325" t="s">
        <v>946</v>
      </c>
      <c r="D325">
        <v>323</v>
      </c>
      <c r="E325" t="str">
        <f t="shared" si="10"/>
        <v>RB</v>
      </c>
      <c r="F325">
        <f t="shared" si="11"/>
        <v>96</v>
      </c>
      <c r="G325" t="str" cm="1">
        <f t="array" ref="G325">_xlfn.LET(_xlpm.x,TRIM(B325),_xlpm.base,IFERROR(_xlfn.TEXTBEFORE(_xlpm.x,"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George Holani</v>
      </c>
    </row>
    <row r="326" spans="1:7" hidden="1" x14ac:dyDescent="0.25">
      <c r="A326">
        <v>324</v>
      </c>
      <c r="B326" t="s">
        <v>489</v>
      </c>
      <c r="C326" t="s">
        <v>947</v>
      </c>
      <c r="D326">
        <v>324</v>
      </c>
      <c r="E326" t="str">
        <f t="shared" si="10"/>
        <v>RB</v>
      </c>
      <c r="F326">
        <f t="shared" si="11"/>
        <v>97</v>
      </c>
      <c r="G326" t="str" cm="1">
        <f t="array" ref="G326">_xlfn.LET(_xlpm.x,TRIM(B326),_xlpm.base,IFERROR(_xlfn.TEXTBEFORE(_xlpm.x,"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Ty Chandler</v>
      </c>
    </row>
    <row r="327" spans="1:7" hidden="1" x14ac:dyDescent="0.25">
      <c r="A327">
        <v>325</v>
      </c>
      <c r="B327" t="s">
        <v>506</v>
      </c>
      <c r="C327" t="s">
        <v>899</v>
      </c>
      <c r="D327">
        <v>325</v>
      </c>
      <c r="E327" t="str">
        <f t="shared" si="10"/>
        <v>QB</v>
      </c>
      <c r="F327">
        <f t="shared" si="11"/>
        <v>43</v>
      </c>
      <c r="G327" t="str" cm="1">
        <f t="array" ref="G327">_xlfn.LET(_xlpm.x,TRIM(B327),_xlpm.base,IFERROR(_xlfn.TEXTBEFORE(_xlpm.x,"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Sam Howell</v>
      </c>
    </row>
    <row r="328" spans="1:7" hidden="1" x14ac:dyDescent="0.25">
      <c r="A328">
        <v>326</v>
      </c>
      <c r="B328" t="s">
        <v>405</v>
      </c>
      <c r="C328" t="s">
        <v>952</v>
      </c>
      <c r="D328">
        <v>326</v>
      </c>
      <c r="E328" t="str">
        <f t="shared" si="10"/>
        <v>RB</v>
      </c>
      <c r="F328">
        <f t="shared" si="11"/>
        <v>98</v>
      </c>
      <c r="G328" t="str" cm="1">
        <f t="array" ref="G328">_xlfn.LET(_xlpm.x,TRIM(B328),_xlpm.base,IFERROR(_xlfn.TEXTBEFORE(_xlpm.x,"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Khalil Herbert</v>
      </c>
    </row>
    <row r="329" spans="1:7" hidden="1" x14ac:dyDescent="0.25">
      <c r="A329">
        <v>327</v>
      </c>
      <c r="B329" t="s">
        <v>1230</v>
      </c>
      <c r="C329" t="s">
        <v>948</v>
      </c>
      <c r="D329">
        <v>327</v>
      </c>
      <c r="E329" t="str">
        <f t="shared" si="10"/>
        <v>WR</v>
      </c>
      <c r="F329">
        <f t="shared" si="11"/>
        <v>138</v>
      </c>
      <c r="G329" t="str" cm="1">
        <f t="array" ref="G329">_xlfn.LET(_xlpm.x,TRIM(B329),_xlpm.base,IFERROR(_xlfn.TEXTBEFORE(_xlpm.x,"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LaJohntay Wester</v>
      </c>
    </row>
    <row r="330" spans="1:7" hidden="1" x14ac:dyDescent="0.25">
      <c r="A330">
        <v>328</v>
      </c>
      <c r="B330" t="s">
        <v>418</v>
      </c>
      <c r="C330" t="s">
        <v>949</v>
      </c>
      <c r="D330">
        <v>328</v>
      </c>
      <c r="E330" t="str">
        <f t="shared" si="10"/>
        <v>WR</v>
      </c>
      <c r="F330">
        <f t="shared" si="11"/>
        <v>139</v>
      </c>
      <c r="G330" t="str" cm="1">
        <f t="array" ref="G330">_xlfn.LET(_xlpm.x,TRIM(B330),_xlpm.base,IFERROR(_xlfn.TEXTBEFORE(_xlpm.x,"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Diontae Johnson</v>
      </c>
    </row>
    <row r="331" spans="1:7" hidden="1" x14ac:dyDescent="0.25">
      <c r="A331">
        <v>330</v>
      </c>
      <c r="B331" t="s">
        <v>448</v>
      </c>
      <c r="C331" t="s">
        <v>888</v>
      </c>
      <c r="D331">
        <v>329</v>
      </c>
      <c r="E331" t="str">
        <f t="shared" si="10"/>
        <v>TE</v>
      </c>
      <c r="F331">
        <f t="shared" si="11"/>
        <v>49</v>
      </c>
      <c r="G331" t="str" cm="1">
        <f t="array" ref="G331">_xlfn.LET(_xlpm.x,TRIM(B331),_xlpm.base,IFERROR(_xlfn.TEXTBEFORE(_xlpm.x,"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Elijah Higgins</v>
      </c>
    </row>
    <row r="332" spans="1:7" hidden="1" x14ac:dyDescent="0.25">
      <c r="A332">
        <v>331</v>
      </c>
      <c r="B332" t="s">
        <v>278</v>
      </c>
      <c r="C332" t="s">
        <v>954</v>
      </c>
      <c r="D332">
        <v>330</v>
      </c>
      <c r="E332" t="str">
        <f t="shared" si="10"/>
        <v>RB</v>
      </c>
      <c r="F332">
        <f t="shared" si="11"/>
        <v>99</v>
      </c>
      <c r="G332" t="str" cm="1">
        <f t="array" ref="G332">_xlfn.LET(_xlpm.x,TRIM(B332),_xlpm.base,IFERROR(_xlfn.TEXTBEFORE(_xlpm.x,"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Jeremy McNichols</v>
      </c>
    </row>
    <row r="333" spans="1:7" hidden="1" x14ac:dyDescent="0.25">
      <c r="A333">
        <v>332</v>
      </c>
      <c r="B333" t="s">
        <v>286</v>
      </c>
      <c r="C333" t="s">
        <v>963</v>
      </c>
      <c r="D333">
        <v>331</v>
      </c>
      <c r="E333" t="str">
        <f t="shared" si="10"/>
        <v>RB</v>
      </c>
      <c r="F333">
        <f t="shared" si="11"/>
        <v>100</v>
      </c>
      <c r="G333" t="str" cm="1">
        <f t="array" ref="G333">_xlfn.LET(_xlpm.x,TRIM(B333),_xlpm.base,IFERROR(_xlfn.TEXTBEFORE(_xlpm.x,"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Kyle Juszczyk</v>
      </c>
    </row>
    <row r="334" spans="1:7" hidden="1" x14ac:dyDescent="0.25">
      <c r="A334">
        <v>333</v>
      </c>
      <c r="B334" t="s">
        <v>1231</v>
      </c>
      <c r="C334" t="s">
        <v>900</v>
      </c>
      <c r="D334">
        <v>332</v>
      </c>
      <c r="E334" t="str">
        <f t="shared" si="10"/>
        <v>QB</v>
      </c>
      <c r="F334">
        <f t="shared" si="11"/>
        <v>44</v>
      </c>
      <c r="G334" t="str" cm="1">
        <f t="array" ref="G334">_xlfn.LET(_xlpm.x,TRIM(B334),_xlpm.base,IFERROR(_xlfn.TEXTBEFORE(_xlpm.x,"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Joe Milton III</v>
      </c>
    </row>
    <row r="335" spans="1:7" hidden="1" x14ac:dyDescent="0.25">
      <c r="A335">
        <v>336</v>
      </c>
      <c r="B335" t="s">
        <v>328</v>
      </c>
      <c r="C335" t="s">
        <v>968</v>
      </c>
      <c r="D335">
        <v>333</v>
      </c>
      <c r="E335" t="str">
        <f t="shared" si="10"/>
        <v>RB</v>
      </c>
      <c r="F335">
        <f t="shared" si="11"/>
        <v>101</v>
      </c>
      <c r="G335" t="str" cm="1">
        <f t="array" ref="G335">_xlfn.LET(_xlpm.x,TRIM(B335),_xlpm.base,IFERROR(_xlfn.TEXTBEFORE(_xlpm.x,"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Zamir White</v>
      </c>
    </row>
    <row r="336" spans="1:7" hidden="1" x14ac:dyDescent="0.25">
      <c r="A336">
        <v>339</v>
      </c>
      <c r="B336" t="s">
        <v>218</v>
      </c>
      <c r="C336" t="s">
        <v>951</v>
      </c>
      <c r="D336">
        <v>334</v>
      </c>
      <c r="E336" t="str">
        <f t="shared" si="10"/>
        <v>WR</v>
      </c>
      <c r="F336">
        <f t="shared" si="11"/>
        <v>140</v>
      </c>
      <c r="G336" t="str" cm="1">
        <f t="array" ref="G336">_xlfn.LET(_xlpm.x,TRIM(B336),_xlpm.base,IFERROR(_xlfn.TEXTBEFORE(_xlpm.x,"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Tyrell Shavers</v>
      </c>
    </row>
    <row r="337" spans="1:7" hidden="1" x14ac:dyDescent="0.25">
      <c r="A337">
        <v>340</v>
      </c>
      <c r="B337" t="s">
        <v>179</v>
      </c>
      <c r="C337" t="s">
        <v>953</v>
      </c>
      <c r="D337">
        <v>335</v>
      </c>
      <c r="E337" t="str">
        <f t="shared" si="10"/>
        <v>WR</v>
      </c>
      <c r="F337">
        <f t="shared" si="11"/>
        <v>141</v>
      </c>
      <c r="G337" t="str" cm="1">
        <f t="array" ref="G337">_xlfn.LET(_xlpm.x,TRIM(B337),_xlpm.base,IFERROR(_xlfn.TEXTBEFORE(_xlpm.x,"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Sterling Shepard</v>
      </c>
    </row>
    <row r="338" spans="1:7" hidden="1" x14ac:dyDescent="0.25">
      <c r="A338">
        <v>342</v>
      </c>
      <c r="B338" t="s">
        <v>480</v>
      </c>
      <c r="C338" t="s">
        <v>955</v>
      </c>
      <c r="D338">
        <v>336</v>
      </c>
      <c r="E338" t="str">
        <f t="shared" si="10"/>
        <v>WR</v>
      </c>
      <c r="F338">
        <f t="shared" si="11"/>
        <v>142</v>
      </c>
      <c r="G338" t="str" cm="1">
        <f t="array" ref="G338">_xlfn.LET(_xlpm.x,TRIM(B338),_xlpm.base,IFERROR(_xlfn.TEXTBEFORE(_xlpm.x,"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Jake Bobo</v>
      </c>
    </row>
    <row r="339" spans="1:7" hidden="1" x14ac:dyDescent="0.25">
      <c r="A339">
        <v>344</v>
      </c>
      <c r="B339" t="s">
        <v>379</v>
      </c>
      <c r="C339" t="s">
        <v>903</v>
      </c>
      <c r="D339">
        <v>337</v>
      </c>
      <c r="E339" t="str">
        <f t="shared" si="10"/>
        <v>QB</v>
      </c>
      <c r="F339">
        <f t="shared" si="11"/>
        <v>45</v>
      </c>
      <c r="G339" t="str" cm="1">
        <f t="array" ref="G339">_xlfn.LET(_xlpm.x,TRIM(B339),_xlpm.base,IFERROR(_xlfn.TEXTBEFORE(_xlpm.x,"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Jameis Winston</v>
      </c>
    </row>
    <row r="340" spans="1:7" hidden="1" x14ac:dyDescent="0.25">
      <c r="A340">
        <v>346</v>
      </c>
      <c r="B340" t="s">
        <v>291</v>
      </c>
      <c r="C340" t="s">
        <v>972</v>
      </c>
      <c r="D340">
        <v>338</v>
      </c>
      <c r="E340" t="str">
        <f t="shared" si="10"/>
        <v>RB</v>
      </c>
      <c r="F340">
        <f t="shared" si="11"/>
        <v>102</v>
      </c>
      <c r="G340" t="str" cm="1">
        <f t="array" ref="G340">_xlfn.LET(_xlpm.x,TRIM(B340),_xlpm.base,IFERROR(_xlfn.TEXTBEFORE(_xlpm.x,"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Audric Estime</v>
      </c>
    </row>
    <row r="341" spans="1:7" hidden="1" x14ac:dyDescent="0.25">
      <c r="A341">
        <v>349</v>
      </c>
      <c r="B341" t="s">
        <v>915</v>
      </c>
      <c r="C341" t="s">
        <v>906</v>
      </c>
      <c r="D341">
        <v>339</v>
      </c>
      <c r="E341" t="str">
        <f t="shared" si="10"/>
        <v>QB</v>
      </c>
      <c r="F341">
        <f t="shared" si="11"/>
        <v>46</v>
      </c>
      <c r="G341" t="str" cm="1">
        <f t="array" ref="G341">_xlfn.LET(_xlpm.x,TRIM(B341),_xlpm.base,IFERROR(_xlfn.TEXTBEFORE(_xlpm.x,"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Trey Lance</v>
      </c>
    </row>
    <row r="342" spans="1:7" hidden="1" x14ac:dyDescent="0.25">
      <c r="A342">
        <v>351</v>
      </c>
      <c r="B342" t="s">
        <v>420</v>
      </c>
      <c r="C342" t="s">
        <v>959</v>
      </c>
      <c r="D342">
        <v>340</v>
      </c>
      <c r="E342" t="str">
        <f t="shared" si="10"/>
        <v>WR</v>
      </c>
      <c r="F342">
        <f t="shared" si="11"/>
        <v>143</v>
      </c>
      <c r="G342" t="str" cm="1">
        <f t="array" ref="G342">_xlfn.LET(_xlpm.x,TRIM(B342),_xlpm.base,IFERROR(_xlfn.TEXTBEFORE(_xlpm.x,"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David Moore</v>
      </c>
    </row>
    <row r="343" spans="1:7" hidden="1" x14ac:dyDescent="0.25">
      <c r="A343">
        <v>353</v>
      </c>
      <c r="B343" t="s">
        <v>163</v>
      </c>
      <c r="C343" t="s">
        <v>962</v>
      </c>
      <c r="D343">
        <v>341</v>
      </c>
      <c r="E343" t="str">
        <f t="shared" si="10"/>
        <v>WR</v>
      </c>
      <c r="F343">
        <f t="shared" si="11"/>
        <v>144</v>
      </c>
      <c r="G343" t="str" cm="1">
        <f t="array" ref="G343">_xlfn.LET(_xlpm.x,TRIM(B343),_xlpm.base,IFERROR(_xlfn.TEXTBEFORE(_xlpm.x,"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Xavier Hutchinson</v>
      </c>
    </row>
    <row r="344" spans="1:7" hidden="1" x14ac:dyDescent="0.25">
      <c r="A344">
        <v>354</v>
      </c>
      <c r="B344" t="s">
        <v>933</v>
      </c>
      <c r="C344" t="s">
        <v>967</v>
      </c>
      <c r="D344">
        <v>342</v>
      </c>
      <c r="E344" t="str">
        <f t="shared" si="10"/>
        <v>WR</v>
      </c>
      <c r="F344">
        <f t="shared" si="11"/>
        <v>145</v>
      </c>
      <c r="G344" t="str" cm="1">
        <f t="array" ref="G344">_xlfn.LET(_xlpm.x,TRIM(B344),_xlpm.base,IFERROR(_xlfn.TEXTBEFORE(_xlpm.x,"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Jermaine Burton</v>
      </c>
    </row>
    <row r="345" spans="1:7" hidden="1" x14ac:dyDescent="0.25">
      <c r="A345">
        <v>356</v>
      </c>
      <c r="B345" t="s">
        <v>1232</v>
      </c>
      <c r="C345" t="s">
        <v>971</v>
      </c>
      <c r="D345">
        <v>343</v>
      </c>
      <c r="E345" t="str">
        <f t="shared" si="10"/>
        <v>WR</v>
      </c>
      <c r="F345">
        <f t="shared" si="11"/>
        <v>146</v>
      </c>
      <c r="G345" t="str" cm="1">
        <f t="array" ref="G345">_xlfn.LET(_xlpm.x,TRIM(B345),_xlpm.base,IFERROR(_xlfn.TEXTBEFORE(_xlpm.x,"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Savion Williams</v>
      </c>
    </row>
    <row r="346" spans="1:7" hidden="1" x14ac:dyDescent="0.25">
      <c r="A346">
        <v>358</v>
      </c>
      <c r="B346" t="s">
        <v>382</v>
      </c>
      <c r="C346" t="s">
        <v>965</v>
      </c>
      <c r="D346">
        <v>344</v>
      </c>
      <c r="E346" t="str">
        <f t="shared" si="10"/>
        <v>QB</v>
      </c>
      <c r="F346">
        <f t="shared" si="11"/>
        <v>47</v>
      </c>
      <c r="G346" t="str" cm="1">
        <f t="array" ref="G346">_xlfn.LET(_xlpm.x,TRIM(B346),_xlpm.base,IFERROR(_xlfn.TEXTBEFORE(_xlpm.x,"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Gardner Minshew II</v>
      </c>
    </row>
    <row r="347" spans="1:7" hidden="1" x14ac:dyDescent="0.25">
      <c r="A347">
        <v>359</v>
      </c>
      <c r="B347" t="s">
        <v>1233</v>
      </c>
      <c r="C347" t="s">
        <v>975</v>
      </c>
      <c r="D347">
        <v>345</v>
      </c>
      <c r="E347" t="str">
        <f t="shared" si="10"/>
        <v>WR</v>
      </c>
      <c r="F347">
        <f t="shared" si="11"/>
        <v>147</v>
      </c>
      <c r="G347" t="str" cm="1">
        <f t="array" ref="G347">_xlfn.LET(_xlpm.x,TRIM(B347),_xlpm.base,IFERROR(_xlfn.TEXTBEFORE(_xlpm.x,"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Tai Felton</v>
      </c>
    </row>
    <row r="348" spans="1:7" hidden="1" x14ac:dyDescent="0.25">
      <c r="A348">
        <v>360</v>
      </c>
      <c r="B348" t="s">
        <v>309</v>
      </c>
      <c r="C348" t="s">
        <v>973</v>
      </c>
      <c r="D348">
        <v>346</v>
      </c>
      <c r="E348" t="str">
        <f t="shared" si="10"/>
        <v>RB</v>
      </c>
      <c r="F348">
        <f t="shared" si="11"/>
        <v>103</v>
      </c>
      <c r="G348" t="str" cm="1">
        <f t="array" ref="G348">_xlfn.LET(_xlpm.x,TRIM(B348),_xlpm.base,IFERROR(_xlfn.TEXTBEFORE(_xlpm.x,"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Dare Ogunbowale</v>
      </c>
    </row>
    <row r="349" spans="1:7" hidden="1" x14ac:dyDescent="0.25">
      <c r="A349">
        <v>361</v>
      </c>
      <c r="B349" t="s">
        <v>383</v>
      </c>
      <c r="C349" t="s">
        <v>978</v>
      </c>
      <c r="D349">
        <v>347</v>
      </c>
      <c r="E349" t="str">
        <f t="shared" si="10"/>
        <v>QB</v>
      </c>
      <c r="F349">
        <f t="shared" si="11"/>
        <v>48</v>
      </c>
      <c r="G349" t="str" cm="1">
        <f t="array" ref="G349">_xlfn.LET(_xlpm.x,TRIM(B349),_xlpm.base,IFERROR(_xlfn.TEXTBEFORE(_xlpm.x,"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Mason Rudolph</v>
      </c>
    </row>
    <row r="350" spans="1:7" x14ac:dyDescent="0.25">
      <c r="A350">
        <v>362</v>
      </c>
      <c r="B350" t="s">
        <v>307</v>
      </c>
      <c r="C350" t="s">
        <v>976</v>
      </c>
      <c r="D350">
        <v>348</v>
      </c>
      <c r="E350" t="str">
        <f t="shared" si="10"/>
        <v>RB</v>
      </c>
      <c r="F350">
        <f t="shared" si="11"/>
        <v>104</v>
      </c>
      <c r="G350" t="str" cm="1">
        <f t="array" ref="G350">_xlfn.LET(_xlpm.x,TRIM(B350),_xlpm.base,IFERROR(_xlfn.TEXTBEFORE(_xlpm.x,"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LeQuint Allen Jr.</v>
      </c>
    </row>
    <row r="351" spans="1:7" hidden="1" x14ac:dyDescent="0.25">
      <c r="A351">
        <v>363</v>
      </c>
      <c r="B351" t="s">
        <v>1234</v>
      </c>
      <c r="C351" t="s">
        <v>979</v>
      </c>
      <c r="D351">
        <v>349</v>
      </c>
      <c r="E351" t="str">
        <f t="shared" si="10"/>
        <v>WR</v>
      </c>
      <c r="F351">
        <f t="shared" si="11"/>
        <v>148</v>
      </c>
      <c r="G351" t="str" cm="1">
        <f t="array" ref="G351">_xlfn.LET(_xlpm.x,TRIM(B351),_xlpm.base,IFERROR(_xlfn.TEXTBEFORE(_xlpm.x,"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Scotty Miller</v>
      </c>
    </row>
    <row r="352" spans="1:7" hidden="1" x14ac:dyDescent="0.25">
      <c r="A352">
        <v>364</v>
      </c>
      <c r="B352" t="s">
        <v>183</v>
      </c>
      <c r="C352" t="s">
        <v>982</v>
      </c>
      <c r="D352">
        <v>350</v>
      </c>
      <c r="E352" t="str">
        <f t="shared" si="10"/>
        <v>WR</v>
      </c>
      <c r="F352">
        <f t="shared" si="11"/>
        <v>149</v>
      </c>
      <c r="G352" t="str" cm="1">
        <f t="array" ref="G352">_xlfn.LET(_xlpm.x,TRIM(B352),_xlpm.base,IFERROR(_xlfn.TEXTBEFORE(_xlpm.x,"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Greg Dortch</v>
      </c>
    </row>
    <row r="353" spans="1:7" hidden="1" x14ac:dyDescent="0.25">
      <c r="A353">
        <v>366</v>
      </c>
      <c r="B353" t="s">
        <v>297</v>
      </c>
      <c r="C353" t="s">
        <v>981</v>
      </c>
      <c r="D353">
        <v>351</v>
      </c>
      <c r="E353" t="str">
        <f t="shared" si="10"/>
        <v>RB</v>
      </c>
      <c r="F353">
        <f t="shared" si="11"/>
        <v>105</v>
      </c>
      <c r="G353" t="str" cm="1">
        <f t="array" ref="G353">_xlfn.LET(_xlpm.x,TRIM(B353),_xlpm.base,IFERROR(_xlfn.TEXTBEFORE(_xlpm.x,"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Tyler Badie</v>
      </c>
    </row>
    <row r="354" spans="1:7" hidden="1" x14ac:dyDescent="0.25">
      <c r="A354">
        <v>367</v>
      </c>
      <c r="B354" t="s">
        <v>1076</v>
      </c>
      <c r="C354" t="s">
        <v>985</v>
      </c>
      <c r="D354">
        <v>352</v>
      </c>
      <c r="E354" t="str">
        <f t="shared" si="10"/>
        <v>WR</v>
      </c>
      <c r="F354">
        <f t="shared" si="11"/>
        <v>150</v>
      </c>
      <c r="G354" t="str" cm="1">
        <f t="array" ref="G354">_xlfn.LET(_xlpm.x,TRIM(B354),_xlpm.base,IFERROR(_xlfn.TEXTBEFORE(_xlpm.x,"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Devontez Walker</v>
      </c>
    </row>
    <row r="355" spans="1:7" hidden="1" x14ac:dyDescent="0.25">
      <c r="A355">
        <v>368</v>
      </c>
      <c r="B355" t="s">
        <v>1235</v>
      </c>
      <c r="C355" t="s">
        <v>980</v>
      </c>
      <c r="D355">
        <v>353</v>
      </c>
      <c r="E355" t="str">
        <f t="shared" si="10"/>
        <v>QB</v>
      </c>
      <c r="F355">
        <f t="shared" si="11"/>
        <v>49</v>
      </c>
      <c r="G355" t="str" cm="1">
        <f t="array" ref="G355">_xlfn.LET(_xlpm.x,TRIM(B355),_xlpm.base,IFERROR(_xlfn.TEXTBEFORE(_xlpm.x,"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Tanner McKee</v>
      </c>
    </row>
    <row r="356" spans="1:7" hidden="1" x14ac:dyDescent="0.25">
      <c r="A356">
        <v>370</v>
      </c>
      <c r="B356" t="s">
        <v>381</v>
      </c>
      <c r="C356" t="s">
        <v>989</v>
      </c>
      <c r="D356">
        <v>354</v>
      </c>
      <c r="E356" t="str">
        <f t="shared" si="10"/>
        <v>QB</v>
      </c>
      <c r="F356">
        <f t="shared" si="11"/>
        <v>50</v>
      </c>
      <c r="G356" t="str" cm="1">
        <f t="array" ref="G356">_xlfn.LET(_xlpm.x,TRIM(B356),_xlpm.base,IFERROR(_xlfn.TEXTBEFORE(_xlpm.x,"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Cooper Rush</v>
      </c>
    </row>
    <row r="357" spans="1:7" hidden="1" x14ac:dyDescent="0.25">
      <c r="A357">
        <v>373</v>
      </c>
      <c r="B357" t="s">
        <v>1236</v>
      </c>
      <c r="C357" t="s">
        <v>988</v>
      </c>
      <c r="D357">
        <v>355</v>
      </c>
      <c r="E357" t="str">
        <f t="shared" si="10"/>
        <v>RB</v>
      </c>
      <c r="F357">
        <f t="shared" si="11"/>
        <v>106</v>
      </c>
      <c r="G357" t="str" cm="1">
        <f t="array" ref="G357">_xlfn.LET(_xlpm.x,TRIM(B357),_xlpm.base,IFERROR(_xlfn.TEXTBEFORE(_xlpm.x,"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Donovan Edwards</v>
      </c>
    </row>
    <row r="358" spans="1:7" hidden="1" x14ac:dyDescent="0.25">
      <c r="A358">
        <v>375</v>
      </c>
      <c r="B358" t="s">
        <v>1237</v>
      </c>
      <c r="C358" t="s">
        <v>991</v>
      </c>
      <c r="D358">
        <v>356</v>
      </c>
      <c r="E358" t="str">
        <f t="shared" si="10"/>
        <v>QB</v>
      </c>
      <c r="F358">
        <f t="shared" si="11"/>
        <v>51</v>
      </c>
      <c r="G358" t="str" cm="1">
        <f t="array" ref="G358">_xlfn.LET(_xlpm.x,TRIM(B358),_xlpm.base,IFERROR(_xlfn.TEXTBEFORE(_xlpm.x,"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Kyle Allen</v>
      </c>
    </row>
    <row r="359" spans="1:7" hidden="1" x14ac:dyDescent="0.25">
      <c r="A359">
        <v>376</v>
      </c>
      <c r="B359" t="s">
        <v>285</v>
      </c>
      <c r="C359" t="s">
        <v>996</v>
      </c>
      <c r="D359">
        <v>357</v>
      </c>
      <c r="E359" t="str">
        <f t="shared" si="10"/>
        <v>RB</v>
      </c>
      <c r="F359">
        <f t="shared" si="11"/>
        <v>107</v>
      </c>
      <c r="G359" t="str" cm="1">
        <f t="array" ref="G359">_xlfn.LET(_xlpm.x,TRIM(B359),_xlpm.base,IFERROR(_xlfn.TEXTBEFORE(_xlpm.x,"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Emari Demercado</v>
      </c>
    </row>
    <row r="360" spans="1:7" hidden="1" x14ac:dyDescent="0.25">
      <c r="A360">
        <v>377</v>
      </c>
      <c r="B360" t="s">
        <v>1238</v>
      </c>
      <c r="C360" t="s">
        <v>1007</v>
      </c>
      <c r="D360">
        <v>358</v>
      </c>
      <c r="E360" t="str">
        <f t="shared" si="10"/>
        <v>RB</v>
      </c>
      <c r="F360">
        <f t="shared" si="11"/>
        <v>108</v>
      </c>
      <c r="G360" t="str" cm="1">
        <f t="array" ref="G360">_xlfn.LET(_xlpm.x,TRIM(B360),_xlpm.base,IFERROR(_xlfn.TEXTBEFORE(_xlpm.x,"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Frank Gore Jr.</v>
      </c>
    </row>
    <row r="361" spans="1:7" hidden="1" x14ac:dyDescent="0.25">
      <c r="A361">
        <v>379</v>
      </c>
      <c r="B361" t="s">
        <v>1239</v>
      </c>
      <c r="C361" t="s">
        <v>1010</v>
      </c>
      <c r="D361">
        <v>359</v>
      </c>
      <c r="E361" t="str">
        <f t="shared" si="10"/>
        <v>RB</v>
      </c>
      <c r="F361">
        <f t="shared" si="11"/>
        <v>109</v>
      </c>
      <c r="G361" t="str" cm="1">
        <f t="array" ref="G361">_xlfn.LET(_xlpm.x,TRIM(B361),_xlpm.base,IFERROR(_xlfn.TEXTBEFORE(_xlpm.x,"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Damien Martinez</v>
      </c>
    </row>
    <row r="362" spans="1:7" hidden="1" x14ac:dyDescent="0.25">
      <c r="A362">
        <v>380</v>
      </c>
      <c r="B362" t="s">
        <v>1084</v>
      </c>
      <c r="C362" t="s">
        <v>897</v>
      </c>
      <c r="D362">
        <v>360</v>
      </c>
      <c r="E362" t="str">
        <f t="shared" si="10"/>
        <v>TE</v>
      </c>
      <c r="F362">
        <f t="shared" si="11"/>
        <v>50</v>
      </c>
      <c r="G362" t="str" cm="1">
        <f t="array" ref="G362">_xlfn.LET(_xlpm.x,TRIM(B362),_xlpm.base,IFERROR(_xlfn.TEXTBEFORE(_xlpm.x,"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Cade Stover</v>
      </c>
    </row>
    <row r="363" spans="1:7" hidden="1" x14ac:dyDescent="0.25">
      <c r="A363">
        <v>382</v>
      </c>
      <c r="B363" t="s">
        <v>429</v>
      </c>
      <c r="C363" t="s">
        <v>987</v>
      </c>
      <c r="D363">
        <v>361</v>
      </c>
      <c r="E363" t="str">
        <f t="shared" si="10"/>
        <v>WR</v>
      </c>
      <c r="F363">
        <f t="shared" si="11"/>
        <v>151</v>
      </c>
      <c r="G363" t="str" cm="1">
        <f t="array" ref="G363">_xlfn.LET(_xlpm.x,TRIM(B363),_xlpm.base,IFERROR(_xlfn.TEXTBEFORE(_xlpm.x,"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Gabe Davis</v>
      </c>
    </row>
    <row r="364" spans="1:7" hidden="1" x14ac:dyDescent="0.25">
      <c r="A364">
        <v>383</v>
      </c>
      <c r="B364" t="s">
        <v>1115</v>
      </c>
      <c r="C364" t="s">
        <v>995</v>
      </c>
      <c r="D364">
        <v>362</v>
      </c>
      <c r="E364" t="str">
        <f t="shared" si="10"/>
        <v>WR</v>
      </c>
      <c r="F364">
        <f t="shared" si="11"/>
        <v>152</v>
      </c>
      <c r="G364" t="str" cm="1">
        <f t="array" ref="G364">_xlfn.LET(_xlpm.x,TRIM(B364),_xlpm.base,IFERROR(_xlfn.TEXTBEFORE(_xlpm.x,"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Terique Owens</v>
      </c>
    </row>
    <row r="365" spans="1:7" hidden="1" x14ac:dyDescent="0.25">
      <c r="A365">
        <v>385</v>
      </c>
      <c r="B365" t="s">
        <v>396</v>
      </c>
      <c r="C365" t="s">
        <v>1024</v>
      </c>
      <c r="D365">
        <v>363</v>
      </c>
      <c r="E365" t="str">
        <f t="shared" si="10"/>
        <v>RB</v>
      </c>
      <c r="F365">
        <f t="shared" si="11"/>
        <v>110</v>
      </c>
      <c r="G365" t="str" cm="1">
        <f t="array" ref="G365">_xlfn.LET(_xlpm.x,TRIM(B365),_xlpm.base,IFERROR(_xlfn.TEXTBEFORE(_xlpm.x,"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Ezekiel Elliott</v>
      </c>
    </row>
    <row r="366" spans="1:7" hidden="1" x14ac:dyDescent="0.25">
      <c r="A366">
        <v>386</v>
      </c>
      <c r="B366" t="s">
        <v>1240</v>
      </c>
      <c r="C366" t="s">
        <v>992</v>
      </c>
      <c r="D366">
        <v>364</v>
      </c>
      <c r="E366" t="str">
        <f t="shared" si="10"/>
        <v>QB</v>
      </c>
      <c r="F366">
        <f t="shared" si="11"/>
        <v>52</v>
      </c>
      <c r="G366" t="str" cm="1">
        <f t="array" ref="G366">_xlfn.LET(_xlpm.x,TRIM(B366),_xlpm.base,IFERROR(_xlfn.TEXTBEFORE(_xlpm.x,"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Quinn Ewers</v>
      </c>
    </row>
    <row r="367" spans="1:7" hidden="1" x14ac:dyDescent="0.25">
      <c r="A367">
        <v>387</v>
      </c>
      <c r="B367" t="s">
        <v>446</v>
      </c>
      <c r="C367" t="s">
        <v>950</v>
      </c>
      <c r="D367">
        <v>365</v>
      </c>
      <c r="E367" t="str">
        <f t="shared" si="10"/>
        <v>TE</v>
      </c>
      <c r="F367">
        <f t="shared" si="11"/>
        <v>51</v>
      </c>
      <c r="G367" t="str" cm="1">
        <f t="array" ref="G367">_xlfn.LET(_xlpm.x,TRIM(B367),_xlpm.base,IFERROR(_xlfn.TEXTBEFORE(_xlpm.x,"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Grant Calcaterra</v>
      </c>
    </row>
    <row r="368" spans="1:7" hidden="1" x14ac:dyDescent="0.25">
      <c r="A368">
        <v>388</v>
      </c>
      <c r="B368" t="s">
        <v>392</v>
      </c>
      <c r="C368" t="s">
        <v>1030</v>
      </c>
      <c r="D368">
        <v>366</v>
      </c>
      <c r="E368" t="str">
        <f t="shared" si="10"/>
        <v>RB</v>
      </c>
      <c r="F368">
        <f t="shared" si="11"/>
        <v>111</v>
      </c>
      <c r="G368" t="str" cm="1">
        <f t="array" ref="G368">_xlfn.LET(_xlpm.x,TRIM(B368),_xlpm.base,IFERROR(_xlfn.TEXTBEFORE(_xlpm.x,"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Cam Akers</v>
      </c>
    </row>
    <row r="369" spans="1:7" hidden="1" x14ac:dyDescent="0.25">
      <c r="A369">
        <v>390</v>
      </c>
      <c r="B369" t="s">
        <v>1241</v>
      </c>
      <c r="C369" t="s">
        <v>994</v>
      </c>
      <c r="D369">
        <v>367</v>
      </c>
      <c r="E369" t="str">
        <f t="shared" si="10"/>
        <v>QB</v>
      </c>
      <c r="F369">
        <f t="shared" si="11"/>
        <v>53</v>
      </c>
      <c r="G369" t="str" cm="1">
        <f t="array" ref="G369">_xlfn.LET(_xlpm.x,TRIM(B369),_xlpm.base,IFERROR(_xlfn.TEXTBEFORE(_xlpm.x,"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Jarrett Stidham</v>
      </c>
    </row>
    <row r="370" spans="1:7" hidden="1" x14ac:dyDescent="0.25">
      <c r="A370">
        <v>391</v>
      </c>
      <c r="B370" t="s">
        <v>167</v>
      </c>
      <c r="C370" t="s">
        <v>1002</v>
      </c>
      <c r="D370">
        <v>368</v>
      </c>
      <c r="E370" t="str">
        <f t="shared" si="10"/>
        <v>WR</v>
      </c>
      <c r="F370">
        <f t="shared" si="11"/>
        <v>153</v>
      </c>
      <c r="G370" t="str" cm="1">
        <f t="array" ref="G370">_xlfn.LET(_xlpm.x,TRIM(B370),_xlpm.base,IFERROR(_xlfn.TEXTBEFORE(_xlpm.x,"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Kendrick Bour</v>
      </c>
    </row>
    <row r="371" spans="1:7" hidden="1" x14ac:dyDescent="0.25">
      <c r="A371">
        <v>392</v>
      </c>
      <c r="B371" t="s">
        <v>91</v>
      </c>
      <c r="C371" t="s">
        <v>956</v>
      </c>
      <c r="D371">
        <v>369</v>
      </c>
      <c r="E371" t="str">
        <f t="shared" si="10"/>
        <v>TE</v>
      </c>
      <c r="F371">
        <f t="shared" si="11"/>
        <v>52</v>
      </c>
      <c r="G371" t="str" cm="1">
        <f t="array" ref="G371">_xlfn.LET(_xlpm.x,TRIM(B371),_xlpm.base,IFERROR(_xlfn.TEXTBEFORE(_xlpm.x,"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Darnell Washington</v>
      </c>
    </row>
    <row r="372" spans="1:7" hidden="1" x14ac:dyDescent="0.25">
      <c r="A372">
        <v>394</v>
      </c>
      <c r="B372" t="s">
        <v>1242</v>
      </c>
      <c r="C372" t="s">
        <v>1004</v>
      </c>
      <c r="D372">
        <v>370</v>
      </c>
      <c r="E372" t="str">
        <f t="shared" si="10"/>
        <v>WR</v>
      </c>
      <c r="F372">
        <f t="shared" si="11"/>
        <v>154</v>
      </c>
      <c r="G372" t="str" cm="1">
        <f t="array" ref="G372">_xlfn.LET(_xlpm.x,TRIM(B372),_xlpm.base,IFERROR(_xlfn.TEXTBEFORE(_xlpm.x,"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Lucky Jackson</v>
      </c>
    </row>
    <row r="373" spans="1:7" hidden="1" x14ac:dyDescent="0.25">
      <c r="A373">
        <v>395</v>
      </c>
      <c r="B373" t="s">
        <v>1105</v>
      </c>
      <c r="C373" t="s">
        <v>1003</v>
      </c>
      <c r="D373">
        <v>371</v>
      </c>
      <c r="E373" t="str">
        <f t="shared" si="10"/>
        <v>QB</v>
      </c>
      <c r="F373">
        <f t="shared" si="11"/>
        <v>54</v>
      </c>
      <c r="G373" t="str" cm="1">
        <f t="array" ref="G373">_xlfn.LET(_xlpm.x,TRIM(B373),_xlpm.base,IFERROR(_xlfn.TEXTBEFORE(_xlpm.x,"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Hendon Hooker</v>
      </c>
    </row>
    <row r="374" spans="1:7" hidden="1" x14ac:dyDescent="0.25">
      <c r="A374">
        <v>396</v>
      </c>
      <c r="B374" t="s">
        <v>444</v>
      </c>
      <c r="C374" t="s">
        <v>958</v>
      </c>
      <c r="D374">
        <v>372</v>
      </c>
      <c r="E374" t="str">
        <f t="shared" si="10"/>
        <v>TE</v>
      </c>
      <c r="F374">
        <f t="shared" si="11"/>
        <v>53</v>
      </c>
      <c r="G374" t="str" cm="1">
        <f t="array" ref="G374">_xlfn.LET(_xlpm.x,TRIM(B374),_xlpm.base,IFERROR(_xlfn.TEXTBEFORE(_xlpm.x,"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Josh Oliver</v>
      </c>
    </row>
    <row r="375" spans="1:7" hidden="1" x14ac:dyDescent="0.25">
      <c r="A375">
        <v>397</v>
      </c>
      <c r="B375" t="s">
        <v>1243</v>
      </c>
      <c r="C375" t="s">
        <v>1005</v>
      </c>
      <c r="D375">
        <v>373</v>
      </c>
      <c r="E375" t="str">
        <f t="shared" si="10"/>
        <v>WR</v>
      </c>
      <c r="F375">
        <f t="shared" si="11"/>
        <v>155</v>
      </c>
      <c r="G375" t="str" cm="1">
        <f t="array" ref="G375">_xlfn.LET(_xlpm.x,TRIM(B375),_xlpm.base,IFERROR(_xlfn.TEXTBEFORE(_xlpm.x,"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Jordan Watkins</v>
      </c>
    </row>
    <row r="376" spans="1:7" hidden="1" x14ac:dyDescent="0.25">
      <c r="A376">
        <v>398</v>
      </c>
      <c r="B376" t="s">
        <v>1244</v>
      </c>
      <c r="C376" t="s">
        <v>1008</v>
      </c>
      <c r="D376">
        <v>374</v>
      </c>
      <c r="E376" t="str">
        <f t="shared" si="10"/>
        <v>WR</v>
      </c>
      <c r="F376">
        <f t="shared" si="11"/>
        <v>156</v>
      </c>
      <c r="G376" t="str" cm="1">
        <f t="array" ref="G376">_xlfn.LET(_xlpm.x,TRIM(B376),_xlpm.base,IFERROR(_xlfn.TEXTBEFORE(_xlpm.x,"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Charlie Jones</v>
      </c>
    </row>
    <row r="377" spans="1:7" hidden="1" x14ac:dyDescent="0.25">
      <c r="A377">
        <v>399</v>
      </c>
      <c r="B377" t="s">
        <v>400</v>
      </c>
      <c r="C377" t="s">
        <v>1038</v>
      </c>
      <c r="D377">
        <v>375</v>
      </c>
      <c r="E377" t="str">
        <f t="shared" si="10"/>
        <v>RB</v>
      </c>
      <c r="F377">
        <f t="shared" si="11"/>
        <v>112</v>
      </c>
      <c r="G377" t="str" cm="1">
        <f t="array" ref="G377">_xlfn.LET(_xlpm.x,TRIM(B377),_xlpm.base,IFERROR(_xlfn.TEXTBEFORE(_xlpm.x,"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Cordarrelle Patterson</v>
      </c>
    </row>
    <row r="378" spans="1:7" hidden="1" x14ac:dyDescent="0.25">
      <c r="A378">
        <v>401</v>
      </c>
      <c r="B378" t="s">
        <v>374</v>
      </c>
      <c r="C378" t="s">
        <v>1032</v>
      </c>
      <c r="D378">
        <v>376</v>
      </c>
      <c r="E378" t="str">
        <f t="shared" si="10"/>
        <v>QB</v>
      </c>
      <c r="F378">
        <f t="shared" si="11"/>
        <v>55</v>
      </c>
      <c r="G378" t="str" cm="1">
        <f t="array" ref="G378">_xlfn.LET(_xlpm.x,TRIM(B378),_xlpm.base,IFERROR(_xlfn.TEXTBEFORE(_xlpm.x,"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Jake Browning</v>
      </c>
    </row>
    <row r="379" spans="1:7" hidden="1" x14ac:dyDescent="0.25">
      <c r="A379">
        <v>402</v>
      </c>
      <c r="B379" t="s">
        <v>1074</v>
      </c>
      <c r="C379" t="s">
        <v>1039</v>
      </c>
      <c r="D379">
        <v>377</v>
      </c>
      <c r="E379" t="str">
        <f t="shared" si="10"/>
        <v>RB</v>
      </c>
      <c r="F379">
        <f t="shared" si="11"/>
        <v>113</v>
      </c>
      <c r="G379" t="str" cm="1">
        <f t="array" ref="G379">_xlfn.LET(_xlpm.x,TRIM(B379),_xlpm.base,IFERROR(_xlfn.TEXTBEFORE(_xlpm.x,"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Carson Steele</v>
      </c>
    </row>
    <row r="380" spans="1:7" hidden="1" x14ac:dyDescent="0.25">
      <c r="A380">
        <v>403</v>
      </c>
      <c r="B380" t="s">
        <v>462</v>
      </c>
      <c r="C380" t="s">
        <v>1009</v>
      </c>
      <c r="D380">
        <v>378</v>
      </c>
      <c r="E380" t="str">
        <f t="shared" si="10"/>
        <v>WR</v>
      </c>
      <c r="F380">
        <f t="shared" si="11"/>
        <v>157</v>
      </c>
      <c r="G380" t="str" cm="1">
        <f t="array" ref="G380">_xlfn.LET(_xlpm.x,TRIM(B380),_xlpm.base,IFERROR(_xlfn.TEXTBEFORE(_xlpm.x,"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Odell Beckham Jr.</v>
      </c>
    </row>
    <row r="381" spans="1:7" hidden="1" x14ac:dyDescent="0.25">
      <c r="A381">
        <v>406</v>
      </c>
      <c r="B381" t="s">
        <v>1245</v>
      </c>
      <c r="C381" t="s">
        <v>1041</v>
      </c>
      <c r="D381">
        <v>379</v>
      </c>
      <c r="E381" t="str">
        <f t="shared" si="10"/>
        <v>RB</v>
      </c>
      <c r="F381">
        <f t="shared" si="11"/>
        <v>114</v>
      </c>
      <c r="G381" t="str" cm="1">
        <f t="array" ref="G381">_xlfn.LET(_xlpm.x,TRIM(B381),_xlpm.base,IFERROR(_xlfn.TEXTBEFORE(_xlpm.x,"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Ameer AbdullahJAC</v>
      </c>
    </row>
    <row r="382" spans="1:7" hidden="1" x14ac:dyDescent="0.25">
      <c r="A382">
        <v>407</v>
      </c>
      <c r="B382" t="s">
        <v>1246</v>
      </c>
      <c r="C382" t="s">
        <v>960</v>
      </c>
      <c r="D382">
        <v>380</v>
      </c>
      <c r="E382" t="str">
        <f t="shared" si="10"/>
        <v>TE</v>
      </c>
      <c r="F382">
        <f t="shared" si="11"/>
        <v>54</v>
      </c>
      <c r="G382" t="str" cm="1">
        <f t="array" ref="G382">_xlfn.LET(_xlpm.x,TRIM(B382),_xlpm.base,IFERROR(_xlfn.TEXTBEFORE(_xlpm.x,"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Payne Durham</v>
      </c>
    </row>
    <row r="383" spans="1:7" hidden="1" x14ac:dyDescent="0.25">
      <c r="A383">
        <v>408</v>
      </c>
      <c r="B383" t="s">
        <v>461</v>
      </c>
      <c r="C383" t="s">
        <v>1014</v>
      </c>
      <c r="D383">
        <v>381</v>
      </c>
      <c r="E383" t="str">
        <f t="shared" si="10"/>
        <v>WR</v>
      </c>
      <c r="F383">
        <f t="shared" si="11"/>
        <v>158</v>
      </c>
      <c r="G383" t="str" cm="1">
        <f t="array" ref="G383">_xlfn.LET(_xlpm.x,TRIM(B383),_xlpm.base,IFERROR(_xlfn.TEXTBEFORE(_xlpm.x,"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DJ Chark Jr.</v>
      </c>
    </row>
    <row r="384" spans="1:7" hidden="1" x14ac:dyDescent="0.25">
      <c r="A384">
        <v>409</v>
      </c>
      <c r="B384" t="s">
        <v>509</v>
      </c>
      <c r="C384" t="s">
        <v>1033</v>
      </c>
      <c r="D384">
        <v>382</v>
      </c>
      <c r="E384" t="str">
        <f t="shared" si="10"/>
        <v>QB</v>
      </c>
      <c r="F384">
        <f t="shared" si="11"/>
        <v>56</v>
      </c>
      <c r="G384" t="str" cm="1">
        <f t="array" ref="G384">_xlfn.LET(_xlpm.x,TRIM(B384),_xlpm.base,IFERROR(_xlfn.TEXTBEFORE(_xlpm.x,"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Zach Wilson</v>
      </c>
    </row>
    <row r="385" spans="1:7" hidden="1" x14ac:dyDescent="0.25">
      <c r="A385">
        <v>411</v>
      </c>
      <c r="B385" t="s">
        <v>465</v>
      </c>
      <c r="C385" t="s">
        <v>1018</v>
      </c>
      <c r="D385">
        <v>383</v>
      </c>
      <c r="E385" t="str">
        <f t="shared" si="10"/>
        <v>WR</v>
      </c>
      <c r="F385">
        <f t="shared" si="11"/>
        <v>159</v>
      </c>
      <c r="G385" t="str" cm="1">
        <f t="array" ref="G385">_xlfn.LET(_xlpm.x,TRIM(B385),_xlpm.base,IFERROR(_xlfn.TEXTBEFORE(_xlpm.x,"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Robert Woods</v>
      </c>
    </row>
    <row r="386" spans="1:7" hidden="1" x14ac:dyDescent="0.25">
      <c r="A386">
        <v>412</v>
      </c>
      <c r="B386" t="s">
        <v>1073</v>
      </c>
      <c r="C386" t="s">
        <v>1019</v>
      </c>
      <c r="D386">
        <v>384</v>
      </c>
      <c r="E386" t="str">
        <f t="shared" si="10"/>
        <v>WR</v>
      </c>
      <c r="F386">
        <f t="shared" si="11"/>
        <v>160</v>
      </c>
      <c r="G386" t="str" cm="1">
        <f t="array" ref="G386">_xlfn.LET(_xlpm.x,TRIM(B386),_xlpm.base,IFERROR(_xlfn.TEXTBEFORE(_xlpm.x,"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Malachi Corley</v>
      </c>
    </row>
    <row r="387" spans="1:7" hidden="1" x14ac:dyDescent="0.25">
      <c r="A387">
        <v>413</v>
      </c>
      <c r="B387" t="s">
        <v>439</v>
      </c>
      <c r="C387" t="s">
        <v>961</v>
      </c>
      <c r="D387">
        <v>385</v>
      </c>
      <c r="E387" t="str">
        <f t="shared" si="10"/>
        <v>TE</v>
      </c>
      <c r="F387">
        <f t="shared" si="11"/>
        <v>55</v>
      </c>
      <c r="G387" t="str" cm="1">
        <f t="array" ref="G387">_xlfn.LET(_xlpm.x,TRIM(B387),_xlpm.base,IFERROR(_xlfn.TEXTBEFORE(_xlpm.x,"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Austin Hooper</v>
      </c>
    </row>
    <row r="388" spans="1:7" hidden="1" x14ac:dyDescent="0.25">
      <c r="A388">
        <v>414</v>
      </c>
      <c r="B388" t="s">
        <v>326</v>
      </c>
      <c r="C388" t="s">
        <v>1043</v>
      </c>
      <c r="D388">
        <v>386</v>
      </c>
      <c r="E388" t="str">
        <f t="shared" ref="E388:E451" si="12">LEFT(C388,2)</f>
        <v>RB</v>
      </c>
      <c r="F388">
        <f t="shared" ref="F388:F451" si="13">VALUE(MID(C388,3,LEN(C388)))</f>
        <v>115</v>
      </c>
      <c r="G388" t="str" cm="1">
        <f t="array" ref="G388">_xlfn.LET(_xlpm.x,TRIM(B388),_xlpm.base,IFERROR(_xlfn.TEXTBEFORE(_xlpm.x,"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Hassan Haskins</v>
      </c>
    </row>
    <row r="389" spans="1:7" hidden="1" x14ac:dyDescent="0.25">
      <c r="A389">
        <v>415</v>
      </c>
      <c r="B389" t="s">
        <v>923</v>
      </c>
      <c r="C389" t="s">
        <v>969</v>
      </c>
      <c r="D389">
        <v>387</v>
      </c>
      <c r="E389" t="str">
        <f t="shared" si="12"/>
        <v>TE</v>
      </c>
      <c r="F389">
        <f t="shared" si="13"/>
        <v>56</v>
      </c>
      <c r="G389" t="str" cm="1">
        <f t="array" ref="G389">_xlfn.LET(_xlpm.x,TRIM(B389),_xlpm.base,IFERROR(_xlfn.TEXTBEFORE(_xlpm.x,"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Robert Tonyan</v>
      </c>
    </row>
    <row r="390" spans="1:7" hidden="1" x14ac:dyDescent="0.25">
      <c r="A390">
        <v>417</v>
      </c>
      <c r="B390" t="s">
        <v>1116</v>
      </c>
      <c r="C390" t="s">
        <v>1034</v>
      </c>
      <c r="D390">
        <v>388</v>
      </c>
      <c r="E390" t="str">
        <f t="shared" si="12"/>
        <v>QB</v>
      </c>
      <c r="F390">
        <f t="shared" si="13"/>
        <v>57</v>
      </c>
      <c r="G390" t="str" cm="1">
        <f t="array" ref="G390">_xlfn.LET(_xlpm.x,TRIM(B390),_xlpm.base,IFERROR(_xlfn.TEXTBEFORE(_xlpm.x,"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Teddy Bridgewater</v>
      </c>
    </row>
    <row r="391" spans="1:7" hidden="1" x14ac:dyDescent="0.25">
      <c r="A391">
        <v>418</v>
      </c>
      <c r="B391" t="s">
        <v>149</v>
      </c>
      <c r="C391" t="s">
        <v>1021</v>
      </c>
      <c r="D391">
        <v>389</v>
      </c>
      <c r="E391" t="str">
        <f t="shared" si="12"/>
        <v>WR</v>
      </c>
      <c r="F391">
        <f t="shared" si="13"/>
        <v>161</v>
      </c>
      <c r="G391" t="str" cm="1">
        <f t="array" ref="G391">_xlfn.LET(_xlpm.x,TRIM(B391),_xlpm.base,IFERROR(_xlfn.TEXTBEFORE(_xlpm.x,"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Chimere Dike</v>
      </c>
    </row>
    <row r="392" spans="1:7" hidden="1" x14ac:dyDescent="0.25">
      <c r="A392">
        <v>419</v>
      </c>
      <c r="B392" t="s">
        <v>499</v>
      </c>
      <c r="C392" t="s">
        <v>1047</v>
      </c>
      <c r="D392">
        <v>390</v>
      </c>
      <c r="E392" t="str">
        <f t="shared" si="12"/>
        <v>RB</v>
      </c>
      <c r="F392">
        <f t="shared" si="13"/>
        <v>116</v>
      </c>
      <c r="G392" t="str" cm="1">
        <f t="array" ref="G392">_xlfn.LET(_xlpm.x,TRIM(B392),_xlpm.base,IFERROR(_xlfn.TEXTBEFORE(_xlpm.x,"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Jeff Wilson Jr.</v>
      </c>
    </row>
    <row r="393" spans="1:7" hidden="1" x14ac:dyDescent="0.25">
      <c r="A393">
        <v>420</v>
      </c>
      <c r="B393" t="s">
        <v>1083</v>
      </c>
      <c r="C393" t="s">
        <v>1026</v>
      </c>
      <c r="D393">
        <v>391</v>
      </c>
      <c r="E393" t="str">
        <f t="shared" si="12"/>
        <v>WR</v>
      </c>
      <c r="F393">
        <f t="shared" si="13"/>
        <v>162</v>
      </c>
      <c r="G393" t="str" cm="1">
        <f t="array" ref="G393">_xlfn.LET(_xlpm.x,TRIM(B393),_xlpm.base,IFERROR(_xlfn.TEXTBEFORE(_xlpm.x,"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Jamari Thrash</v>
      </c>
    </row>
    <row r="394" spans="1:7" hidden="1" x14ac:dyDescent="0.25">
      <c r="A394">
        <v>421</v>
      </c>
      <c r="B394" t="s">
        <v>1247</v>
      </c>
      <c r="C394" t="s">
        <v>970</v>
      </c>
      <c r="D394">
        <v>392</v>
      </c>
      <c r="E394" t="str">
        <f t="shared" si="12"/>
        <v>TE</v>
      </c>
      <c r="F394">
        <f t="shared" si="13"/>
        <v>57</v>
      </c>
      <c r="G394" t="str" cm="1">
        <f t="array" ref="G394">_xlfn.LET(_xlpm.x,TRIM(B394),_xlpm.base,IFERROR(_xlfn.TEXTBEFORE(_xlpm.x,"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Stone Smartt</v>
      </c>
    </row>
    <row r="395" spans="1:7" hidden="1" x14ac:dyDescent="0.25">
      <c r="A395">
        <v>422</v>
      </c>
      <c r="B395" t="s">
        <v>324</v>
      </c>
      <c r="C395" t="s">
        <v>1054</v>
      </c>
      <c r="D395">
        <v>393</v>
      </c>
      <c r="E395" t="str">
        <f t="shared" si="12"/>
        <v>RB</v>
      </c>
      <c r="F395">
        <f t="shared" si="13"/>
        <v>117</v>
      </c>
      <c r="G395" t="str" cm="1">
        <f t="array" ref="G395">_xlfn.LET(_xlpm.x,TRIM(B395),_xlpm.base,IFERROR(_xlfn.TEXTBEFORE(_xlpm.x,"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Phil Mafah</v>
      </c>
    </row>
    <row r="396" spans="1:7" hidden="1" x14ac:dyDescent="0.25">
      <c r="A396">
        <v>423</v>
      </c>
      <c r="B396" t="s">
        <v>1248</v>
      </c>
      <c r="C396" t="s">
        <v>1035</v>
      </c>
      <c r="D396">
        <v>394</v>
      </c>
      <c r="E396" t="str">
        <f t="shared" si="12"/>
        <v>QB</v>
      </c>
      <c r="F396">
        <f t="shared" si="13"/>
        <v>58</v>
      </c>
      <c r="G396" t="str" cm="1">
        <f t="array" ref="G396">_xlfn.LET(_xlpm.x,TRIM(B396),_xlpm.base,IFERROR(_xlfn.TEXTBEFORE(_xlpm.x,"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Brady Cook</v>
      </c>
    </row>
    <row r="397" spans="1:7" hidden="1" x14ac:dyDescent="0.25">
      <c r="A397">
        <v>424</v>
      </c>
      <c r="B397" t="s">
        <v>385</v>
      </c>
      <c r="C397" t="s">
        <v>1042</v>
      </c>
      <c r="D397">
        <v>395</v>
      </c>
      <c r="E397" t="str">
        <f t="shared" si="12"/>
        <v>QB</v>
      </c>
      <c r="F397">
        <f t="shared" si="13"/>
        <v>59</v>
      </c>
      <c r="G397" t="str" cm="1">
        <f t="array" ref="G397">_xlfn.LET(_xlpm.x,TRIM(B397),_xlpm.base,IFERROR(_xlfn.TEXTBEFORE(_xlpm.x,"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Drew Lock</v>
      </c>
    </row>
    <row r="398" spans="1:7" hidden="1" x14ac:dyDescent="0.25">
      <c r="A398">
        <v>425</v>
      </c>
      <c r="B398" t="s">
        <v>441</v>
      </c>
      <c r="C398" t="s">
        <v>974</v>
      </c>
      <c r="D398">
        <v>396</v>
      </c>
      <c r="E398" t="str">
        <f t="shared" si="12"/>
        <v>TE</v>
      </c>
      <c r="F398">
        <f t="shared" si="13"/>
        <v>58</v>
      </c>
      <c r="G398" t="str" cm="1">
        <f t="array" ref="G398">_xlfn.LET(_xlpm.x,TRIM(B398),_xlpm.base,IFERROR(_xlfn.TEXTBEFORE(_xlpm.x,"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Foster Moreau</v>
      </c>
    </row>
    <row r="399" spans="1:7" hidden="1" x14ac:dyDescent="0.25">
      <c r="A399">
        <v>428</v>
      </c>
      <c r="B399" t="s">
        <v>308</v>
      </c>
      <c r="C399" t="s">
        <v>1067</v>
      </c>
      <c r="D399">
        <v>397</v>
      </c>
      <c r="E399" t="str">
        <f t="shared" si="12"/>
        <v>RB</v>
      </c>
      <c r="F399">
        <f t="shared" si="13"/>
        <v>118</v>
      </c>
      <c r="G399" t="str" cm="1">
        <f t="array" ref="G399">_xlfn.LET(_xlpm.x,TRIM(B399),_xlpm.base,IFERROR(_xlfn.TEXTBEFORE(_xlpm.x,"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Rasheen Ali</v>
      </c>
    </row>
    <row r="400" spans="1:7" hidden="1" x14ac:dyDescent="0.25">
      <c r="A400">
        <v>429</v>
      </c>
      <c r="B400" t="s">
        <v>1249</v>
      </c>
      <c r="C400" t="s">
        <v>1027</v>
      </c>
      <c r="D400">
        <v>398</v>
      </c>
      <c r="E400" t="str">
        <f t="shared" si="12"/>
        <v>WR</v>
      </c>
      <c r="F400">
        <f t="shared" si="13"/>
        <v>163</v>
      </c>
      <c r="G400" t="str" cm="1">
        <f t="array" ref="G400">_xlfn.LET(_xlpm.x,TRIM(B400),_xlpm.base,IFERROR(_xlfn.TEXTBEFORE(_xlpm.x,"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Nick Nash</v>
      </c>
    </row>
    <row r="401" spans="1:7" hidden="1" x14ac:dyDescent="0.25">
      <c r="A401">
        <v>430</v>
      </c>
      <c r="B401" t="s">
        <v>330</v>
      </c>
      <c r="C401" t="s">
        <v>1068</v>
      </c>
      <c r="D401">
        <v>399</v>
      </c>
      <c r="E401" t="str">
        <f t="shared" si="12"/>
        <v>RB</v>
      </c>
      <c r="F401">
        <f t="shared" si="13"/>
        <v>119</v>
      </c>
      <c r="G401" t="str" cm="1">
        <f t="array" ref="G401">_xlfn.LET(_xlpm.x,TRIM(B401),_xlpm.base,IFERROR(_xlfn.TEXTBEFORE(_xlpm.x,"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Corey Kiner</v>
      </c>
    </row>
    <row r="402" spans="1:7" hidden="1" x14ac:dyDescent="0.25">
      <c r="A402">
        <v>431</v>
      </c>
      <c r="B402" t="s">
        <v>1250</v>
      </c>
      <c r="C402" t="s">
        <v>977</v>
      </c>
      <c r="D402">
        <v>400</v>
      </c>
      <c r="E402" t="str">
        <f t="shared" si="12"/>
        <v>TE</v>
      </c>
      <c r="F402">
        <f t="shared" si="13"/>
        <v>59</v>
      </c>
      <c r="G402" t="str" cm="1">
        <f t="array" ref="G402">_xlfn.LET(_xlpm.x,TRIM(B402),_xlpm.base,IFERROR(_xlfn.TEXTBEFORE(_xlpm.x,"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Devin Culp</v>
      </c>
    </row>
    <row r="403" spans="1:7" hidden="1" x14ac:dyDescent="0.25">
      <c r="A403">
        <v>432</v>
      </c>
      <c r="B403" t="s">
        <v>362</v>
      </c>
      <c r="C403" t="s">
        <v>1044</v>
      </c>
      <c r="D403">
        <v>401</v>
      </c>
      <c r="E403" t="str">
        <f t="shared" si="12"/>
        <v>QB</v>
      </c>
      <c r="F403">
        <f t="shared" si="13"/>
        <v>60</v>
      </c>
      <c r="G403" t="str" cm="1">
        <f t="array" ref="G403">_xlfn.LET(_xlpm.x,TRIM(B403),_xlpm.base,IFERROR(_xlfn.TEXTBEFORE(_xlpm.x,"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Mac Jones</v>
      </c>
    </row>
    <row r="404" spans="1:7" hidden="1" x14ac:dyDescent="0.25">
      <c r="A404">
        <v>433</v>
      </c>
      <c r="B404" t="s">
        <v>1251</v>
      </c>
      <c r="C404" t="s">
        <v>1050</v>
      </c>
      <c r="D404">
        <v>402</v>
      </c>
      <c r="E404" t="str">
        <f t="shared" si="12"/>
        <v>QB</v>
      </c>
      <c r="F404">
        <f t="shared" si="13"/>
        <v>61</v>
      </c>
      <c r="G404" t="str" cm="1">
        <f t="array" ref="G404">_xlfn.LET(_xlpm.x,TRIM(B404),_xlpm.base,IFERROR(_xlfn.TEXTBEFORE(_xlpm.x,"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Stetson Bennett IV</v>
      </c>
    </row>
    <row r="405" spans="1:7" hidden="1" x14ac:dyDescent="0.25">
      <c r="A405">
        <v>434</v>
      </c>
      <c r="B405" t="s">
        <v>1252</v>
      </c>
      <c r="C405" t="s">
        <v>1031</v>
      </c>
      <c r="D405">
        <v>403</v>
      </c>
      <c r="E405" t="str">
        <f t="shared" si="12"/>
        <v>WR</v>
      </c>
      <c r="F405">
        <f t="shared" si="13"/>
        <v>164</v>
      </c>
      <c r="G405" t="str" cm="1">
        <f t="array" ref="G405">_xlfn.LET(_xlpm.x,TRIM(B405),_xlpm.base,IFERROR(_xlfn.TEXTBEFORE(_xlpm.x,"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Konata Mumpfield</v>
      </c>
    </row>
    <row r="406" spans="1:7" hidden="1" x14ac:dyDescent="0.25">
      <c r="A406">
        <v>436</v>
      </c>
      <c r="B406" t="s">
        <v>1113</v>
      </c>
      <c r="C406" t="s">
        <v>983</v>
      </c>
      <c r="D406">
        <v>404</v>
      </c>
      <c r="E406" t="str">
        <f t="shared" si="12"/>
        <v>TE</v>
      </c>
      <c r="F406">
        <f t="shared" si="13"/>
        <v>60</v>
      </c>
      <c r="G406" t="str" cm="1">
        <f t="array" ref="G406">_xlfn.LET(_xlpm.x,TRIM(B406),_xlpm.base,IFERROR(_xlfn.TEXTBEFORE(_xlpm.x,"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Julian Hill</v>
      </c>
    </row>
    <row r="407" spans="1:7" hidden="1" x14ac:dyDescent="0.25">
      <c r="A407">
        <v>437</v>
      </c>
      <c r="B407" t="s">
        <v>427</v>
      </c>
      <c r="C407" t="s">
        <v>1037</v>
      </c>
      <c r="D407">
        <v>405</v>
      </c>
      <c r="E407" t="str">
        <f t="shared" si="12"/>
        <v>WR</v>
      </c>
      <c r="F407">
        <f t="shared" si="13"/>
        <v>165</v>
      </c>
      <c r="G407" t="str" cm="1">
        <f t="array" ref="G407">_xlfn.LET(_xlpm.x,TRIM(B407),_xlpm.base,IFERROR(_xlfn.TEXTBEFORE(_xlpm.x,"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Tyler Johnson</v>
      </c>
    </row>
    <row r="408" spans="1:7" hidden="1" x14ac:dyDescent="0.25">
      <c r="A408">
        <v>438</v>
      </c>
      <c r="B408" t="s">
        <v>262</v>
      </c>
      <c r="C408" t="s">
        <v>1118</v>
      </c>
      <c r="D408">
        <v>406</v>
      </c>
      <c r="E408" t="str">
        <f t="shared" si="12"/>
        <v>RB</v>
      </c>
      <c r="F408">
        <f t="shared" si="13"/>
        <v>120</v>
      </c>
      <c r="G408" t="str" cm="1">
        <f t="array" ref="G408">_xlfn.LET(_xlpm.x,TRIM(B408),_xlpm.base,IFERROR(_xlfn.TEXTBEFORE(_xlpm.x,"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Kimani Vi</v>
      </c>
    </row>
    <row r="409" spans="1:7" hidden="1" x14ac:dyDescent="0.25">
      <c r="A409">
        <v>439</v>
      </c>
      <c r="B409" t="s">
        <v>1106</v>
      </c>
      <c r="C409" t="s">
        <v>1045</v>
      </c>
      <c r="D409">
        <v>407</v>
      </c>
      <c r="E409" t="str">
        <f t="shared" si="12"/>
        <v>WR</v>
      </c>
      <c r="F409">
        <f t="shared" si="13"/>
        <v>166</v>
      </c>
      <c r="G409" t="str" cm="1">
        <f t="array" ref="G409">_xlfn.LET(_xlpm.x,TRIM(B409),_xlpm.base,IFERROR(_xlfn.TEXTBEFORE(_xlpm.x,"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Mason Tipton</v>
      </c>
    </row>
    <row r="410" spans="1:7" hidden="1" x14ac:dyDescent="0.25">
      <c r="A410">
        <v>440</v>
      </c>
      <c r="B410" t="s">
        <v>54</v>
      </c>
      <c r="C410" t="s">
        <v>984</v>
      </c>
      <c r="D410">
        <v>408</v>
      </c>
      <c r="E410" t="str">
        <f t="shared" si="12"/>
        <v>TE</v>
      </c>
      <c r="F410">
        <f t="shared" si="13"/>
        <v>61</v>
      </c>
      <c r="G410" t="str" cm="1">
        <f t="array" ref="G410">_xlfn.LET(_xlpm.x,TRIM(B410),_xlpm.base,IFERROR(_xlfn.TEXTBEFORE(_xlpm.x,"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Colby Parkinson</v>
      </c>
    </row>
    <row r="411" spans="1:7" hidden="1" x14ac:dyDescent="0.25">
      <c r="A411">
        <v>441</v>
      </c>
      <c r="B411" t="s">
        <v>1253</v>
      </c>
      <c r="C411" t="s">
        <v>990</v>
      </c>
      <c r="D411">
        <v>409</v>
      </c>
      <c r="E411" t="str">
        <f t="shared" si="12"/>
        <v>TE</v>
      </c>
      <c r="F411">
        <f t="shared" si="13"/>
        <v>62</v>
      </c>
      <c r="G411" t="str" cm="1">
        <f t="array" ref="G411">_xlfn.LET(_xlpm.x,TRIM(B411),_xlpm.base,IFERROR(_xlfn.TEXTBEFORE(_xlpm.x,"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Drew Sample</v>
      </c>
    </row>
    <row r="412" spans="1:7" hidden="1" x14ac:dyDescent="0.25">
      <c r="A412">
        <v>442</v>
      </c>
      <c r="B412" t="s">
        <v>1079</v>
      </c>
      <c r="C412" t="s">
        <v>1119</v>
      </c>
      <c r="D412">
        <v>410</v>
      </c>
      <c r="E412" t="str">
        <f t="shared" si="12"/>
        <v>RB</v>
      </c>
      <c r="F412">
        <f t="shared" si="13"/>
        <v>121</v>
      </c>
      <c r="G412" t="str" cm="1">
        <f t="array" ref="G412">_xlfn.LET(_xlpm.x,TRIM(B412),_xlpm.base,IFERROR(_xlfn.TEXTBEFORE(_xlpm.x,"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Sione Vaki</v>
      </c>
    </row>
    <row r="413" spans="1:7" hidden="1" x14ac:dyDescent="0.25">
      <c r="A413">
        <v>443</v>
      </c>
      <c r="B413" t="s">
        <v>1254</v>
      </c>
      <c r="C413" t="s">
        <v>993</v>
      </c>
      <c r="D413">
        <v>411</v>
      </c>
      <c r="E413" t="str">
        <f t="shared" si="12"/>
        <v>TE</v>
      </c>
      <c r="F413">
        <f t="shared" si="13"/>
        <v>63</v>
      </c>
      <c r="G413" t="str" cm="1">
        <f t="array" ref="G413">_xlfn.LET(_xlpm.x,TRIM(B413),_xlpm.base,IFERROR(_xlfn.TEXTBEFORE(_xlpm.x,"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Thomas Fidone II</v>
      </c>
    </row>
    <row r="414" spans="1:7" hidden="1" x14ac:dyDescent="0.25">
      <c r="A414">
        <v>444</v>
      </c>
      <c r="B414" t="s">
        <v>1096</v>
      </c>
      <c r="C414" t="s">
        <v>998</v>
      </c>
      <c r="D414">
        <v>412</v>
      </c>
      <c r="E414" t="str">
        <f t="shared" si="12"/>
        <v>TE</v>
      </c>
      <c r="F414">
        <f t="shared" si="13"/>
        <v>64</v>
      </c>
      <c r="G414" t="str" cm="1">
        <f t="array" ref="G414">_xlfn.LET(_xlpm.x,TRIM(B414),_xlpm.base,IFERROR(_xlfn.TEXTBEFORE(_xlpm.x,"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Brock Wright</v>
      </c>
    </row>
    <row r="415" spans="1:7" hidden="1" x14ac:dyDescent="0.25">
      <c r="A415">
        <v>445</v>
      </c>
      <c r="B415" t="s">
        <v>268</v>
      </c>
      <c r="C415" t="s">
        <v>1120</v>
      </c>
      <c r="D415">
        <v>413</v>
      </c>
      <c r="E415" t="str">
        <f t="shared" si="12"/>
        <v>RB</v>
      </c>
      <c r="F415">
        <f t="shared" si="13"/>
        <v>122</v>
      </c>
      <c r="G415" t="str" cm="1">
        <f t="array" ref="G415">_xlfn.LET(_xlpm.x,TRIM(B415),_xlpm.base,IFERROR(_xlfn.TEXTBEFORE(_xlpm.x,"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Michael Carter</v>
      </c>
    </row>
    <row r="416" spans="1:7" hidden="1" x14ac:dyDescent="0.25">
      <c r="A416">
        <v>446</v>
      </c>
      <c r="B416" t="s">
        <v>1255</v>
      </c>
      <c r="C416" t="s">
        <v>1059</v>
      </c>
      <c r="D416">
        <v>414</v>
      </c>
      <c r="E416" t="str">
        <f t="shared" si="12"/>
        <v>QB</v>
      </c>
      <c r="F416">
        <f t="shared" si="13"/>
        <v>62</v>
      </c>
      <c r="G416" t="str" cm="1">
        <f t="array" ref="G416">_xlfn.LET(_xlpm.x,TRIM(B416),_xlpm.base,IFERROR(_xlfn.TEXTBEFORE(_xlpm.x,"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Max Brosmer</v>
      </c>
    </row>
    <row r="417" spans="1:7" hidden="1" x14ac:dyDescent="0.25">
      <c r="A417">
        <v>447</v>
      </c>
      <c r="B417" t="s">
        <v>96</v>
      </c>
      <c r="C417" t="s">
        <v>999</v>
      </c>
      <c r="D417">
        <v>415</v>
      </c>
      <c r="E417" t="str">
        <f t="shared" si="12"/>
        <v>TE</v>
      </c>
      <c r="F417">
        <f t="shared" si="13"/>
        <v>65</v>
      </c>
      <c r="G417" t="str" cm="1">
        <f t="array" ref="G417">_xlfn.LET(_xlpm.x,TRIM(B417),_xlpm.base,IFERROR(_xlfn.TEXTBEFORE(_xlpm.x,"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Greg Dulcich</v>
      </c>
    </row>
    <row r="418" spans="1:7" hidden="1" x14ac:dyDescent="0.25">
      <c r="A418">
        <v>448</v>
      </c>
      <c r="B418" t="s">
        <v>1090</v>
      </c>
      <c r="C418" t="s">
        <v>1048</v>
      </c>
      <c r="D418">
        <v>416</v>
      </c>
      <c r="E418" t="str">
        <f t="shared" si="12"/>
        <v>WR</v>
      </c>
      <c r="F418">
        <f t="shared" si="13"/>
        <v>167</v>
      </c>
      <c r="G418" t="str" cm="1">
        <f t="array" ref="G418">_xlfn.LET(_xlpm.x,TRIM(B418),_xlpm.base,IFERROR(_xlfn.TEXTBEFORE(_xlpm.x,"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Casey Washington</v>
      </c>
    </row>
    <row r="419" spans="1:7" hidden="1" x14ac:dyDescent="0.25">
      <c r="A419">
        <v>449</v>
      </c>
      <c r="B419" t="s">
        <v>1256</v>
      </c>
      <c r="C419" t="s">
        <v>1000</v>
      </c>
      <c r="D419">
        <v>417</v>
      </c>
      <c r="E419" t="str">
        <f t="shared" si="12"/>
        <v>TE</v>
      </c>
      <c r="F419">
        <f t="shared" si="13"/>
        <v>66</v>
      </c>
      <c r="G419" t="str" cm="1">
        <f t="array" ref="G419">_xlfn.LET(_xlpm.x,TRIM(B419),_xlpm.base,IFERROR(_xlfn.TEXTBEFORE(_xlpm.x,"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Luke Farrell</v>
      </c>
    </row>
    <row r="420" spans="1:7" hidden="1" x14ac:dyDescent="0.25">
      <c r="A420">
        <v>450</v>
      </c>
      <c r="B420" t="s">
        <v>1121</v>
      </c>
      <c r="C420" t="s">
        <v>1122</v>
      </c>
      <c r="D420">
        <v>418</v>
      </c>
      <c r="E420" t="str">
        <f t="shared" si="12"/>
        <v>RB</v>
      </c>
      <c r="F420">
        <f t="shared" si="13"/>
        <v>123</v>
      </c>
      <c r="G420" t="str" cm="1">
        <f t="array" ref="G420">_xlfn.LET(_xlpm.x,TRIM(B420),_xlpm.base,IFERROR(_xlfn.TEXTBEFORE(_xlpm.x,"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Caleb Huntley</v>
      </c>
    </row>
    <row r="421" spans="1:7" hidden="1" x14ac:dyDescent="0.25">
      <c r="A421">
        <v>451</v>
      </c>
      <c r="B421" t="s">
        <v>447</v>
      </c>
      <c r="C421" t="s">
        <v>1001</v>
      </c>
      <c r="D421">
        <v>419</v>
      </c>
      <c r="E421" t="str">
        <f t="shared" si="12"/>
        <v>TE</v>
      </c>
      <c r="F421">
        <f t="shared" si="13"/>
        <v>67</v>
      </c>
      <c r="G421" t="str" cm="1">
        <f t="array" ref="G421">_xlfn.LET(_xlpm.x,TRIM(B421),_xlpm.base,IFERROR(_xlfn.TEXTBEFORE(_xlpm.x,"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Luke Schoonmaker</v>
      </c>
    </row>
    <row r="422" spans="1:7" hidden="1" x14ac:dyDescent="0.25">
      <c r="A422">
        <v>452</v>
      </c>
      <c r="B422" t="s">
        <v>1112</v>
      </c>
      <c r="C422" t="s">
        <v>1052</v>
      </c>
      <c r="D422">
        <v>420</v>
      </c>
      <c r="E422" t="str">
        <f t="shared" si="12"/>
        <v>WR</v>
      </c>
      <c r="F422">
        <f t="shared" si="13"/>
        <v>168</v>
      </c>
      <c r="G422" t="str" cm="1">
        <f t="array" ref="G422">_xlfn.LET(_xlpm.x,TRIM(B422),_xlpm.base,IFERROR(_xlfn.TEXTBEFORE(_xlpm.x,"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Xavier Weaver</v>
      </c>
    </row>
    <row r="423" spans="1:7" hidden="1" x14ac:dyDescent="0.25">
      <c r="A423">
        <v>453</v>
      </c>
      <c r="B423" t="s">
        <v>363</v>
      </c>
      <c r="C423" t="s">
        <v>1123</v>
      </c>
      <c r="D423">
        <v>421</v>
      </c>
      <c r="E423" t="str">
        <f t="shared" si="12"/>
        <v>QB</v>
      </c>
      <c r="F423">
        <f t="shared" si="13"/>
        <v>63</v>
      </c>
      <c r="G423" t="str" cm="1">
        <f t="array" ref="G423">_xlfn.LET(_xlpm.x,TRIM(B423),_xlpm.base,IFERROR(_xlfn.TEXTBEFORE(_xlpm.x,"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Marcus Mariota</v>
      </c>
    </row>
    <row r="424" spans="1:7" hidden="1" x14ac:dyDescent="0.25">
      <c r="A424">
        <v>454</v>
      </c>
      <c r="B424" t="s">
        <v>393</v>
      </c>
      <c r="C424" t="s">
        <v>1124</v>
      </c>
      <c r="D424">
        <v>422</v>
      </c>
      <c r="E424" t="str">
        <f t="shared" si="12"/>
        <v>RB</v>
      </c>
      <c r="F424">
        <f t="shared" si="13"/>
        <v>124</v>
      </c>
      <c r="G424" t="str" cm="1">
        <f t="array" ref="G424">_xlfn.LET(_xlpm.x,TRIM(B424),_xlpm.base,IFERROR(_xlfn.TEXTBEFORE(_xlpm.x,"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Zack Moss</v>
      </c>
    </row>
    <row r="425" spans="1:7" hidden="1" x14ac:dyDescent="0.25">
      <c r="A425">
        <v>455</v>
      </c>
      <c r="B425" t="s">
        <v>1257</v>
      </c>
      <c r="C425" t="s">
        <v>1056</v>
      </c>
      <c r="D425">
        <v>423</v>
      </c>
      <c r="E425" t="str">
        <f t="shared" si="12"/>
        <v>WR</v>
      </c>
      <c r="F425">
        <f t="shared" si="13"/>
        <v>169</v>
      </c>
      <c r="G425" t="str" cm="1">
        <f t="array" ref="G425">_xlfn.LET(_xlpm.x,TRIM(B425),_xlpm.base,IFERROR(_xlfn.TEXTBEFORE(_xlpm.x,"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Ben Skowronek</v>
      </c>
    </row>
    <row r="426" spans="1:7" hidden="1" x14ac:dyDescent="0.25">
      <c r="A426">
        <v>456</v>
      </c>
      <c r="B426" t="s">
        <v>1258</v>
      </c>
      <c r="C426" t="s">
        <v>1125</v>
      </c>
      <c r="D426">
        <v>424</v>
      </c>
      <c r="E426" t="str">
        <f t="shared" si="12"/>
        <v>QB</v>
      </c>
      <c r="F426">
        <f t="shared" si="13"/>
        <v>64</v>
      </c>
      <c r="G426" t="str" cm="1">
        <f t="array" ref="G426">_xlfn.LET(_xlpm.x,TRIM(B426),_xlpm.base,IFERROR(_xlfn.TEXTBEFORE(_xlpm.x,"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Will Howard</v>
      </c>
    </row>
    <row r="427" spans="1:7" hidden="1" x14ac:dyDescent="0.25">
      <c r="A427">
        <v>457</v>
      </c>
      <c r="B427" t="s">
        <v>1126</v>
      </c>
      <c r="C427" t="s">
        <v>1127</v>
      </c>
      <c r="D427">
        <v>425</v>
      </c>
      <c r="E427" t="str">
        <f t="shared" si="12"/>
        <v>QB</v>
      </c>
      <c r="F427">
        <f t="shared" si="13"/>
        <v>65</v>
      </c>
      <c r="G427" t="str" cm="1">
        <f t="array" ref="G427">_xlfn.LET(_xlpm.x,TRIM(B427),_xlpm.base,IFERROR(_xlfn.TEXTBEFORE(_xlpm.x,"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John Wolford</v>
      </c>
    </row>
    <row r="428" spans="1:7" hidden="1" x14ac:dyDescent="0.25">
      <c r="A428">
        <v>458</v>
      </c>
      <c r="B428" t="s">
        <v>964</v>
      </c>
      <c r="C428" t="s">
        <v>1128</v>
      </c>
      <c r="D428">
        <v>426</v>
      </c>
      <c r="E428" t="str">
        <f t="shared" si="12"/>
        <v>QB</v>
      </c>
      <c r="F428">
        <f t="shared" si="13"/>
        <v>66</v>
      </c>
      <c r="G428" t="str" cm="1">
        <f t="array" ref="G428">_xlfn.LET(_xlpm.x,TRIM(B428),_xlpm.base,IFERROR(_xlfn.TEXTBEFORE(_xlpm.x,"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P.J. Walker</v>
      </c>
    </row>
    <row r="429" spans="1:7" hidden="1" x14ac:dyDescent="0.25">
      <c r="A429">
        <v>459</v>
      </c>
      <c r="B429" t="s">
        <v>1259</v>
      </c>
      <c r="C429" t="s">
        <v>1058</v>
      </c>
      <c r="D429">
        <v>427</v>
      </c>
      <c r="E429" t="str">
        <f t="shared" si="12"/>
        <v>WR</v>
      </c>
      <c r="F429">
        <f t="shared" si="13"/>
        <v>170</v>
      </c>
      <c r="G429" t="str" cm="1">
        <f t="array" ref="G429">_xlfn.LET(_xlpm.x,TRIM(B429),_xlpm.base,IFERROR(_xlfn.TEXTBEFORE(_xlpm.x,"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Dayton Wade</v>
      </c>
    </row>
    <row r="430" spans="1:7" hidden="1" x14ac:dyDescent="0.25">
      <c r="A430">
        <v>460</v>
      </c>
      <c r="B430" t="s">
        <v>1260</v>
      </c>
      <c r="C430" t="s">
        <v>1060</v>
      </c>
      <c r="D430">
        <v>428</v>
      </c>
      <c r="E430" t="str">
        <f t="shared" si="12"/>
        <v>WR</v>
      </c>
      <c r="F430">
        <f t="shared" si="13"/>
        <v>171</v>
      </c>
      <c r="G430" t="str" cm="1">
        <f t="array" ref="G430">_xlfn.LET(_xlpm.x,TRIM(B430),_xlpm.base,IFERROR(_xlfn.TEXTBEFORE(_xlpm.x,"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Jackson Meeks</v>
      </c>
    </row>
    <row r="431" spans="1:7" hidden="1" x14ac:dyDescent="0.25">
      <c r="A431">
        <v>461</v>
      </c>
      <c r="B431" t="s">
        <v>1261</v>
      </c>
      <c r="C431" t="s">
        <v>1062</v>
      </c>
      <c r="D431">
        <v>429</v>
      </c>
      <c r="E431" t="str">
        <f t="shared" si="12"/>
        <v>WR</v>
      </c>
      <c r="F431">
        <f t="shared" si="13"/>
        <v>172</v>
      </c>
      <c r="G431" t="str" cm="1">
        <f t="array" ref="G431">_xlfn.LET(_xlpm.x,TRIM(B431),_xlpm.base,IFERROR(_xlfn.TEXTBEFORE(_xlpm.x,"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Ashton Dulin</v>
      </c>
    </row>
    <row r="432" spans="1:7" hidden="1" x14ac:dyDescent="0.25">
      <c r="A432">
        <v>462</v>
      </c>
      <c r="B432" t="s">
        <v>1129</v>
      </c>
      <c r="C432" t="s">
        <v>1063</v>
      </c>
      <c r="D432">
        <v>430</v>
      </c>
      <c r="E432" t="str">
        <f t="shared" si="12"/>
        <v>WR</v>
      </c>
      <c r="F432">
        <f t="shared" si="13"/>
        <v>173</v>
      </c>
      <c r="G432" t="str" cm="1">
        <f t="array" ref="G432">_xlfn.LET(_xlpm.x,TRIM(B432),_xlpm.base,IFERROR(_xlfn.TEXTBEFORE(_xlpm.x,"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Beaux Collins</v>
      </c>
    </row>
    <row r="433" spans="1:7" hidden="1" x14ac:dyDescent="0.25">
      <c r="A433">
        <v>463</v>
      </c>
      <c r="B433" t="s">
        <v>423</v>
      </c>
      <c r="C433" t="s">
        <v>1064</v>
      </c>
      <c r="D433">
        <v>431</v>
      </c>
      <c r="E433" t="str">
        <f t="shared" si="12"/>
        <v>WR</v>
      </c>
      <c r="F433">
        <f t="shared" si="13"/>
        <v>174</v>
      </c>
      <c r="G433" t="str" cm="1">
        <f t="array" ref="G433">_xlfn.LET(_xlpm.x,TRIM(B433),_xlpm.base,IFERROR(_xlfn.TEXTBEFORE(_xlpm.x,"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Lil'Jordan Humphrey</v>
      </c>
    </row>
    <row r="434" spans="1:7" hidden="1" x14ac:dyDescent="0.25">
      <c r="A434">
        <v>464</v>
      </c>
      <c r="B434" t="s">
        <v>1262</v>
      </c>
      <c r="C434" t="s">
        <v>1130</v>
      </c>
      <c r="D434">
        <v>432</v>
      </c>
      <c r="E434" t="str">
        <f t="shared" si="12"/>
        <v>WR</v>
      </c>
      <c r="F434">
        <f t="shared" si="13"/>
        <v>175</v>
      </c>
      <c r="G434" t="str" cm="1">
        <f t="array" ref="G434">_xlfn.LET(_xlpm.x,TRIM(B434),_xlpm.base,IFERROR(_xlfn.TEXTBEFORE(_xlpm.x,"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KhaDarel Hodge</v>
      </c>
    </row>
    <row r="435" spans="1:7" hidden="1" x14ac:dyDescent="0.25">
      <c r="A435">
        <v>465</v>
      </c>
      <c r="B435" t="s">
        <v>457</v>
      </c>
      <c r="C435" t="s">
        <v>1006</v>
      </c>
      <c r="D435">
        <v>433</v>
      </c>
      <c r="E435" t="str">
        <f t="shared" si="12"/>
        <v>TE</v>
      </c>
      <c r="F435">
        <f t="shared" si="13"/>
        <v>68</v>
      </c>
      <c r="G435" t="str" cm="1">
        <f t="array" ref="G435">_xlfn.LET(_xlpm.x,TRIM(B435),_xlpm.base,IFERROR(_xlfn.TEXTBEFORE(_xlpm.x,"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Adam Trautman</v>
      </c>
    </row>
    <row r="436" spans="1:7" hidden="1" x14ac:dyDescent="0.25">
      <c r="A436">
        <v>466</v>
      </c>
      <c r="B436" t="s">
        <v>1110</v>
      </c>
      <c r="C436" t="s">
        <v>1131</v>
      </c>
      <c r="D436">
        <v>434</v>
      </c>
      <c r="E436" t="str">
        <f t="shared" si="12"/>
        <v>WR</v>
      </c>
      <c r="F436">
        <f t="shared" si="13"/>
        <v>176</v>
      </c>
      <c r="G436" t="str" cm="1">
        <f t="array" ref="G436">_xlfn.LET(_xlpm.x,TRIM(B436),_xlpm.base,IFERROR(_xlfn.TEXTBEFORE(_xlpm.x,"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Tylan Wallace</v>
      </c>
    </row>
    <row r="437" spans="1:7" hidden="1" x14ac:dyDescent="0.25">
      <c r="A437">
        <v>467</v>
      </c>
      <c r="B437" t="s">
        <v>1132</v>
      </c>
      <c r="C437" t="s">
        <v>1133</v>
      </c>
      <c r="D437">
        <v>435</v>
      </c>
      <c r="E437" t="str">
        <f t="shared" si="12"/>
        <v>WR</v>
      </c>
      <c r="F437">
        <f t="shared" si="13"/>
        <v>177</v>
      </c>
      <c r="G437" t="str" cm="1">
        <f t="array" ref="G437">_xlfn.LET(_xlpm.x,TRIM(B437),_xlpm.base,IFERROR(_xlfn.TEXTBEFORE(_xlpm.x,"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Ja'Corey Brooks</v>
      </c>
    </row>
    <row r="438" spans="1:7" hidden="1" x14ac:dyDescent="0.25">
      <c r="A438">
        <v>468</v>
      </c>
      <c r="B438" t="s">
        <v>507</v>
      </c>
      <c r="C438" t="s">
        <v>1134</v>
      </c>
      <c r="D438">
        <v>436</v>
      </c>
      <c r="E438" t="str">
        <f t="shared" si="12"/>
        <v>QB</v>
      </c>
      <c r="F438">
        <f t="shared" si="13"/>
        <v>67</v>
      </c>
      <c r="G438" t="str" cm="1">
        <f t="array" ref="G438">_xlfn.LET(_xlpm.x,TRIM(B438),_xlpm.base,IFERROR(_xlfn.TEXTBEFORE(_xlpm.x,"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Joshua Dobbs</v>
      </c>
    </row>
    <row r="439" spans="1:7" hidden="1" x14ac:dyDescent="0.25">
      <c r="A439">
        <v>469</v>
      </c>
      <c r="B439" t="s">
        <v>1263</v>
      </c>
      <c r="C439" t="s">
        <v>1135</v>
      </c>
      <c r="D439">
        <v>437</v>
      </c>
      <c r="E439" t="str">
        <f t="shared" si="12"/>
        <v>RB</v>
      </c>
      <c r="F439">
        <f t="shared" si="13"/>
        <v>125</v>
      </c>
      <c r="G439" t="str" cm="1">
        <f t="array" ref="G439">_xlfn.LET(_xlpm.x,TRIM(B439),_xlpm.base,IFERROR(_xlfn.TEXTBEFORE(_xlpm.x,"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Patrick Ricard</v>
      </c>
    </row>
    <row r="440" spans="1:7" hidden="1" x14ac:dyDescent="0.25">
      <c r="A440">
        <v>470</v>
      </c>
      <c r="B440" t="s">
        <v>373</v>
      </c>
      <c r="C440" t="s">
        <v>1136</v>
      </c>
      <c r="D440">
        <v>438</v>
      </c>
      <c r="E440" t="str">
        <f t="shared" si="12"/>
        <v>QB</v>
      </c>
      <c r="F440">
        <f t="shared" si="13"/>
        <v>68</v>
      </c>
      <c r="G440" t="str" cm="1">
        <f t="array" ref="G440">_xlfn.LET(_xlpm.x,TRIM(B440),_xlpm.base,IFERROR(_xlfn.TEXTBEFORE(_xlpm.x,"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Tyrod Taylor</v>
      </c>
    </row>
    <row r="441" spans="1:7" hidden="1" x14ac:dyDescent="0.25">
      <c r="A441">
        <v>471</v>
      </c>
      <c r="B441" t="s">
        <v>1137</v>
      </c>
      <c r="C441" t="s">
        <v>1138</v>
      </c>
      <c r="D441">
        <v>439</v>
      </c>
      <c r="E441" t="str">
        <f t="shared" si="12"/>
        <v>WR</v>
      </c>
      <c r="F441">
        <f t="shared" si="13"/>
        <v>178</v>
      </c>
      <c r="G441" t="str" cm="1">
        <f t="array" ref="G441">_xlfn.LET(_xlpm.x,TRIM(B441),_xlpm.base,IFERROR(_xlfn.TEXTBEFORE(_xlpm.x,"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DeAndre Carter</v>
      </c>
    </row>
    <row r="442" spans="1:7" hidden="1" x14ac:dyDescent="0.25">
      <c r="A442">
        <v>472</v>
      </c>
      <c r="B442" t="s">
        <v>1264</v>
      </c>
      <c r="C442" t="s">
        <v>1011</v>
      </c>
      <c r="D442">
        <v>440</v>
      </c>
      <c r="E442" t="str">
        <f t="shared" si="12"/>
        <v>TE</v>
      </c>
      <c r="F442">
        <f t="shared" si="13"/>
        <v>69</v>
      </c>
      <c r="G442" t="str" cm="1">
        <f t="array" ref="G442">_xlfn.LET(_xlpm.x,TRIM(B442),_xlpm.base,IFERROR(_xlfn.TEXTBEFORE(_xlpm.x,"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Charlie Ko</v>
      </c>
    </row>
    <row r="443" spans="1:7" hidden="1" x14ac:dyDescent="0.25">
      <c r="A443">
        <v>473</v>
      </c>
      <c r="B443" t="s">
        <v>1265</v>
      </c>
      <c r="C443" t="s">
        <v>1013</v>
      </c>
      <c r="D443">
        <v>441</v>
      </c>
      <c r="E443" t="str">
        <f t="shared" si="12"/>
        <v>TE</v>
      </c>
      <c r="F443">
        <f t="shared" si="13"/>
        <v>70</v>
      </c>
      <c r="G443" t="str" cm="1">
        <f t="array" ref="G443">_xlfn.LET(_xlpm.x,TRIM(B443),_xlpm.base,IFERROR(_xlfn.TEXTBEFORE(_xlpm.x,"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Jackson Hawes</v>
      </c>
    </row>
    <row r="444" spans="1:7" hidden="1" x14ac:dyDescent="0.25">
      <c r="A444">
        <v>474</v>
      </c>
      <c r="B444" t="s">
        <v>215</v>
      </c>
      <c r="C444" t="s">
        <v>1139</v>
      </c>
      <c r="D444">
        <v>442</v>
      </c>
      <c r="E444" t="str">
        <f t="shared" si="12"/>
        <v>WR</v>
      </c>
      <c r="F444">
        <f t="shared" si="13"/>
        <v>179</v>
      </c>
      <c r="G444" t="str" cm="1">
        <f t="array" ref="G444">_xlfn.LET(_xlpm.x,TRIM(B444),_xlpm.base,IFERROR(_xlfn.TEXTBEFORE(_xlpm.x,"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Xavier Smith</v>
      </c>
    </row>
    <row r="445" spans="1:7" hidden="1" x14ac:dyDescent="0.25">
      <c r="A445">
        <v>475</v>
      </c>
      <c r="B445" t="s">
        <v>1140</v>
      </c>
      <c r="C445" t="s">
        <v>1141</v>
      </c>
      <c r="D445">
        <v>443</v>
      </c>
      <c r="E445" t="str">
        <f t="shared" si="12"/>
        <v>WR</v>
      </c>
      <c r="F445">
        <f t="shared" si="13"/>
        <v>180</v>
      </c>
      <c r="G445" t="str" cm="1">
        <f t="array" ref="G445">_xlfn.LET(_xlpm.x,TRIM(B445),_xlpm.base,IFERROR(_xlfn.TEXTBEFORE(_xlpm.x,"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Russell Gage Jr.</v>
      </c>
    </row>
    <row r="446" spans="1:7" hidden="1" x14ac:dyDescent="0.25">
      <c r="A446">
        <v>476</v>
      </c>
      <c r="B446" t="s">
        <v>1104</v>
      </c>
      <c r="C446" t="s">
        <v>1142</v>
      </c>
      <c r="D446">
        <v>444</v>
      </c>
      <c r="E446" t="str">
        <f t="shared" si="12"/>
        <v>QB</v>
      </c>
      <c r="F446">
        <f t="shared" si="13"/>
        <v>69</v>
      </c>
      <c r="G446" t="str" cm="1">
        <f t="array" ref="G446">_xlfn.LET(_xlpm.x,TRIM(B446),_xlpm.base,IFERROR(_xlfn.TEXTBEFORE(_xlpm.x,"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Nick MullensJAC</v>
      </c>
    </row>
    <row r="447" spans="1:7" hidden="1" x14ac:dyDescent="0.25">
      <c r="A447">
        <v>477</v>
      </c>
      <c r="B447" t="s">
        <v>1143</v>
      </c>
      <c r="C447" t="s">
        <v>1016</v>
      </c>
      <c r="D447">
        <v>445</v>
      </c>
      <c r="E447" t="str">
        <f t="shared" si="12"/>
        <v>TE</v>
      </c>
      <c r="F447">
        <f t="shared" si="13"/>
        <v>71</v>
      </c>
      <c r="G447" t="str" cm="1">
        <f t="array" ref="G447">_xlfn.LET(_xlpm.x,TRIM(B447),_xlpm.base,IFERROR(_xlfn.TEXTBEFORE(_xlpm.x,"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Stephen Anderson</v>
      </c>
    </row>
    <row r="448" spans="1:7" hidden="1" x14ac:dyDescent="0.25">
      <c r="A448">
        <v>478</v>
      </c>
      <c r="B448" t="s">
        <v>1266</v>
      </c>
      <c r="C448" t="s">
        <v>1144</v>
      </c>
      <c r="D448">
        <v>446</v>
      </c>
      <c r="E448" t="str">
        <f t="shared" si="12"/>
        <v>QB</v>
      </c>
      <c r="F448">
        <f t="shared" si="13"/>
        <v>70</v>
      </c>
      <c r="G448" t="str" cm="1">
        <f t="array" ref="G448">_xlfn.LET(_xlpm.x,TRIM(B448),_xlpm.base,IFERROR(_xlfn.TEXTBEFORE(_xlpm.x,"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Riley Leonard</v>
      </c>
    </row>
    <row r="449" spans="1:7" hidden="1" x14ac:dyDescent="0.25">
      <c r="A449">
        <v>479</v>
      </c>
      <c r="B449" t="s">
        <v>1267</v>
      </c>
      <c r="C449" t="s">
        <v>1017</v>
      </c>
      <c r="D449">
        <v>447</v>
      </c>
      <c r="E449" t="str">
        <f t="shared" si="12"/>
        <v>TE</v>
      </c>
      <c r="F449">
        <f t="shared" si="13"/>
        <v>72</v>
      </c>
      <c r="G449" t="str" cm="1">
        <f t="array" ref="G449">_xlfn.LET(_xlpm.x,TRIM(B449),_xlpm.base,IFERROR(_xlfn.TEXTBEFORE(_xlpm.x,"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Jack Stoll</v>
      </c>
    </row>
    <row r="450" spans="1:7" hidden="1" x14ac:dyDescent="0.25">
      <c r="A450">
        <v>480</v>
      </c>
      <c r="B450" t="s">
        <v>1145</v>
      </c>
      <c r="C450" t="s">
        <v>1146</v>
      </c>
      <c r="D450">
        <v>448</v>
      </c>
      <c r="E450" t="str">
        <f t="shared" si="12"/>
        <v>WR</v>
      </c>
      <c r="F450">
        <f t="shared" si="13"/>
        <v>181</v>
      </c>
      <c r="G450" t="str" cm="1">
        <f t="array" ref="G450">_xlfn.LET(_xlpm.x,TRIM(B450),_xlpm.base,IFERROR(_xlfn.TEXTBEFORE(_xlpm.x,"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Montrell Washington</v>
      </c>
    </row>
    <row r="451" spans="1:7" hidden="1" x14ac:dyDescent="0.25">
      <c r="A451">
        <v>481</v>
      </c>
      <c r="B451" t="s">
        <v>1147</v>
      </c>
      <c r="C451" t="s">
        <v>1148</v>
      </c>
      <c r="D451">
        <v>449</v>
      </c>
      <c r="E451" t="str">
        <f t="shared" si="12"/>
        <v>WR</v>
      </c>
      <c r="F451">
        <f t="shared" si="13"/>
        <v>182</v>
      </c>
      <c r="G451" t="str" cm="1">
        <f t="array" ref="G451">_xlfn.LET(_xlpm.x,TRIM(B451),_xlpm.base,IFERROR(_xlfn.TEXTBEFORE(_xlpm.x,"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Tommy Mellott</v>
      </c>
    </row>
    <row r="452" spans="1:7" hidden="1" x14ac:dyDescent="0.25">
      <c r="A452">
        <v>482</v>
      </c>
      <c r="B452" t="s">
        <v>746</v>
      </c>
      <c r="C452" t="s">
        <v>1149</v>
      </c>
      <c r="D452">
        <v>450</v>
      </c>
      <c r="E452" t="str">
        <f t="shared" ref="E452:E505" si="14">LEFT(C452,2)</f>
        <v>RB</v>
      </c>
      <c r="F452">
        <f t="shared" ref="F452:F505" si="15">VALUE(MID(C452,3,LEN(C452)))</f>
        <v>126</v>
      </c>
      <c r="G452" t="str" cm="1">
        <f t="array" ref="G452">_xlfn.LET(_xlpm.x,TRIM(B452),_xlpm.base,IFERROR(_xlfn.TEXTBEFORE(_xlpm.x,"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Melvin Gordon III</v>
      </c>
    </row>
    <row r="453" spans="1:7" hidden="1" x14ac:dyDescent="0.25">
      <c r="A453">
        <v>483</v>
      </c>
      <c r="B453" t="s">
        <v>512</v>
      </c>
      <c r="C453" t="s">
        <v>1150</v>
      </c>
      <c r="D453">
        <v>451</v>
      </c>
      <c r="E453" t="str">
        <f t="shared" si="14"/>
        <v>QB</v>
      </c>
      <c r="F453">
        <f t="shared" si="15"/>
        <v>71</v>
      </c>
      <c r="G453" t="str" cm="1">
        <f t="array" ref="G453">_xlfn.LET(_xlpm.x,TRIM(B453),_xlpm.base,IFERROR(_xlfn.TEXTBEFORE(_xlpm.x,"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Tommy DeVito</v>
      </c>
    </row>
    <row r="454" spans="1:7" hidden="1" x14ac:dyDescent="0.25">
      <c r="A454">
        <v>484</v>
      </c>
      <c r="B454" t="s">
        <v>1268</v>
      </c>
      <c r="C454" t="s">
        <v>1151</v>
      </c>
      <c r="D454">
        <v>452</v>
      </c>
      <c r="E454" t="str">
        <f t="shared" si="14"/>
        <v>WR</v>
      </c>
      <c r="F454">
        <f t="shared" si="15"/>
        <v>183</v>
      </c>
      <c r="G454" t="str" cm="1">
        <f t="array" ref="G454">_xlfn.LET(_xlpm.x,TRIM(B454),_xlpm.base,IFERROR(_xlfn.TEXTBEFORE(_xlpm.x,"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Dominic Lovett</v>
      </c>
    </row>
    <row r="455" spans="1:7" hidden="1" x14ac:dyDescent="0.25">
      <c r="A455">
        <v>485</v>
      </c>
      <c r="B455" t="s">
        <v>94</v>
      </c>
      <c r="C455" t="s">
        <v>1020</v>
      </c>
      <c r="D455">
        <v>453</v>
      </c>
      <c r="E455" t="str">
        <f t="shared" si="14"/>
        <v>TE</v>
      </c>
      <c r="F455">
        <f t="shared" si="15"/>
        <v>73</v>
      </c>
      <c r="G455" t="str" cm="1">
        <f t="array" ref="G455">_xlfn.LET(_xlpm.x,TRIM(B455),_xlpm.base,IFERROR(_xlfn.TEXTBEFORE(_xlpm.x,"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Tommy Tremble</v>
      </c>
    </row>
    <row r="456" spans="1:7" hidden="1" x14ac:dyDescent="0.25">
      <c r="A456">
        <v>486</v>
      </c>
      <c r="B456" t="s">
        <v>1269</v>
      </c>
      <c r="C456" t="s">
        <v>1152</v>
      </c>
      <c r="D456">
        <v>454</v>
      </c>
      <c r="E456" t="str">
        <f t="shared" si="14"/>
        <v>QB</v>
      </c>
      <c r="F456">
        <f t="shared" si="15"/>
        <v>72</v>
      </c>
      <c r="G456" t="str" cm="1">
        <f t="array" ref="G456">_xlfn.LET(_xlpm.x,TRIM(B456),_xlpm.base,IFERROR(_xlfn.TEXTBEFORE(_xlpm.x,"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Feleipe Franks</v>
      </c>
    </row>
    <row r="457" spans="1:7" hidden="1" x14ac:dyDescent="0.25">
      <c r="A457">
        <v>487</v>
      </c>
      <c r="B457" t="s">
        <v>1153</v>
      </c>
      <c r="C457" t="s">
        <v>1154</v>
      </c>
      <c r="D457">
        <v>455</v>
      </c>
      <c r="E457" t="str">
        <f t="shared" si="14"/>
        <v>WR</v>
      </c>
      <c r="F457">
        <f t="shared" si="15"/>
        <v>184</v>
      </c>
      <c r="G457" t="str" cm="1">
        <f t="array" ref="G457">_xlfn.LET(_xlpm.x,TRIM(B457),_xlpm.base,IFERROR(_xlfn.TEXTBEFORE(_xlpm.x,"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Shi Smith</v>
      </c>
    </row>
    <row r="458" spans="1:7" hidden="1" x14ac:dyDescent="0.25">
      <c r="A458">
        <v>488</v>
      </c>
      <c r="B458" t="s">
        <v>1270</v>
      </c>
      <c r="C458" t="s">
        <v>1155</v>
      </c>
      <c r="D458">
        <v>456</v>
      </c>
      <c r="E458" t="str">
        <f t="shared" si="14"/>
        <v>WR</v>
      </c>
      <c r="F458">
        <f t="shared" si="15"/>
        <v>185</v>
      </c>
      <c r="G458" t="str" cm="1">
        <f t="array" ref="G458">_xlfn.LET(_xlpm.x,TRIM(B458),_xlpm.base,IFERROR(_xlfn.TEXTBEFORE(_xlpm.x,"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Tahj Washington</v>
      </c>
    </row>
    <row r="459" spans="1:7" hidden="1" x14ac:dyDescent="0.25">
      <c r="A459">
        <v>489</v>
      </c>
      <c r="B459" t="s">
        <v>1156</v>
      </c>
      <c r="C459" t="s">
        <v>1157</v>
      </c>
      <c r="D459">
        <v>457</v>
      </c>
      <c r="E459" t="str">
        <f t="shared" si="14"/>
        <v>WR</v>
      </c>
      <c r="F459">
        <f t="shared" si="15"/>
        <v>186</v>
      </c>
      <c r="G459" t="str" cm="1">
        <f t="array" ref="G459">_xlfn.LET(_xlpm.x,TRIM(B459),_xlpm.base,IFERROR(_xlfn.TEXTBEFORE(_xlpm.x,"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Daylen Baldwin</v>
      </c>
    </row>
    <row r="460" spans="1:7" hidden="1" x14ac:dyDescent="0.25">
      <c r="A460">
        <v>490</v>
      </c>
      <c r="B460" t="s">
        <v>1158</v>
      </c>
      <c r="C460" t="s">
        <v>1022</v>
      </c>
      <c r="D460">
        <v>458</v>
      </c>
      <c r="E460" t="str">
        <f t="shared" si="14"/>
        <v>TE</v>
      </c>
      <c r="F460">
        <f t="shared" si="15"/>
        <v>74</v>
      </c>
      <c r="G460" t="str" cm="1">
        <f t="array" ref="G460">_xlfn.LET(_xlpm.x,TRIM(B460),_xlpm.base,IFERROR(_xlfn.TEXTBEFORE(_xlpm.x,"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Curtis Hodges</v>
      </c>
    </row>
    <row r="461" spans="1:7" hidden="1" x14ac:dyDescent="0.25">
      <c r="A461">
        <v>491</v>
      </c>
      <c r="B461" t="s">
        <v>347</v>
      </c>
      <c r="C461" t="s">
        <v>1159</v>
      </c>
      <c r="D461">
        <v>459</v>
      </c>
      <c r="E461" t="str">
        <f t="shared" si="14"/>
        <v>QB</v>
      </c>
      <c r="F461">
        <f t="shared" si="15"/>
        <v>73</v>
      </c>
      <c r="G461" t="str" cm="1">
        <f t="array" ref="G461">_xlfn.LET(_xlpm.x,TRIM(B461),_xlpm.base,IFERROR(_xlfn.TEXTBEFORE(_xlpm.x,"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Jacoby Brissett</v>
      </c>
    </row>
    <row r="462" spans="1:7" hidden="1" x14ac:dyDescent="0.25">
      <c r="A462">
        <v>492</v>
      </c>
      <c r="B462" t="s">
        <v>459</v>
      </c>
      <c r="C462" t="s">
        <v>1028</v>
      </c>
      <c r="D462">
        <v>460</v>
      </c>
      <c r="E462" t="str">
        <f t="shared" si="14"/>
        <v>TE</v>
      </c>
      <c r="F462">
        <f t="shared" si="15"/>
        <v>75</v>
      </c>
      <c r="G462" t="str" cm="1">
        <f t="array" ref="G462">_xlfn.LET(_xlpm.x,TRIM(B462),_xlpm.base,IFERROR(_xlfn.TEXTBEFORE(_xlpm.x,"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Daniel Bellinger</v>
      </c>
    </row>
    <row r="463" spans="1:7" hidden="1" x14ac:dyDescent="0.25">
      <c r="A463">
        <v>493</v>
      </c>
      <c r="B463" t="s">
        <v>1271</v>
      </c>
      <c r="C463" t="s">
        <v>1036</v>
      </c>
      <c r="D463">
        <v>461</v>
      </c>
      <c r="E463" t="str">
        <f t="shared" si="14"/>
        <v>TE</v>
      </c>
      <c r="F463">
        <f t="shared" si="15"/>
        <v>76</v>
      </c>
      <c r="G463" t="str" cm="1">
        <f t="array" ref="G463">_xlfn.LET(_xlpm.x,TRIM(B463),_xlpm.base,IFERROR(_xlfn.TEXTBEFORE(_xlpm.x,"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John Bates</v>
      </c>
    </row>
    <row r="464" spans="1:7" hidden="1" x14ac:dyDescent="0.25">
      <c r="A464">
        <v>494</v>
      </c>
      <c r="B464" t="s">
        <v>914</v>
      </c>
      <c r="C464" t="s">
        <v>1055</v>
      </c>
      <c r="D464">
        <v>462</v>
      </c>
      <c r="E464" t="str">
        <f t="shared" si="14"/>
        <v>TE</v>
      </c>
      <c r="F464">
        <f t="shared" si="15"/>
        <v>77</v>
      </c>
      <c r="G464" t="str" cm="1">
        <f t="array" ref="G464">_xlfn.LET(_xlpm.x,TRIM(B464),_xlpm.base,IFERROR(_xlfn.TEXTBEFORE(_xlpm.x,"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Jelani Woods</v>
      </c>
    </row>
    <row r="465" spans="1:7" hidden="1" x14ac:dyDescent="0.25">
      <c r="A465">
        <v>495</v>
      </c>
      <c r="B465" t="s">
        <v>1272</v>
      </c>
      <c r="C465" t="s">
        <v>1160</v>
      </c>
      <c r="D465">
        <v>463</v>
      </c>
      <c r="E465" t="str">
        <f t="shared" si="14"/>
        <v>QB</v>
      </c>
      <c r="F465">
        <f t="shared" si="15"/>
        <v>74</v>
      </c>
      <c r="G465" t="str" cm="1">
        <f t="array" ref="G465">_xlfn.LET(_xlpm.x,TRIM(B465),_xlpm.base,IFERROR(_xlfn.TEXTBEFORE(_xlpm.x,"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Mitchell Trubisky</v>
      </c>
    </row>
    <row r="466" spans="1:7" hidden="1" x14ac:dyDescent="0.25">
      <c r="A466">
        <v>496</v>
      </c>
      <c r="B466" t="s">
        <v>370</v>
      </c>
      <c r="C466" t="s">
        <v>1161</v>
      </c>
      <c r="D466">
        <v>464</v>
      </c>
      <c r="E466" t="str">
        <f t="shared" si="14"/>
        <v>QB</v>
      </c>
      <c r="F466">
        <f t="shared" si="15"/>
        <v>75</v>
      </c>
      <c r="G466" t="str" cm="1">
        <f t="array" ref="G466">_xlfn.LET(_xlpm.x,TRIM(B466),_xlpm.base,IFERROR(_xlfn.TEXTBEFORE(_xlpm.x,"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Carson Wentz</v>
      </c>
    </row>
    <row r="467" spans="1:7" hidden="1" x14ac:dyDescent="0.25">
      <c r="A467">
        <v>497</v>
      </c>
      <c r="B467" t="s">
        <v>466</v>
      </c>
      <c r="C467" t="s">
        <v>1162</v>
      </c>
      <c r="D467">
        <v>465</v>
      </c>
      <c r="E467" t="str">
        <f t="shared" si="14"/>
        <v>WR</v>
      </c>
      <c r="F467">
        <f t="shared" si="15"/>
        <v>187</v>
      </c>
      <c r="G467" t="str" cm="1">
        <f t="array" ref="G467">_xlfn.LET(_xlpm.x,TRIM(B467),_xlpm.base,IFERROR(_xlfn.TEXTBEFORE(_xlpm.x,"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Michael Gallup</v>
      </c>
    </row>
    <row r="468" spans="1:7" hidden="1" x14ac:dyDescent="0.25">
      <c r="A468">
        <v>498</v>
      </c>
      <c r="B468" t="s">
        <v>463</v>
      </c>
      <c r="C468" t="s">
        <v>1163</v>
      </c>
      <c r="D468">
        <v>466</v>
      </c>
      <c r="E468" t="str">
        <f t="shared" si="14"/>
        <v>WR</v>
      </c>
      <c r="F468">
        <f t="shared" si="15"/>
        <v>188</v>
      </c>
      <c r="G468" t="str" cm="1">
        <f t="array" ref="G468">_xlfn.LET(_xlpm.x,TRIM(B468),_xlpm.base,IFERROR(_xlfn.TEXTBEFORE(_xlpm.x,"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Trey Palmer</v>
      </c>
    </row>
    <row r="469" spans="1:7" hidden="1" x14ac:dyDescent="0.25">
      <c r="A469">
        <v>499</v>
      </c>
      <c r="B469" t="s">
        <v>916</v>
      </c>
      <c r="C469" t="s">
        <v>1164</v>
      </c>
      <c r="D469">
        <v>467</v>
      </c>
      <c r="E469" t="str">
        <f t="shared" si="14"/>
        <v>WR</v>
      </c>
      <c r="F469">
        <f t="shared" si="15"/>
        <v>189</v>
      </c>
      <c r="G469" t="str" cm="1">
        <f t="array" ref="G469">_xlfn.LET(_xlpm.x,TRIM(B469),_xlpm.base,IFERROR(_xlfn.TEXTBEFORE(_xlpm.x,"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Trent Sherfield Sr.</v>
      </c>
    </row>
    <row r="470" spans="1:7" hidden="1" x14ac:dyDescent="0.25">
      <c r="A470">
        <v>500</v>
      </c>
      <c r="B470" t="s">
        <v>1075</v>
      </c>
      <c r="C470" t="s">
        <v>1165</v>
      </c>
      <c r="D470">
        <v>468</v>
      </c>
      <c r="E470" t="str">
        <f t="shared" si="14"/>
        <v>RB</v>
      </c>
      <c r="F470">
        <f t="shared" si="15"/>
        <v>127</v>
      </c>
      <c r="G470" t="str" cm="1">
        <f t="array" ref="G470">_xlfn.LET(_xlpm.x,TRIM(B470),_xlpm.base,IFERROR(_xlfn.TEXTBEFORE(_xlpm.x,"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Dylan Laube</v>
      </c>
    </row>
    <row r="471" spans="1:7" hidden="1" x14ac:dyDescent="0.25">
      <c r="A471">
        <v>501</v>
      </c>
      <c r="B471" t="s">
        <v>295</v>
      </c>
      <c r="C471" t="s">
        <v>1166</v>
      </c>
      <c r="D471">
        <v>469</v>
      </c>
      <c r="E471" t="str">
        <f t="shared" si="14"/>
        <v>RB</v>
      </c>
      <c r="F471">
        <f t="shared" si="15"/>
        <v>128</v>
      </c>
      <c r="G471" t="str" cm="1">
        <f t="array" ref="G471">_xlfn.LET(_xlpm.x,TRIM(B471),_xlpm.base,IFERROR(_xlfn.TEXTBEFORE(_xlpm.x,"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Hunter Luepke</v>
      </c>
    </row>
    <row r="472" spans="1:7" hidden="1" x14ac:dyDescent="0.25">
      <c r="A472">
        <v>502</v>
      </c>
      <c r="B472" t="s">
        <v>1167</v>
      </c>
      <c r="C472" t="s">
        <v>1065</v>
      </c>
      <c r="D472">
        <v>470</v>
      </c>
      <c r="E472" t="str">
        <f t="shared" si="14"/>
        <v>TE</v>
      </c>
      <c r="F472">
        <f t="shared" si="15"/>
        <v>78</v>
      </c>
      <c r="G472" t="str" cm="1">
        <f t="array" ref="G472">_xlfn.LET(_xlpm.x,TRIM(B472),_xlpm.base,IFERROR(_xlfn.TEXTBEFORE(_xlpm.x,"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Tucker Fisk</v>
      </c>
    </row>
    <row r="473" spans="1:7" hidden="1" x14ac:dyDescent="0.25">
      <c r="A473">
        <v>503</v>
      </c>
      <c r="B473" t="s">
        <v>919</v>
      </c>
      <c r="C473" t="s">
        <v>1168</v>
      </c>
      <c r="D473">
        <v>471</v>
      </c>
      <c r="E473" t="str">
        <f t="shared" si="14"/>
        <v>RB</v>
      </c>
      <c r="F473">
        <f t="shared" si="15"/>
        <v>129</v>
      </c>
      <c r="G473" t="str" cm="1">
        <f t="array" ref="G473">_xlfn.LET(_xlpm.x,TRIM(B473),_xlpm.base,IFERROR(_xlfn.TEXTBEFORE(_xlpm.x,"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Eric Gray</v>
      </c>
    </row>
    <row r="474" spans="1:7" hidden="1" x14ac:dyDescent="0.25">
      <c r="A474">
        <v>504</v>
      </c>
      <c r="B474" t="s">
        <v>1092</v>
      </c>
      <c r="C474" t="s">
        <v>1066</v>
      </c>
      <c r="D474">
        <v>472</v>
      </c>
      <c r="E474" t="str">
        <f t="shared" si="14"/>
        <v>TE</v>
      </c>
      <c r="F474">
        <f t="shared" si="15"/>
        <v>79</v>
      </c>
      <c r="G474" t="str" cm="1">
        <f t="array" ref="G474">_xlfn.LET(_xlpm.x,TRIM(B474),_xlpm.base,IFERROR(_xlfn.TEXTBEFORE(_xlpm.x,"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Lucas Krull</v>
      </c>
    </row>
    <row r="475" spans="1:7" hidden="1" x14ac:dyDescent="0.25">
      <c r="A475">
        <v>505</v>
      </c>
      <c r="B475" t="s">
        <v>1273</v>
      </c>
      <c r="C475" t="s">
        <v>1169</v>
      </c>
      <c r="D475">
        <v>473</v>
      </c>
      <c r="E475" t="str">
        <f t="shared" si="14"/>
        <v>TE</v>
      </c>
      <c r="F475">
        <f t="shared" si="15"/>
        <v>80</v>
      </c>
      <c r="G475" t="str" cm="1">
        <f t="array" ref="G475">_xlfn.LET(_xlpm.x,TRIM(B475),_xlpm.base,IFERROR(_xlfn.TEXTBEFORE(_xlpm.x,"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Chris Manhertz</v>
      </c>
    </row>
    <row r="476" spans="1:7" hidden="1" x14ac:dyDescent="0.25">
      <c r="A476">
        <v>506</v>
      </c>
      <c r="B476" t="s">
        <v>452</v>
      </c>
      <c r="C476" t="s">
        <v>1170</v>
      </c>
      <c r="D476">
        <v>474</v>
      </c>
      <c r="E476" t="str">
        <f t="shared" si="14"/>
        <v>TE</v>
      </c>
      <c r="F476">
        <f t="shared" si="15"/>
        <v>81</v>
      </c>
      <c r="G476" t="str" cm="1">
        <f t="array" ref="G476">_xlfn.LET(_xlpm.x,TRIM(B476),_xlpm.base,IFERROR(_xlfn.TEXTBEFORE(_xlpm.x,"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Tanner Hudson</v>
      </c>
    </row>
    <row r="477" spans="1:7" hidden="1" x14ac:dyDescent="0.25">
      <c r="A477">
        <v>507</v>
      </c>
      <c r="B477" t="s">
        <v>387</v>
      </c>
      <c r="C477" t="s">
        <v>1171</v>
      </c>
      <c r="D477">
        <v>475</v>
      </c>
      <c r="E477" t="str">
        <f t="shared" si="14"/>
        <v>QB</v>
      </c>
      <c r="F477">
        <f t="shared" si="15"/>
        <v>76</v>
      </c>
      <c r="G477" t="str" cm="1">
        <f t="array" ref="G477">_xlfn.LET(_xlpm.x,TRIM(B477),_xlpm.base,IFERROR(_xlfn.TEXTBEFORE(_xlpm.x,"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Andy Dalton</v>
      </c>
    </row>
    <row r="478" spans="1:7" hidden="1" x14ac:dyDescent="0.25">
      <c r="A478">
        <v>508</v>
      </c>
      <c r="B478" t="s">
        <v>1274</v>
      </c>
      <c r="C478" t="s">
        <v>1172</v>
      </c>
      <c r="D478">
        <v>476</v>
      </c>
      <c r="E478" t="str">
        <f t="shared" si="14"/>
        <v>WR</v>
      </c>
      <c r="F478">
        <f t="shared" si="15"/>
        <v>190</v>
      </c>
      <c r="G478" t="str" cm="1">
        <f t="array" ref="G478">_xlfn.LET(_xlpm.x,TRIM(B478),_xlpm.base,IFERROR(_xlfn.TEXTBEFORE(_xlpm.x,"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Jason Brownlee</v>
      </c>
    </row>
    <row r="479" spans="1:7" hidden="1" x14ac:dyDescent="0.25">
      <c r="A479">
        <v>509</v>
      </c>
      <c r="B479" t="s">
        <v>1078</v>
      </c>
      <c r="C479" t="s">
        <v>1173</v>
      </c>
      <c r="D479">
        <v>477</v>
      </c>
      <c r="E479" t="str">
        <f t="shared" si="14"/>
        <v>WR</v>
      </c>
      <c r="F479">
        <f t="shared" si="15"/>
        <v>191</v>
      </c>
      <c r="G479" t="str" cm="1">
        <f t="array" ref="G479">_xlfn.LET(_xlpm.x,TRIM(B479),_xlpm.base,IFERROR(_xlfn.TEXTBEFORE(_xlpm.x,"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Jacob Cowing</v>
      </c>
    </row>
    <row r="480" spans="1:7" hidden="1" x14ac:dyDescent="0.25">
      <c r="A480">
        <v>510</v>
      </c>
      <c r="B480" t="s">
        <v>1174</v>
      </c>
      <c r="C480" t="s">
        <v>1175</v>
      </c>
      <c r="D480">
        <v>478</v>
      </c>
      <c r="E480" t="str">
        <f t="shared" si="14"/>
        <v>WR</v>
      </c>
      <c r="F480">
        <f t="shared" si="15"/>
        <v>192</v>
      </c>
      <c r="G480" t="str" cm="1">
        <f t="array" ref="G480">_xlfn.LET(_xlpm.x,TRIM(B480),_xlpm.base,IFERROR(_xlfn.TEXTBEFORE(_xlpm.x,"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Dee Eskridge</v>
      </c>
    </row>
    <row r="481" spans="1:7" hidden="1" x14ac:dyDescent="0.25">
      <c r="A481">
        <v>511</v>
      </c>
      <c r="B481" t="s">
        <v>372</v>
      </c>
      <c r="C481" t="s">
        <v>1176</v>
      </c>
      <c r="D481">
        <v>479</v>
      </c>
      <c r="E481" t="str">
        <f t="shared" si="14"/>
        <v>QB</v>
      </c>
      <c r="F481">
        <f t="shared" si="15"/>
        <v>77</v>
      </c>
      <c r="G481" t="str" cm="1">
        <f t="array" ref="G481">_xlfn.LET(_xlpm.x,TRIM(B481),_xlpm.base,IFERROR(_xlfn.TEXTBEFORE(_xlpm.x,"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Davis Mills</v>
      </c>
    </row>
    <row r="482" spans="1:7" hidden="1" x14ac:dyDescent="0.25">
      <c r="A482">
        <v>512</v>
      </c>
      <c r="B482" t="s">
        <v>1177</v>
      </c>
      <c r="C482" t="s">
        <v>1178</v>
      </c>
      <c r="D482">
        <v>480</v>
      </c>
      <c r="E482" t="str">
        <f t="shared" si="14"/>
        <v>WR</v>
      </c>
      <c r="F482">
        <f t="shared" si="15"/>
        <v>193</v>
      </c>
      <c r="G482" t="str" cm="1">
        <f t="array" ref="G482">_xlfn.LET(_xlpm.x,TRIM(B482),_xlpm.base,IFERROR(_xlfn.TEXTBEFORE(_xlpm.x,"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T.J. Luther</v>
      </c>
    </row>
    <row r="483" spans="1:7" hidden="1" x14ac:dyDescent="0.25">
      <c r="A483">
        <v>513</v>
      </c>
      <c r="B483" t="s">
        <v>701</v>
      </c>
      <c r="C483" t="s">
        <v>1179</v>
      </c>
      <c r="D483">
        <v>481</v>
      </c>
      <c r="E483" t="str">
        <f t="shared" si="14"/>
        <v>RB</v>
      </c>
      <c r="F483">
        <f t="shared" si="15"/>
        <v>130</v>
      </c>
      <c r="G483" t="str" cm="1">
        <f t="array" ref="G483">_xlfn.LET(_xlpm.x,TRIM(B483),_xlpm.base,IFERROR(_xlfn.TEXTBEFORE(_xlpm.x,"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Leonard Fournette</v>
      </c>
    </row>
    <row r="484" spans="1:7" hidden="1" x14ac:dyDescent="0.25">
      <c r="A484">
        <v>514</v>
      </c>
      <c r="B484" t="s">
        <v>294</v>
      </c>
      <c r="C484" t="s">
        <v>1180</v>
      </c>
      <c r="D484">
        <v>482</v>
      </c>
      <c r="E484" t="str">
        <f t="shared" si="14"/>
        <v>RB</v>
      </c>
      <c r="F484">
        <f t="shared" si="15"/>
        <v>131</v>
      </c>
      <c r="G484" t="str" cm="1">
        <f t="array" ref="G484">_xlfn.LET(_xlpm.x,TRIM(B484),_xlpm.base,IFERROR(_xlfn.TEXTBEFORE(_xlpm.x,"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Zavier Scott</v>
      </c>
    </row>
    <row r="485" spans="1:7" hidden="1" x14ac:dyDescent="0.25">
      <c r="A485">
        <v>515</v>
      </c>
      <c r="B485" t="s">
        <v>1181</v>
      </c>
      <c r="C485" t="s">
        <v>1182</v>
      </c>
      <c r="D485">
        <v>483</v>
      </c>
      <c r="E485" t="str">
        <f t="shared" si="14"/>
        <v>RB</v>
      </c>
      <c r="F485">
        <f t="shared" si="15"/>
        <v>132</v>
      </c>
      <c r="G485" t="str" cm="1">
        <f t="array" ref="G485">_xlfn.LET(_xlpm.x,TRIM(B485),_xlpm.base,IFERROR(_xlfn.TEXTBEFORE(_xlpm.x,"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Jalen Berger</v>
      </c>
    </row>
    <row r="486" spans="1:7" hidden="1" x14ac:dyDescent="0.25">
      <c r="A486">
        <v>516</v>
      </c>
      <c r="B486" t="s">
        <v>1275</v>
      </c>
      <c r="C486" t="s">
        <v>1183</v>
      </c>
      <c r="D486">
        <v>484</v>
      </c>
      <c r="E486" t="str">
        <f t="shared" si="14"/>
        <v>TE</v>
      </c>
      <c r="F486">
        <f t="shared" si="15"/>
        <v>82</v>
      </c>
      <c r="G486" t="str" cm="1">
        <f t="array" ref="G486">_xlfn.LET(_xlpm.x,TRIM(B486),_xlpm.base,IFERROR(_xlfn.TEXTBEFORE(_xlpm.x,"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Jeremy Ruckert</v>
      </c>
    </row>
    <row r="487" spans="1:7" hidden="1" x14ac:dyDescent="0.25">
      <c r="A487">
        <v>517</v>
      </c>
      <c r="B487" t="s">
        <v>1184</v>
      </c>
      <c r="C487" t="s">
        <v>1185</v>
      </c>
      <c r="D487">
        <v>485</v>
      </c>
      <c r="E487" t="str">
        <f t="shared" si="14"/>
        <v>RB</v>
      </c>
      <c r="F487">
        <f t="shared" si="15"/>
        <v>133</v>
      </c>
      <c r="G487" t="str" cm="1">
        <f t="array" ref="G487">_xlfn.LET(_xlpm.x,TRIM(B487),_xlpm.base,IFERROR(_xlfn.TEXTBEFORE(_xlpm.x,"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Ronald Jones II</v>
      </c>
    </row>
    <row r="488" spans="1:7" hidden="1" x14ac:dyDescent="0.25">
      <c r="A488">
        <v>518</v>
      </c>
      <c r="B488" t="s">
        <v>492</v>
      </c>
      <c r="C488" t="s">
        <v>1186</v>
      </c>
      <c r="D488">
        <v>486</v>
      </c>
      <c r="E488" t="str">
        <f t="shared" si="14"/>
        <v>RB</v>
      </c>
      <c r="F488">
        <f t="shared" si="15"/>
        <v>134</v>
      </c>
      <c r="G488" t="str" cm="1">
        <f t="array" ref="G488">_xlfn.LET(_xlpm.x,TRIM(B488),_xlpm.base,IFERROR(_xlfn.TEXTBEFORE(_xlpm.x,"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Clyde Edwards-Helaire</v>
      </c>
    </row>
    <row r="489" spans="1:7" hidden="1" x14ac:dyDescent="0.25">
      <c r="A489">
        <v>519</v>
      </c>
      <c r="B489" t="s">
        <v>477</v>
      </c>
      <c r="C489" t="s">
        <v>1187</v>
      </c>
      <c r="D489">
        <v>487</v>
      </c>
      <c r="E489" t="str">
        <f t="shared" si="14"/>
        <v>WR</v>
      </c>
      <c r="F489">
        <f t="shared" si="15"/>
        <v>194</v>
      </c>
      <c r="G489" t="str" cm="1">
        <f t="array" ref="G489">_xlfn.LET(_xlpm.x,TRIM(B489),_xlpm.base,IFERROR(_xlfn.TEXTBEFORE(_xlpm.x,"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Isaiah Hodgins</v>
      </c>
    </row>
    <row r="490" spans="1:7" hidden="1" x14ac:dyDescent="0.25">
      <c r="A490">
        <v>520</v>
      </c>
      <c r="B490" t="s">
        <v>511</v>
      </c>
      <c r="C490" t="s">
        <v>1188</v>
      </c>
      <c r="D490">
        <v>488</v>
      </c>
      <c r="E490" t="str">
        <f t="shared" si="14"/>
        <v>QB</v>
      </c>
      <c r="F490">
        <f t="shared" si="15"/>
        <v>78</v>
      </c>
      <c r="G490" t="str" cm="1">
        <f t="array" ref="G490">_xlfn.LET(_xlpm.x,TRIM(B490),_xlpm.base,IFERROR(_xlfn.TEXTBEFORE(_xlpm.x,"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Kenny Pickett</v>
      </c>
    </row>
    <row r="491" spans="1:7" hidden="1" x14ac:dyDescent="0.25">
      <c r="A491">
        <v>521</v>
      </c>
      <c r="B491" t="s">
        <v>384</v>
      </c>
      <c r="C491" t="s">
        <v>1189</v>
      </c>
      <c r="D491">
        <v>489</v>
      </c>
      <c r="E491" t="str">
        <f t="shared" si="14"/>
        <v>QB</v>
      </c>
      <c r="F491">
        <f t="shared" si="15"/>
        <v>79</v>
      </c>
      <c r="G491" t="str" cm="1">
        <f t="array" ref="G491">_xlfn.LET(_xlpm.x,TRIM(B491),_xlpm.base,IFERROR(_xlfn.TEXTBEFORE(_xlpm.x,"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Aidan O'Connell</v>
      </c>
    </row>
    <row r="492" spans="1:7" hidden="1" x14ac:dyDescent="0.25">
      <c r="A492">
        <v>522</v>
      </c>
      <c r="B492" t="s">
        <v>1276</v>
      </c>
      <c r="C492" t="s">
        <v>1190</v>
      </c>
      <c r="D492">
        <v>490</v>
      </c>
      <c r="E492" t="str">
        <f t="shared" si="14"/>
        <v>RB</v>
      </c>
      <c r="F492">
        <f t="shared" si="15"/>
        <v>135</v>
      </c>
      <c r="G492" t="str" cm="1">
        <f t="array" ref="G492">_xlfn.LET(_xlpm.x,TRIM(B492),_xlpm.base,IFERROR(_xlfn.TEXTBEFORE(_xlpm.x,"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Nathan Carter</v>
      </c>
    </row>
    <row r="493" spans="1:7" hidden="1" x14ac:dyDescent="0.25">
      <c r="A493">
        <v>523</v>
      </c>
      <c r="B493" t="s">
        <v>325</v>
      </c>
      <c r="C493" t="s">
        <v>1191</v>
      </c>
      <c r="D493">
        <v>491</v>
      </c>
      <c r="E493" t="str">
        <f t="shared" si="14"/>
        <v>RB</v>
      </c>
      <c r="F493">
        <f t="shared" si="15"/>
        <v>136</v>
      </c>
      <c r="G493" t="str" cm="1">
        <f t="array" ref="G493">_xlfn.LET(_xlpm.x,TRIM(B493),_xlpm.base,IFERROR(_xlfn.TEXTBEFORE(_xlpm.x,"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Kene Nwangwu</v>
      </c>
    </row>
    <row r="494" spans="1:7" hidden="1" x14ac:dyDescent="0.25">
      <c r="A494">
        <v>524</v>
      </c>
      <c r="B494" t="s">
        <v>1277</v>
      </c>
      <c r="C494" t="s">
        <v>1192</v>
      </c>
      <c r="D494">
        <v>492</v>
      </c>
      <c r="E494" t="str">
        <f t="shared" si="14"/>
        <v>RB</v>
      </c>
      <c r="F494">
        <f t="shared" si="15"/>
        <v>137</v>
      </c>
      <c r="G494" t="str" cm="1">
        <f t="array" ref="G494">_xlfn.LET(_xlpm.x,TRIM(B494),_xlpm.base,IFERROR(_xlfn.TEXTBEFORE(_xlpm.x,"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Ian Wheeler</v>
      </c>
    </row>
    <row r="495" spans="1:7" hidden="1" x14ac:dyDescent="0.25">
      <c r="A495">
        <v>525</v>
      </c>
      <c r="B495" t="s">
        <v>1193</v>
      </c>
      <c r="C495" t="s">
        <v>1194</v>
      </c>
      <c r="D495">
        <v>493</v>
      </c>
      <c r="E495" t="str">
        <f t="shared" si="14"/>
        <v>WR</v>
      </c>
      <c r="F495">
        <f t="shared" si="15"/>
        <v>195</v>
      </c>
      <c r="G495" t="str" cm="1">
        <f t="array" ref="G495">_xlfn.LET(_xlpm.x,TRIM(B495),_xlpm.base,IFERROR(_xlfn.TEXTBEFORE(_xlpm.x,"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Tre'Quan Smith</v>
      </c>
    </row>
    <row r="496" spans="1:7" hidden="1" x14ac:dyDescent="0.25">
      <c r="A496">
        <v>526</v>
      </c>
      <c r="B496" t="s">
        <v>1278</v>
      </c>
      <c r="C496" t="s">
        <v>1195</v>
      </c>
      <c r="D496">
        <v>494</v>
      </c>
      <c r="E496" t="str">
        <f t="shared" si="14"/>
        <v>TE</v>
      </c>
      <c r="F496">
        <f t="shared" si="15"/>
        <v>83</v>
      </c>
      <c r="G496" t="str" cm="1">
        <f t="array" ref="G496">_xlfn.LET(_xlpm.x,TRIM(B496),_xlpm.base,IFERROR(_xlfn.TEXTBEFORE(_xlpm.x,"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Ben Yurosek</v>
      </c>
    </row>
    <row r="497" spans="1:7" hidden="1" x14ac:dyDescent="0.25">
      <c r="A497">
        <v>527</v>
      </c>
      <c r="B497" t="s">
        <v>1082</v>
      </c>
      <c r="C497" t="s">
        <v>1196</v>
      </c>
      <c r="D497">
        <v>495</v>
      </c>
      <c r="E497" t="str">
        <f t="shared" si="14"/>
        <v>WR</v>
      </c>
      <c r="F497">
        <f t="shared" si="15"/>
        <v>196</v>
      </c>
      <c r="G497" t="str" cm="1">
        <f t="array" ref="G497">_xlfn.LET(_xlpm.x,TRIM(B497),_xlpm.base,IFERROR(_xlfn.TEXTBEFORE(_xlpm.x,"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Velus Jones Jr.</v>
      </c>
    </row>
    <row r="498" spans="1:7" hidden="1" x14ac:dyDescent="0.25">
      <c r="A498">
        <v>528</v>
      </c>
      <c r="B498" t="s">
        <v>1051</v>
      </c>
      <c r="C498" t="s">
        <v>1197</v>
      </c>
      <c r="D498">
        <v>496</v>
      </c>
      <c r="E498" t="str">
        <f t="shared" si="14"/>
        <v>WR</v>
      </c>
      <c r="F498">
        <f t="shared" si="15"/>
        <v>197</v>
      </c>
      <c r="G498" t="str" cm="1">
        <f t="array" ref="G498">_xlfn.LET(_xlpm.x,TRIM(B498),_xlpm.base,IFERROR(_xlfn.TEXTBEFORE(_xlpm.x,"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Marquise Goodwin</v>
      </c>
    </row>
    <row r="499" spans="1:7" hidden="1" x14ac:dyDescent="0.25">
      <c r="A499">
        <v>529</v>
      </c>
      <c r="B499" t="s">
        <v>213</v>
      </c>
      <c r="C499" t="s">
        <v>1198</v>
      </c>
      <c r="D499">
        <v>497</v>
      </c>
      <c r="E499" t="str">
        <f t="shared" si="14"/>
        <v>WR</v>
      </c>
      <c r="F499">
        <f t="shared" si="15"/>
        <v>198</v>
      </c>
      <c r="G499" t="str" cm="1">
        <f t="array" ref="G499">_xlfn.LET(_xlpm.x,TRIM(B499),_xlpm.base,IFERROR(_xlfn.TEXTBEFORE(_xlpm.x,"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David Sills V</v>
      </c>
    </row>
    <row r="500" spans="1:7" hidden="1" x14ac:dyDescent="0.25">
      <c r="A500">
        <v>530</v>
      </c>
      <c r="B500" t="s">
        <v>1279</v>
      </c>
      <c r="C500" t="s">
        <v>1199</v>
      </c>
      <c r="D500">
        <v>498</v>
      </c>
      <c r="E500" t="str">
        <f t="shared" si="14"/>
        <v>WR</v>
      </c>
      <c r="F500">
        <f t="shared" si="15"/>
        <v>199</v>
      </c>
      <c r="G500" t="str" cm="1">
        <f t="array" ref="G500">_xlfn.LET(_xlpm.x,TRIM(B500),_xlpm.base,IFERROR(_xlfn.TEXTBEFORE(_xlpm.x,"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Brycen Tremay</v>
      </c>
    </row>
    <row r="501" spans="1:7" hidden="1" x14ac:dyDescent="0.25">
      <c r="A501">
        <v>531</v>
      </c>
      <c r="B501" t="s">
        <v>936</v>
      </c>
      <c r="C501" t="s">
        <v>1200</v>
      </c>
      <c r="D501">
        <v>499</v>
      </c>
      <c r="E501" t="str">
        <f t="shared" si="14"/>
        <v>WR</v>
      </c>
      <c r="F501">
        <f t="shared" si="15"/>
        <v>200</v>
      </c>
      <c r="G501" t="str" cm="1">
        <f t="array" ref="G501">_xlfn.LET(_xlpm.x,TRIM(B501),_xlpm.base,IFERROR(_xlfn.TEXTBEFORE(_xlpm.x,"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Brenden Rice</v>
      </c>
    </row>
    <row r="502" spans="1:7" hidden="1" x14ac:dyDescent="0.25">
      <c r="A502">
        <v>532</v>
      </c>
      <c r="B502" t="s">
        <v>1201</v>
      </c>
      <c r="C502" t="s">
        <v>1202</v>
      </c>
      <c r="D502">
        <v>500</v>
      </c>
      <c r="E502" t="str">
        <f t="shared" si="14"/>
        <v>WR</v>
      </c>
      <c r="F502">
        <f t="shared" si="15"/>
        <v>201</v>
      </c>
      <c r="G502" t="str" cm="1">
        <f t="array" ref="G502">_xlfn.LET(_xlpm.x,TRIM(B502),_xlpm.base,IFERROR(_xlfn.TEXTBEFORE(_xlpm.x,"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Ainias Smith</v>
      </c>
    </row>
    <row r="503" spans="1:7" hidden="1" x14ac:dyDescent="0.25">
      <c r="A503">
        <v>533</v>
      </c>
      <c r="B503" t="s">
        <v>1203</v>
      </c>
      <c r="C503" t="s">
        <v>1204</v>
      </c>
      <c r="D503">
        <v>501</v>
      </c>
      <c r="E503" t="str">
        <f t="shared" si="14"/>
        <v>WR</v>
      </c>
      <c r="F503">
        <f t="shared" si="15"/>
        <v>202</v>
      </c>
      <c r="G503" t="str" cm="1">
        <f t="array" ref="G503">_xlfn.LET(_xlpm.x,TRIM(B503),_xlpm.base,IFERROR(_xlfn.TEXTBEFORE(_xlpm.x,"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Elijhah Badger</v>
      </c>
    </row>
    <row r="504" spans="1:7" hidden="1" x14ac:dyDescent="0.25">
      <c r="A504">
        <v>534</v>
      </c>
      <c r="B504" t="s">
        <v>402</v>
      </c>
      <c r="C504" t="s">
        <v>1205</v>
      </c>
      <c r="D504">
        <v>502</v>
      </c>
      <c r="E504" t="str">
        <f t="shared" si="14"/>
        <v>RB</v>
      </c>
      <c r="F504">
        <f t="shared" si="15"/>
        <v>138</v>
      </c>
      <c r="G504" t="str" cm="1">
        <f t="array" ref="G504">_xlfn.LET(_xlpm.x,TRIM(B504),_xlpm.base,IFERROR(_xlfn.TEXTBEFORE(_xlpm.x,"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D'Ernest Johnson</v>
      </c>
    </row>
    <row r="505" spans="1:7" hidden="1" x14ac:dyDescent="0.25">
      <c r="A505">
        <v>535</v>
      </c>
      <c r="B505" t="s">
        <v>1206</v>
      </c>
      <c r="C505" t="s">
        <v>1207</v>
      </c>
      <c r="D505">
        <v>503</v>
      </c>
      <c r="E505" t="str">
        <f t="shared" si="14"/>
        <v>QB</v>
      </c>
      <c r="F505">
        <f t="shared" si="15"/>
        <v>80</v>
      </c>
      <c r="G505" t="str" cm="1">
        <f t="array" ref="G505">_xlfn.LET(_xlpm.x,TRIM(B505),_xlpm.base,IFERROR(_xlfn.TEXTBEFORE(_xlpm.x," ("),_xlpm.x),_xlpm.teams,{"ARI","ATL","BAL","BUF","CAR","CHI","CIN","CLE","DAL","DEN","DET","GB","HOU","IND","JAX","KC","LV","LAC","LAR","MIA","MIN","NE","NO","NYG","NYJ","PHI","PIT","SEA","SF","TB","TEN","WAS"},_xlpm.team,_xlfn.XLOOKUP(TRUE,RIGHT(_xlpm.base,LEN(_xlpm.teams))=_xlpm.teams,_xlpm.teams,""),TRIM(LEFT(_xlpm.base,LEN(_xlpm.base)-LEN(_xlpm.team))))</f>
        <v>Tyler Van Dyke</v>
      </c>
    </row>
  </sheetData>
  <autoFilter ref="A2:G505" xr:uid="{989DEF86-7B10-45C8-A49E-7F6CAB91E3CD}">
    <filterColumn colId="1">
      <filters>
        <filter val="LeQuint Allen Jr.JAC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Detail1</vt:lpstr>
      <vt:lpstr>Detail2</vt:lpstr>
      <vt:lpstr>2026 ADP</vt:lpstr>
      <vt:lpstr>Positions By round</vt:lpstr>
      <vt:lpstr>22-25</vt:lpstr>
      <vt:lpstr>Finish Points</vt:lpstr>
      <vt:lpstr>Rookies 22-25</vt:lpstr>
      <vt:lpstr>22 Draft ADP</vt:lpstr>
      <vt:lpstr>23 Draft ADP</vt:lpstr>
      <vt:lpstr>24 Draft ADP</vt:lpstr>
      <vt:lpstr>25 Draft ADP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Bernick</dc:creator>
  <cp:lastModifiedBy>Josh Bernick</cp:lastModifiedBy>
  <dcterms:created xsi:type="dcterms:W3CDTF">2026-08-16T01:12:37Z</dcterms:created>
  <dcterms:modified xsi:type="dcterms:W3CDTF">2026-08-16T20:48:45Z</dcterms:modified>
</cp:coreProperties>
</file>